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Mechinagar Municipality" sheetId="2" state="visible" r:id="rId2"/>
    <sheet xmlns:r="http://schemas.openxmlformats.org/officeDocument/2006/relationships" name="Buddhashanti Gaunpalika" sheetId="3" state="visible" r:id="rId3"/>
    <sheet xmlns:r="http://schemas.openxmlformats.org/officeDocument/2006/relationships" name="Arjundhara Municipality" sheetId="4" state="visible" r:id="rId4"/>
    <sheet xmlns:r="http://schemas.openxmlformats.org/officeDocument/2006/relationships" name="Kankai Municipality" sheetId="5" state="visible" r:id="rId5"/>
    <sheet xmlns:r="http://schemas.openxmlformats.org/officeDocument/2006/relationships" name="Shivasatakshi Municipality" sheetId="6" state="visible" r:id="rId6"/>
    <sheet xmlns:r="http://schemas.openxmlformats.org/officeDocument/2006/relationships" name="Kamal Gaunpalika" sheetId="7" state="visible" r:id="rId7"/>
    <sheet xmlns:r="http://schemas.openxmlformats.org/officeDocument/2006/relationships" name="Damak Municipality" sheetId="8" state="visible" r:id="rId8"/>
    <sheet xmlns:r="http://schemas.openxmlformats.org/officeDocument/2006/relationships" name="Gauradaha Municipality" sheetId="9" state="visible" r:id="rId9"/>
    <sheet xmlns:r="http://schemas.openxmlformats.org/officeDocument/2006/relationships" name="Gauriganj Gaunpalika" sheetId="10" state="visible" r:id="rId10"/>
    <sheet xmlns:r="http://schemas.openxmlformats.org/officeDocument/2006/relationships" name="Jhapa Gaunpalika" sheetId="11" state="visible" r:id="rId11"/>
    <sheet xmlns:r="http://schemas.openxmlformats.org/officeDocument/2006/relationships" name="Barhadashi Gaunpalika" sheetId="12" state="visible" r:id="rId12"/>
    <sheet xmlns:r="http://schemas.openxmlformats.org/officeDocument/2006/relationships" name="Birtamod Municipality" sheetId="13" state="visible" r:id="rId13"/>
    <sheet xmlns:r="http://schemas.openxmlformats.org/officeDocument/2006/relationships" name="Haldibari Gaunpalika" sheetId="14" state="visible" r:id="rId14"/>
    <sheet xmlns:r="http://schemas.openxmlformats.org/officeDocument/2006/relationships" name="Bhadrapur Municipality" sheetId="15" state="visible" r:id="rId15"/>
    <sheet xmlns:r="http://schemas.openxmlformats.org/officeDocument/2006/relationships" name="Kachanakawal Gaunpalika" sheetId="16" state="visible" r:id="rId16"/>
    <sheet xmlns:r="http://schemas.openxmlformats.org/officeDocument/2006/relationships" name="Total " sheetId="17" state="visible" r:id="rId17"/>
  </sheets>
  <definedNames/>
  <calcPr calcId="124519" fullCalcOnLoad="1"/>
</workbook>
</file>

<file path=xl/styles.xml><?xml version="1.0" encoding="utf-8"?>
<styleSheet xmlns="http://schemas.openxmlformats.org/spreadsheetml/2006/main">
  <numFmts count="2">
    <numFmt numFmtId="164" formatCode="0.0&quot;%&quot;"/>
    <numFmt numFmtId="165" formatCode="#,##0.##"/>
  </numFmts>
  <fonts count="8">
    <font>
      <name val="Calibri"/>
      <family val="2"/>
      <color theme="1"/>
      <sz val="11"/>
      <scheme val="minor"/>
    </font>
    <font>
      <b val="1"/>
      <sz val="14"/>
    </font>
    <font>
      <b val="1"/>
      <sz val="12"/>
    </font>
    <font>
      <sz val="10"/>
    </font>
    <font>
      <b val="1"/>
      <sz val="11"/>
    </font>
    <font>
      <b val="1"/>
      <color rgb="00FFFFFF"/>
      <sz val="11"/>
    </font>
    <font>
      <b val="1"/>
      <sz val="9"/>
    </font>
    <font>
      <b val="1"/>
      <sz val="10"/>
    </font>
  </fonts>
  <fills count="8">
    <fill>
      <patternFill/>
    </fill>
    <fill>
      <patternFill patternType="gray125"/>
    </fill>
    <fill>
      <patternFill patternType="solid">
        <fgColor rgb="001F4E78"/>
      </patternFill>
    </fill>
    <fill>
      <patternFill patternType="solid">
        <fgColor rgb="00DCE6F1"/>
      </patternFill>
    </fill>
    <fill>
      <patternFill patternType="solid">
        <fgColor rgb="00F2F2F0"/>
      </patternFill>
    </fill>
    <fill>
      <patternFill patternType="solid">
        <fgColor rgb="00E2EFDA"/>
      </patternFill>
    </fill>
    <fill>
      <patternFill patternType="solid">
        <fgColor rgb="00BDD7EE"/>
      </patternFill>
    </fill>
    <fill>
      <patternFill patternType="solid">
        <fgColor rgb="00FFFFFF"/>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2" borderId="0" applyAlignment="1" pivotButton="0" quotePrefix="0" xfId="0">
      <alignment horizontal="left" vertical="center"/>
    </xf>
    <xf numFmtId="0" fontId="6" fillId="3" borderId="1" applyAlignment="1" pivotButton="0" quotePrefix="0" xfId="0">
      <alignment horizontal="center" vertical="center" wrapText="1"/>
    </xf>
    <xf numFmtId="0" fontId="0" fillId="4" borderId="1" pivotButton="0" quotePrefix="0" xfId="0"/>
    <xf numFmtId="165" fontId="0" fillId="4" borderId="1" pivotButton="0" quotePrefix="0" xfId="0"/>
    <xf numFmtId="164" fontId="0" fillId="4" borderId="1" pivotButton="0" quotePrefix="0" xfId="0"/>
    <xf numFmtId="0" fontId="6" fillId="5" borderId="1" pivotButton="0" quotePrefix="0" xfId="0"/>
    <xf numFmtId="165" fontId="6" fillId="5" borderId="1" pivotButton="0" quotePrefix="0" xfId="0"/>
    <xf numFmtId="164" fontId="6" fillId="5" borderId="1" pivotButton="0" quotePrefix="0" xfId="0"/>
    <xf numFmtId="0" fontId="7" fillId="6" borderId="0" applyAlignment="1" pivotButton="0" quotePrefix="0" xfId="0">
      <alignment horizontal="left" vertical="center"/>
    </xf>
    <xf numFmtId="165" fontId="0" fillId="7" borderId="1" applyProtection="1" pivotButton="0" quotePrefix="0" xfId="0">
      <protection locked="0" hidden="0"/>
    </xf>
    <xf numFmtId="0" fontId="4" fillId="0" borderId="0" pivotButton="0" quotePrefix="0" xfId="0"/>
    <xf numFmtId="0" fontId="0" fillId="4"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showGridLines="0" workbookViewId="0">
      <selection activeCell="A1" sqref="A1"/>
    </sheetView>
  </sheetViews>
  <sheetFormatPr baseColWidth="8" defaultRowHeight="15"/>
  <cols>
    <col width="100" customWidth="1" min="1" max="1"/>
  </cols>
  <sheetData>
    <row r="1">
      <c r="A1" s="1" t="inlineStr">
        <is>
          <t>JE Vaccination Campaign - Daily Reporting Workbook</t>
        </is>
      </c>
    </row>
    <row r="2">
      <c r="A2" s="2" t="inlineStr">
        <is>
          <t>जापानिज इन्सेफ्लाइटिस खोप अभियान - दैनिक प्रतिवेदन पुस्तिका</t>
        </is>
      </c>
    </row>
    <row r="3">
      <c r="A3" s="3" t="inlineStr"/>
    </row>
    <row r="4">
      <c r="A4" s="4" t="inlineStr">
        <is>
          <t>How to use this file / प्रयोग विधि:</t>
        </is>
      </c>
    </row>
    <row r="5">
      <c r="A5" s="3" t="inlineStr">
        <is>
          <t>1. Each of the 15 sheet tabs below is one local level (palika), same as JE-083_84.xlsx.</t>
        </is>
      </c>
    </row>
    <row r="6">
      <c r="A6" s="3" t="inlineStr">
        <is>
          <t xml:space="preserve">   प्रत्येक ट्याब एउटा स्थानीय तह हो, JE-083_84.xlsx जस्तै।</t>
        </is>
      </c>
    </row>
    <row r="7">
      <c r="A7" s="3" t="inlineStr">
        <is>
          <t>2. Every sheet has a 'Campaign Total' table at the top, then one table per campaign day</t>
        </is>
      </c>
    </row>
    <row r="8">
      <c r="A8" s="3" t="inlineStr">
        <is>
          <t xml:space="preserve">   (Day 1 to Day 15) below it. Only type into the WHITE cells inside each day's table -</t>
        </is>
      </c>
    </row>
    <row r="9">
      <c r="A9" s="3" t="inlineStr">
        <is>
          <t xml:space="preserve">   the age 30-60 and age 60+ Female/Male counts for that day, for each ward.</t>
        </is>
      </c>
    </row>
    <row r="10">
      <c r="A10" s="3" t="inlineStr">
        <is>
          <t xml:space="preserve">   माथिको जम्मा तालिका र मुनि दिनको तालिकाहरू छन् - सेता कोष्ठमा मात्र त्यस दिनको संख्या लेख्नुहोस्।</t>
        </is>
      </c>
    </row>
    <row r="11">
      <c r="A11" s="3" t="inlineStr">
        <is>
          <t>3. Grey cells calculate themselves (Total, Grand Total, Progress %, and the Campaign</t>
        </is>
      </c>
    </row>
    <row r="12">
      <c r="A12" s="3" t="inlineStr">
        <is>
          <t xml:space="preserve">   Total table at the top). Do not type into grey cells.</t>
        </is>
      </c>
    </row>
    <row r="13">
      <c r="A13" s="3" t="inlineStr">
        <is>
          <t xml:space="preserve">   खरानी रङका कोष्ठले आफै गणना गर्छन् - त्यहाँ नलेख्नुहोस्।</t>
        </is>
      </c>
    </row>
    <row r="14">
      <c r="A14" s="3" t="inlineStr">
        <is>
          <t>4. The 'Total ' sheet (last tab) shows the whole district, and a day-by-day district</t>
        </is>
      </c>
    </row>
    <row r="15">
      <c r="A15" s="3" t="inlineStr">
        <is>
          <t xml:space="preserve">   total below its table - the single number for 'how many doses today'.</t>
        </is>
      </c>
    </row>
    <row r="16">
      <c r="A16" s="3" t="inlineStr">
        <is>
          <t>5. Sheets are protected (no password) so typing outside the white cells is blocked by</t>
        </is>
      </c>
    </row>
    <row r="17">
      <c r="A17" s="3" t="inlineStr">
        <is>
          <t xml:space="preserve">   Excel automatically. To make a correction elsewhere, use Review &gt; Unprotect Sheet.</t>
        </is>
      </c>
    </row>
    <row r="18">
      <c r="A18" s="3" t="inlineStr"/>
    </row>
    <row r="19">
      <c r="A19" s="3" t="inlineStr">
        <is>
          <t>Campaign window: 5-19 Oct 2026 (19 Aswin - 2 Kartik 2083 BS), 15 days.</t>
        </is>
      </c>
    </row>
    <row r="20">
      <c r="A20" s="3" t="inlineStr">
        <is>
          <t>Source of population / JE target figures: JE-083_84.xlsx (unchanged, kept alongside this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35"/>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13"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10" customWidth="1" min="12" max="12"/>
    <col width="9" customWidth="1" min="13" max="13"/>
  </cols>
  <sheetData>
    <row r="1">
      <c r="A1" s="5" t="inlineStr">
        <is>
          <t>Mechinagar Municipality - Campaign Total (5-19 Oct 2026)</t>
        </is>
      </c>
    </row>
    <row r="2">
      <c r="A2" s="6" t="inlineStr">
        <is>
          <t>Ward no.</t>
        </is>
      </c>
      <c r="B2" s="6" t="inlineStr">
        <is>
          <t>Total population</t>
        </is>
      </c>
      <c r="C2" s="6" t="inlineStr">
        <is>
          <t>JE target population</t>
        </is>
      </c>
      <c r="D2" s="6" t="inlineStr">
        <is>
          <t>Vaccinated</t>
        </is>
      </c>
      <c r="E2" s="6" t="n"/>
      <c r="F2" s="6" t="n"/>
      <c r="G2" s="6" t="n"/>
      <c r="H2" s="6" t="n"/>
      <c r="I2" s="6" t="n"/>
      <c r="J2" s="6" t="n"/>
      <c r="K2" s="6" t="n"/>
      <c r="L2" s="6" t="n"/>
      <c r="M2" s="6" t="inlineStr">
        <is>
          <t>Progress %</t>
        </is>
      </c>
    </row>
    <row r="3">
      <c r="A3" s="6" t="n"/>
      <c r="B3" s="6" t="n"/>
      <c r="C3" s="6" t="n"/>
      <c r="D3" s="6" t="inlineStr">
        <is>
          <t>Age 30-60 yrs</t>
        </is>
      </c>
      <c r="E3" s="6" t="n"/>
      <c r="F3" s="6" t="n"/>
      <c r="G3" s="6" t="inlineStr">
        <is>
          <t>Age 60 above</t>
        </is>
      </c>
      <c r="H3" s="6" t="n"/>
      <c r="I3" s="6" t="n"/>
      <c r="J3" s="6" t="inlineStr">
        <is>
          <t>Total</t>
        </is>
      </c>
      <c r="K3" s="6" t="n"/>
      <c r="L3" s="6" t="inlineStr">
        <is>
          <t>Grand Total</t>
        </is>
      </c>
      <c r="M3" s="6" t="n"/>
    </row>
    <row r="4">
      <c r="A4" s="6" t="n"/>
      <c r="B4" s="6" t="n"/>
      <c r="C4" s="6" t="n"/>
      <c r="D4" s="6" t="inlineStr">
        <is>
          <t>F</t>
        </is>
      </c>
      <c r="E4" s="6" t="inlineStr">
        <is>
          <t>M</t>
        </is>
      </c>
      <c r="F4" s="6" t="inlineStr">
        <is>
          <t>Total</t>
        </is>
      </c>
      <c r="G4" s="6" t="inlineStr">
        <is>
          <t>F</t>
        </is>
      </c>
      <c r="H4" s="6" t="inlineStr">
        <is>
          <t>M</t>
        </is>
      </c>
      <c r="I4" s="6" t="inlineStr">
        <is>
          <t>Total</t>
        </is>
      </c>
      <c r="J4" s="6" t="inlineStr">
        <is>
          <t>F</t>
        </is>
      </c>
      <c r="K4" s="6" t="inlineStr">
        <is>
          <t>M</t>
        </is>
      </c>
      <c r="L4" s="6" t="n"/>
      <c r="M4" s="6" t="n"/>
    </row>
    <row r="5">
      <c r="A5" s="7" t="n">
        <v>1</v>
      </c>
      <c r="B5" s="8" t="n">
        <v>6478</v>
      </c>
      <c r="C5" s="8" t="n">
        <v>3109.44</v>
      </c>
      <c r="D5" s="8">
        <f>D26+D47+D68+D89+D110+D131+D152+D173+D194+D215+D236+D257+D278+D299+D320</f>
        <v/>
      </c>
      <c r="E5" s="8">
        <f>E26+E47+E68+E89+E110+E131+E152+E173+E194+E215+E236+E257+E278+E299+E320</f>
        <v/>
      </c>
      <c r="F5" s="8">
        <f>D5+E5</f>
        <v/>
      </c>
      <c r="G5" s="8">
        <f>G26+G47+G68+G89+G110+G131+G152+G173+G194+G215+G236+G257+G278+G299+G320</f>
        <v/>
      </c>
      <c r="H5" s="8">
        <f>H26+H47+H68+H89+H110+H131+H152+H173+H194+H215+H236+H257+H278+H299+H320</f>
        <v/>
      </c>
      <c r="I5" s="8">
        <f>G5+H5</f>
        <v/>
      </c>
      <c r="J5" s="8">
        <f>D5+G5</f>
        <v/>
      </c>
      <c r="K5" s="8">
        <f>E5+H5</f>
        <v/>
      </c>
      <c r="L5" s="8">
        <f>J5+K5</f>
        <v/>
      </c>
      <c r="M5" s="9">
        <f>IF(C5=0,0,L5/C5*100)</f>
        <v/>
      </c>
    </row>
    <row r="6">
      <c r="A6" s="7" t="n">
        <v>2</v>
      </c>
      <c r="B6" s="8" t="n">
        <v>6940</v>
      </c>
      <c r="C6" s="8" t="n">
        <v>3331.2</v>
      </c>
      <c r="D6" s="8">
        <f>D27+D48+D69+D90+D111+D132+D153+D174+D195+D216+D237+D258+D279+D300+D321</f>
        <v/>
      </c>
      <c r="E6" s="8">
        <f>E27+E48+E69+E90+E111+E132+E153+E174+E195+E216+E237+E258+E279+E300+E321</f>
        <v/>
      </c>
      <c r="F6" s="8">
        <f>D6+E6</f>
        <v/>
      </c>
      <c r="G6" s="8">
        <f>G27+G48+G69+G90+G111+G132+G153+G174+G195+G216+G237+G258+G279+G300+G321</f>
        <v/>
      </c>
      <c r="H6" s="8">
        <f>H27+H48+H69+H90+H111+H132+H153+H174+H195+H216+H237+H258+H279+H300+H321</f>
        <v/>
      </c>
      <c r="I6" s="8">
        <f>G6+H6</f>
        <v/>
      </c>
      <c r="J6" s="8">
        <f>D6+G6</f>
        <v/>
      </c>
      <c r="K6" s="8">
        <f>E6+H6</f>
        <v/>
      </c>
      <c r="L6" s="8">
        <f>J6+K6</f>
        <v/>
      </c>
      <c r="M6" s="9">
        <f>IF(C6=0,0,L6/C6*100)</f>
        <v/>
      </c>
    </row>
    <row r="7">
      <c r="A7" s="7" t="n">
        <v>3</v>
      </c>
      <c r="B7" s="8" t="n">
        <v>7375</v>
      </c>
      <c r="C7" s="8" t="n">
        <v>3540</v>
      </c>
      <c r="D7" s="8">
        <f>D28+D49+D70+D91+D112+D133+D154+D175+D196+D217+D238+D259+D280+D301+D322</f>
        <v/>
      </c>
      <c r="E7" s="8">
        <f>E28+E49+E70+E91+E112+E133+E154+E175+E196+E217+E238+E259+E280+E301+E322</f>
        <v/>
      </c>
      <c r="F7" s="8">
        <f>D7+E7</f>
        <v/>
      </c>
      <c r="G7" s="8">
        <f>G28+G49+G70+G91+G112+G133+G154+G175+G196+G217+G238+G259+G280+G301+G322</f>
        <v/>
      </c>
      <c r="H7" s="8">
        <f>H28+H49+H70+H91+H112+H133+H154+H175+H196+H217+H238+H259+H280+H301+H322</f>
        <v/>
      </c>
      <c r="I7" s="8">
        <f>G7+H7</f>
        <v/>
      </c>
      <c r="J7" s="8">
        <f>D7+G7</f>
        <v/>
      </c>
      <c r="K7" s="8">
        <f>E7+H7</f>
        <v/>
      </c>
      <c r="L7" s="8">
        <f>J7+K7</f>
        <v/>
      </c>
      <c r="M7" s="9">
        <f>IF(C7=0,0,L7/C7*100)</f>
        <v/>
      </c>
    </row>
    <row r="8">
      <c r="A8" s="7" t="n">
        <v>4</v>
      </c>
      <c r="B8" s="8" t="n">
        <v>5531</v>
      </c>
      <c r="C8" s="8" t="n">
        <v>2654.88</v>
      </c>
      <c r="D8" s="8">
        <f>D29+D50+D71+D92+D113+D134+D155+D176+D197+D218+D239+D260+D281+D302+D323</f>
        <v/>
      </c>
      <c r="E8" s="8">
        <f>E29+E50+E71+E92+E113+E134+E155+E176+E197+E218+E239+E260+E281+E302+E323</f>
        <v/>
      </c>
      <c r="F8" s="8">
        <f>D8+E8</f>
        <v/>
      </c>
      <c r="G8" s="8">
        <f>G29+G50+G71+G92+G113+G134+G155+G176+G197+G218+G239+G260+G281+G302+G323</f>
        <v/>
      </c>
      <c r="H8" s="8">
        <f>H29+H50+H71+H92+H113+H134+H155+H176+H197+H218+H239+H260+H281+H302+H323</f>
        <v/>
      </c>
      <c r="I8" s="8">
        <f>G8+H8</f>
        <v/>
      </c>
      <c r="J8" s="8">
        <f>D8+G8</f>
        <v/>
      </c>
      <c r="K8" s="8">
        <f>E8+H8</f>
        <v/>
      </c>
      <c r="L8" s="8">
        <f>J8+K8</f>
        <v/>
      </c>
      <c r="M8" s="9">
        <f>IF(C8=0,0,L8/C8*100)</f>
        <v/>
      </c>
    </row>
    <row r="9">
      <c r="A9" s="7" t="n">
        <v>5</v>
      </c>
      <c r="B9" s="8" t="n">
        <v>5457</v>
      </c>
      <c r="C9" s="8" t="n">
        <v>2619.36</v>
      </c>
      <c r="D9" s="8">
        <f>D30+D51+D72+D93+D114+D135+D156+D177+D198+D219+D240+D261+D282+D303+D324</f>
        <v/>
      </c>
      <c r="E9" s="8">
        <f>E30+E51+E72+E93+E114+E135+E156+E177+E198+E219+E240+E261+E282+E303+E324</f>
        <v/>
      </c>
      <c r="F9" s="8">
        <f>D9+E9</f>
        <v/>
      </c>
      <c r="G9" s="8">
        <f>G30+G51+G72+G93+G114+G135+G156+G177+G198+G219+G240+G261+G282+G303+G324</f>
        <v/>
      </c>
      <c r="H9" s="8">
        <f>H30+H51+H72+H93+H114+H135+H156+H177+H198+H219+H240+H261+H282+H303+H324</f>
        <v/>
      </c>
      <c r="I9" s="8">
        <f>G9+H9</f>
        <v/>
      </c>
      <c r="J9" s="8">
        <f>D9+G9</f>
        <v/>
      </c>
      <c r="K9" s="8">
        <f>E9+H9</f>
        <v/>
      </c>
      <c r="L9" s="8">
        <f>J9+K9</f>
        <v/>
      </c>
      <c r="M9" s="9">
        <f>IF(C9=0,0,L9/C9*100)</f>
        <v/>
      </c>
    </row>
    <row r="10">
      <c r="A10" s="7" t="n">
        <v>6</v>
      </c>
      <c r="B10" s="8" t="n">
        <v>16161</v>
      </c>
      <c r="C10" s="8" t="n">
        <v>7757.279999999999</v>
      </c>
      <c r="D10" s="8">
        <f>D31+D52+D73+D94+D115+D136+D157+D178+D199+D220+D241+D262+D283+D304+D325</f>
        <v/>
      </c>
      <c r="E10" s="8">
        <f>E31+E52+E73+E94+E115+E136+E157+E178+E199+E220+E241+E262+E283+E304+E325</f>
        <v/>
      </c>
      <c r="F10" s="8">
        <f>D10+E10</f>
        <v/>
      </c>
      <c r="G10" s="8">
        <f>G31+G52+G73+G94+G115+G136+G157+G178+G199+G220+G241+G262+G283+G304+G325</f>
        <v/>
      </c>
      <c r="H10" s="8">
        <f>H31+H52+H73+H94+H115+H136+H157+H178+H199+H220+H241+H262+H283+H304+H325</f>
        <v/>
      </c>
      <c r="I10" s="8">
        <f>G10+H10</f>
        <v/>
      </c>
      <c r="J10" s="8">
        <f>D10+G10</f>
        <v/>
      </c>
      <c r="K10" s="8">
        <f>E10+H10</f>
        <v/>
      </c>
      <c r="L10" s="8">
        <f>J10+K10</f>
        <v/>
      </c>
      <c r="M10" s="9">
        <f>IF(C10=0,0,L10/C10*100)</f>
        <v/>
      </c>
    </row>
    <row r="11">
      <c r="A11" s="7" t="n">
        <v>7</v>
      </c>
      <c r="B11" s="8" t="n">
        <v>13537</v>
      </c>
      <c r="C11" s="8" t="n">
        <v>6497.759999999999</v>
      </c>
      <c r="D11" s="8">
        <f>D32+D53+D74+D95+D116+D137+D158+D179+D200+D221+D242+D263+D284+D305+D326</f>
        <v/>
      </c>
      <c r="E11" s="8">
        <f>E32+E53+E74+E95+E116+E137+E158+E179+E200+E221+E242+E263+E284+E305+E326</f>
        <v/>
      </c>
      <c r="F11" s="8">
        <f>D11+E11</f>
        <v/>
      </c>
      <c r="G11" s="8">
        <f>G32+G53+G74+G95+G116+G137+G158+G179+G200+G221+G242+G263+G284+G305+G326</f>
        <v/>
      </c>
      <c r="H11" s="8">
        <f>H32+H53+H74+H95+H116+H137+H158+H179+H200+H221+H242+H263+H284+H305+H326</f>
        <v/>
      </c>
      <c r="I11" s="8">
        <f>G11+H11</f>
        <v/>
      </c>
      <c r="J11" s="8">
        <f>D11+G11</f>
        <v/>
      </c>
      <c r="K11" s="8">
        <f>E11+H11</f>
        <v/>
      </c>
      <c r="L11" s="8">
        <f>J11+K11</f>
        <v/>
      </c>
      <c r="M11" s="9">
        <f>IF(C11=0,0,L11/C11*100)</f>
        <v/>
      </c>
    </row>
    <row r="12">
      <c r="A12" s="7" t="n">
        <v>8</v>
      </c>
      <c r="B12" s="8" t="n">
        <v>8527</v>
      </c>
      <c r="C12" s="8" t="n">
        <v>4092.96</v>
      </c>
      <c r="D12" s="8">
        <f>D33+D54+D75+D96+D117+D138+D159+D180+D201+D222+D243+D264+D285+D306+D327</f>
        <v/>
      </c>
      <c r="E12" s="8">
        <f>E33+E54+E75+E96+E117+E138+E159+E180+E201+E222+E243+E264+E285+E306+E327</f>
        <v/>
      </c>
      <c r="F12" s="8">
        <f>D12+E12</f>
        <v/>
      </c>
      <c r="G12" s="8">
        <f>G33+G54+G75+G96+G117+G138+G159+G180+G201+G222+G243+G264+G285+G306+G327</f>
        <v/>
      </c>
      <c r="H12" s="8">
        <f>H33+H54+H75+H96+H117+H138+H159+H180+H201+H222+H243+H264+H285+H306+H327</f>
        <v/>
      </c>
      <c r="I12" s="8">
        <f>G12+H12</f>
        <v/>
      </c>
      <c r="J12" s="8">
        <f>D12+G12</f>
        <v/>
      </c>
      <c r="K12" s="8">
        <f>E12+H12</f>
        <v/>
      </c>
      <c r="L12" s="8">
        <f>J12+K12</f>
        <v/>
      </c>
      <c r="M12" s="9">
        <f>IF(C12=0,0,L12/C12*100)</f>
        <v/>
      </c>
    </row>
    <row r="13">
      <c r="A13" s="7" t="n">
        <v>9</v>
      </c>
      <c r="B13" s="8" t="n">
        <v>12286</v>
      </c>
      <c r="C13" s="8" t="n">
        <v>5897.28</v>
      </c>
      <c r="D13" s="8">
        <f>D34+D55+D76+D97+D118+D139+D160+D181+D202+D223+D244+D265+D286+D307+D328</f>
        <v/>
      </c>
      <c r="E13" s="8">
        <f>E34+E55+E76+E97+E118+E139+E160+E181+E202+E223+E244+E265+E286+E307+E328</f>
        <v/>
      </c>
      <c r="F13" s="8">
        <f>D13+E13</f>
        <v/>
      </c>
      <c r="G13" s="8">
        <f>G34+G55+G76+G97+G118+G139+G160+G181+G202+G223+G244+G265+G286+G307+G328</f>
        <v/>
      </c>
      <c r="H13" s="8">
        <f>H34+H55+H76+H97+H118+H139+H160+H181+H202+H223+H244+H265+H286+H307+H328</f>
        <v/>
      </c>
      <c r="I13" s="8">
        <f>G13+H13</f>
        <v/>
      </c>
      <c r="J13" s="8">
        <f>D13+G13</f>
        <v/>
      </c>
      <c r="K13" s="8">
        <f>E13+H13</f>
        <v/>
      </c>
      <c r="L13" s="8">
        <f>J13+K13</f>
        <v/>
      </c>
      <c r="M13" s="9">
        <f>IF(C13=0,0,L13/C13*100)</f>
        <v/>
      </c>
    </row>
    <row r="14">
      <c r="A14" s="7" t="n">
        <v>10</v>
      </c>
      <c r="B14" s="8" t="n">
        <v>15923</v>
      </c>
      <c r="C14" s="8" t="n">
        <v>7643.040000000001</v>
      </c>
      <c r="D14" s="8">
        <f>D35+D56+D77+D98+D119+D140+D161+D182+D203+D224+D245+D266+D287+D308+D329</f>
        <v/>
      </c>
      <c r="E14" s="8">
        <f>E35+E56+E77+E98+E119+E140+E161+E182+E203+E224+E245+E266+E287+E308+E329</f>
        <v/>
      </c>
      <c r="F14" s="8">
        <f>D14+E14</f>
        <v/>
      </c>
      <c r="G14" s="8">
        <f>G35+G56+G77+G98+G119+G140+G161+G182+G203+G224+G245+G266+G287+G308+G329</f>
        <v/>
      </c>
      <c r="H14" s="8">
        <f>H35+H56+H77+H98+H119+H140+H161+H182+H203+H224+H245+H266+H287+H308+H329</f>
        <v/>
      </c>
      <c r="I14" s="8">
        <f>G14+H14</f>
        <v/>
      </c>
      <c r="J14" s="8">
        <f>D14+G14</f>
        <v/>
      </c>
      <c r="K14" s="8">
        <f>E14+H14</f>
        <v/>
      </c>
      <c r="L14" s="8">
        <f>J14+K14</f>
        <v/>
      </c>
      <c r="M14" s="9">
        <f>IF(C14=0,0,L14/C14*100)</f>
        <v/>
      </c>
    </row>
    <row r="15">
      <c r="A15" s="7" t="n">
        <v>11</v>
      </c>
      <c r="B15" s="8" t="n">
        <v>6760</v>
      </c>
      <c r="C15" s="8" t="n">
        <v>3244.8</v>
      </c>
      <c r="D15" s="8">
        <f>D36+D57+D78+D99+D120+D141+D162+D183+D204+D225+D246+D267+D288+D309+D330</f>
        <v/>
      </c>
      <c r="E15" s="8">
        <f>E36+E57+E78+E99+E120+E141+E162+E183+E204+E225+E246+E267+E288+E309+E330</f>
        <v/>
      </c>
      <c r="F15" s="8">
        <f>D15+E15</f>
        <v/>
      </c>
      <c r="G15" s="8">
        <f>G36+G57+G78+G99+G120+G141+G162+G183+G204+G225+G246+G267+G288+G309+G330</f>
        <v/>
      </c>
      <c r="H15" s="8">
        <f>H36+H57+H78+H99+H120+H141+H162+H183+H204+H225+H246+H267+H288+H309+H330</f>
        <v/>
      </c>
      <c r="I15" s="8">
        <f>G15+H15</f>
        <v/>
      </c>
      <c r="J15" s="8">
        <f>D15+G15</f>
        <v/>
      </c>
      <c r="K15" s="8">
        <f>E15+H15</f>
        <v/>
      </c>
      <c r="L15" s="8">
        <f>J15+K15</f>
        <v/>
      </c>
      <c r="M15" s="9">
        <f>IF(C15=0,0,L15/C15*100)</f>
        <v/>
      </c>
    </row>
    <row r="16">
      <c r="A16" s="7" t="n">
        <v>12</v>
      </c>
      <c r="B16" s="8" t="n">
        <v>8356</v>
      </c>
      <c r="C16" s="8" t="n">
        <v>4010.879999999999</v>
      </c>
      <c r="D16" s="8">
        <f>D37+D58+D79+D100+D121+D142+D163+D184+D205+D226+D247+D268+D289+D310+D331</f>
        <v/>
      </c>
      <c r="E16" s="8">
        <f>E37+E58+E79+E100+E121+E142+E163+E184+E205+E226+E247+E268+E289+E310+E331</f>
        <v/>
      </c>
      <c r="F16" s="8">
        <f>D16+E16</f>
        <v/>
      </c>
      <c r="G16" s="8">
        <f>G37+G58+G79+G100+G121+G142+G163+G184+G205+G226+G247+G268+G289+G310+G331</f>
        <v/>
      </c>
      <c r="H16" s="8">
        <f>H37+H58+H79+H100+H121+H142+H163+H184+H205+H226+H247+H268+H289+H310+H331</f>
        <v/>
      </c>
      <c r="I16" s="8">
        <f>G16+H16</f>
        <v/>
      </c>
      <c r="J16" s="8">
        <f>D16+G16</f>
        <v/>
      </c>
      <c r="K16" s="8">
        <f>E16+H16</f>
        <v/>
      </c>
      <c r="L16" s="8">
        <f>J16+K16</f>
        <v/>
      </c>
      <c r="M16" s="9">
        <f>IF(C16=0,0,L16/C16*100)</f>
        <v/>
      </c>
    </row>
    <row r="17">
      <c r="A17" s="7" t="n">
        <v>13</v>
      </c>
      <c r="B17" s="8" t="n">
        <v>7618</v>
      </c>
      <c r="C17" s="8" t="n">
        <v>3656.64</v>
      </c>
      <c r="D17" s="8">
        <f>D38+D59+D80+D101+D122+D143+D164+D185+D206+D227+D248+D269+D290+D311+D332</f>
        <v/>
      </c>
      <c r="E17" s="8">
        <f>E38+E59+E80+E101+E122+E143+E164+E185+E206+E227+E248+E269+E290+E311+E332</f>
        <v/>
      </c>
      <c r="F17" s="8">
        <f>D17+E17</f>
        <v/>
      </c>
      <c r="G17" s="8">
        <f>G38+G59+G80+G101+G122+G143+G164+G185+G206+G227+G248+G269+G290+G311+G332</f>
        <v/>
      </c>
      <c r="H17" s="8">
        <f>H38+H59+H80+H101+H122+H143+H164+H185+H206+H227+H248+H269+H290+H311+H332</f>
        <v/>
      </c>
      <c r="I17" s="8">
        <f>G17+H17</f>
        <v/>
      </c>
      <c r="J17" s="8">
        <f>D17+G17</f>
        <v/>
      </c>
      <c r="K17" s="8">
        <f>E17+H17</f>
        <v/>
      </c>
      <c r="L17" s="8">
        <f>J17+K17</f>
        <v/>
      </c>
      <c r="M17" s="9">
        <f>IF(C17=0,0,L17/C17*100)</f>
        <v/>
      </c>
    </row>
    <row r="18">
      <c r="A18" s="7" t="n">
        <v>14</v>
      </c>
      <c r="B18" s="8" t="n">
        <v>7074</v>
      </c>
      <c r="C18" s="8" t="n">
        <v>3395.52</v>
      </c>
      <c r="D18" s="8">
        <f>D39+D60+D81+D102+D123+D144+D165+D186+D207+D228+D249+D270+D291+D312+D333</f>
        <v/>
      </c>
      <c r="E18" s="8">
        <f>E39+E60+E81+E102+E123+E144+E165+E186+E207+E228+E249+E270+E291+E312+E333</f>
        <v/>
      </c>
      <c r="F18" s="8">
        <f>D18+E18</f>
        <v/>
      </c>
      <c r="G18" s="8">
        <f>G39+G60+G81+G102+G123+G144+G165+G186+G207+G228+G249+G270+G291+G312+G333</f>
        <v/>
      </c>
      <c r="H18" s="8">
        <f>H39+H60+H81+H102+H123+H144+H165+H186+H207+H228+H249+H270+H291+H312+H333</f>
        <v/>
      </c>
      <c r="I18" s="8">
        <f>G18+H18</f>
        <v/>
      </c>
      <c r="J18" s="8">
        <f>D18+G18</f>
        <v/>
      </c>
      <c r="K18" s="8">
        <f>E18+H18</f>
        <v/>
      </c>
      <c r="L18" s="8">
        <f>J18+K18</f>
        <v/>
      </c>
      <c r="M18" s="9">
        <f>IF(C18=0,0,L18/C18*100)</f>
        <v/>
      </c>
    </row>
    <row r="19">
      <c r="A19" s="7" t="n">
        <v>15</v>
      </c>
      <c r="B19" s="8" t="n">
        <v>8487</v>
      </c>
      <c r="C19" s="8" t="n">
        <v>4073.76</v>
      </c>
      <c r="D19" s="8">
        <f>D40+D61+D82+D103+D124+D145+D166+D187+D208+D229+D250+D271+D292+D313+D334</f>
        <v/>
      </c>
      <c r="E19" s="8">
        <f>E40+E61+E82+E103+E124+E145+E166+E187+E208+E229+E250+E271+E292+E313+E334</f>
        <v/>
      </c>
      <c r="F19" s="8">
        <f>D19+E19</f>
        <v/>
      </c>
      <c r="G19" s="8">
        <f>G40+G61+G82+G103+G124+G145+G166+G187+G208+G229+G250+G271+G292+G313+G334</f>
        <v/>
      </c>
      <c r="H19" s="8">
        <f>H40+H61+H82+H103+H124+H145+H166+H187+H208+H229+H250+H271+H292+H313+H334</f>
        <v/>
      </c>
      <c r="I19" s="8">
        <f>G19+H19</f>
        <v/>
      </c>
      <c r="J19" s="8">
        <f>D19+G19</f>
        <v/>
      </c>
      <c r="K19" s="8">
        <f>E19+H19</f>
        <v/>
      </c>
      <c r="L19" s="8">
        <f>J19+K19</f>
        <v/>
      </c>
      <c r="M19" s="9">
        <f>IF(C19=0,0,L19/C19*100)</f>
        <v/>
      </c>
    </row>
    <row r="20">
      <c r="A20" s="10" t="inlineStr">
        <is>
          <t>Total</t>
        </is>
      </c>
      <c r="B20" s="11">
        <f>SUM(B5:B19)</f>
        <v/>
      </c>
      <c r="C20" s="11">
        <f>SUM(C5:C19)</f>
        <v/>
      </c>
      <c r="D20" s="11">
        <f>SUM(D5:D19)</f>
        <v/>
      </c>
      <c r="E20" s="11">
        <f>SUM(E5:E19)</f>
        <v/>
      </c>
      <c r="F20" s="11">
        <f>D20+E20</f>
        <v/>
      </c>
      <c r="G20" s="11">
        <f>SUM(G5:G19)</f>
        <v/>
      </c>
      <c r="H20" s="11">
        <f>SUM(H5:H19)</f>
        <v/>
      </c>
      <c r="I20" s="11">
        <f>G20+H20</f>
        <v/>
      </c>
      <c r="J20" s="11">
        <f>D20+G20</f>
        <v/>
      </c>
      <c r="K20" s="11">
        <f>E20+H20</f>
        <v/>
      </c>
      <c r="L20" s="11">
        <f>J20+K20</f>
        <v/>
      </c>
      <c r="M20" s="12">
        <f>IF(C20=0,0,L20/C20*100)</f>
        <v/>
      </c>
    </row>
    <row r="22">
      <c r="A22" s="13" t="inlineStr">
        <is>
          <t>Day 1 - 2026-10-05 (Mon 19 Aswin 2083)</t>
        </is>
      </c>
    </row>
    <row r="23">
      <c r="A23" s="6" t="inlineStr">
        <is>
          <t>Ward no.</t>
        </is>
      </c>
      <c r="B23" s="6" t="inlineStr">
        <is>
          <t>Total population</t>
        </is>
      </c>
      <c r="C23" s="6" t="inlineStr">
        <is>
          <t>JE target population</t>
        </is>
      </c>
      <c r="D23" s="6" t="inlineStr">
        <is>
          <t>Vaccinated</t>
        </is>
      </c>
      <c r="E23" s="6" t="n"/>
      <c r="F23" s="6" t="n"/>
      <c r="G23" s="6" t="n"/>
      <c r="H23" s="6" t="n"/>
      <c r="I23" s="6" t="n"/>
      <c r="J23" s="6" t="n"/>
      <c r="K23" s="6" t="n"/>
      <c r="L23" s="6" t="n"/>
      <c r="M23" s="6" t="inlineStr">
        <is>
          <t>Progress %</t>
        </is>
      </c>
    </row>
    <row r="24">
      <c r="A24" s="6" t="n"/>
      <c r="B24" s="6" t="n"/>
      <c r="C24" s="6" t="n"/>
      <c r="D24" s="6" t="inlineStr">
        <is>
          <t>Age 30-60 yrs</t>
        </is>
      </c>
      <c r="E24" s="6" t="n"/>
      <c r="F24" s="6" t="n"/>
      <c r="G24" s="6" t="inlineStr">
        <is>
          <t>Age 60 above</t>
        </is>
      </c>
      <c r="H24" s="6" t="n"/>
      <c r="I24" s="6" t="n"/>
      <c r="J24" s="6" t="inlineStr">
        <is>
          <t>Total</t>
        </is>
      </c>
      <c r="K24" s="6" t="n"/>
      <c r="L24" s="6" t="inlineStr">
        <is>
          <t>Grand Total</t>
        </is>
      </c>
      <c r="M24" s="6" t="n"/>
    </row>
    <row r="25">
      <c r="A25" s="6" t="n"/>
      <c r="B25" s="6" t="n"/>
      <c r="C25" s="6" t="n"/>
      <c r="D25" s="6" t="inlineStr">
        <is>
          <t>F</t>
        </is>
      </c>
      <c r="E25" s="6" t="inlineStr">
        <is>
          <t>M</t>
        </is>
      </c>
      <c r="F25" s="6" t="inlineStr">
        <is>
          <t>Total</t>
        </is>
      </c>
      <c r="G25" s="6" t="inlineStr">
        <is>
          <t>F</t>
        </is>
      </c>
      <c r="H25" s="6" t="inlineStr">
        <is>
          <t>M</t>
        </is>
      </c>
      <c r="I25" s="6" t="inlineStr">
        <is>
          <t>Total</t>
        </is>
      </c>
      <c r="J25" s="6" t="inlineStr">
        <is>
          <t>F</t>
        </is>
      </c>
      <c r="K25" s="6" t="inlineStr">
        <is>
          <t>M</t>
        </is>
      </c>
      <c r="L25" s="6" t="n"/>
      <c r="M25" s="6" t="n"/>
    </row>
    <row r="26">
      <c r="A26" s="7" t="n">
        <v>1</v>
      </c>
      <c r="B26" s="8">
        <f>B5</f>
        <v/>
      </c>
      <c r="C26" s="8">
        <f>C5</f>
        <v/>
      </c>
      <c r="D26" s="14" t="n"/>
      <c r="E26" s="14" t="n"/>
      <c r="F26" s="8">
        <f>D26+E26</f>
        <v/>
      </c>
      <c r="G26" s="14" t="n"/>
      <c r="H26" s="14" t="n"/>
      <c r="I26" s="8">
        <f>G26+H26</f>
        <v/>
      </c>
      <c r="J26" s="8">
        <f>D26+G26</f>
        <v/>
      </c>
      <c r="K26" s="8">
        <f>E26+H26</f>
        <v/>
      </c>
      <c r="L26" s="8">
        <f>J26+K26</f>
        <v/>
      </c>
      <c r="M26" s="9">
        <f>IF(C26=0,0,L26/C26*100)</f>
        <v/>
      </c>
    </row>
    <row r="27">
      <c r="A27" s="7" t="n">
        <v>2</v>
      </c>
      <c r="B27" s="8">
        <f>B6</f>
        <v/>
      </c>
      <c r="C27" s="8">
        <f>C6</f>
        <v/>
      </c>
      <c r="D27" s="14" t="n"/>
      <c r="E27" s="14" t="n"/>
      <c r="F27" s="8">
        <f>D27+E27</f>
        <v/>
      </c>
      <c r="G27" s="14" t="n"/>
      <c r="H27" s="14" t="n"/>
      <c r="I27" s="8">
        <f>G27+H27</f>
        <v/>
      </c>
      <c r="J27" s="8">
        <f>D27+G27</f>
        <v/>
      </c>
      <c r="K27" s="8">
        <f>E27+H27</f>
        <v/>
      </c>
      <c r="L27" s="8">
        <f>J27+K27</f>
        <v/>
      </c>
      <c r="M27" s="9">
        <f>IF(C27=0,0,L27/C27*100)</f>
        <v/>
      </c>
    </row>
    <row r="28">
      <c r="A28" s="7" t="n">
        <v>3</v>
      </c>
      <c r="B28" s="8">
        <f>B7</f>
        <v/>
      </c>
      <c r="C28" s="8">
        <f>C7</f>
        <v/>
      </c>
      <c r="D28" s="14" t="n"/>
      <c r="E28" s="14" t="n"/>
      <c r="F28" s="8">
        <f>D28+E28</f>
        <v/>
      </c>
      <c r="G28" s="14" t="n"/>
      <c r="H28" s="14" t="n"/>
      <c r="I28" s="8">
        <f>G28+H28</f>
        <v/>
      </c>
      <c r="J28" s="8">
        <f>D28+G28</f>
        <v/>
      </c>
      <c r="K28" s="8">
        <f>E28+H28</f>
        <v/>
      </c>
      <c r="L28" s="8">
        <f>J28+K28</f>
        <v/>
      </c>
      <c r="M28" s="9">
        <f>IF(C28=0,0,L28/C28*100)</f>
        <v/>
      </c>
    </row>
    <row r="29">
      <c r="A29" s="7" t="n">
        <v>4</v>
      </c>
      <c r="B29" s="8">
        <f>B8</f>
        <v/>
      </c>
      <c r="C29" s="8">
        <f>C8</f>
        <v/>
      </c>
      <c r="D29" s="14" t="n"/>
      <c r="E29" s="14" t="n"/>
      <c r="F29" s="8">
        <f>D29+E29</f>
        <v/>
      </c>
      <c r="G29" s="14" t="n"/>
      <c r="H29" s="14" t="n"/>
      <c r="I29" s="8">
        <f>G29+H29</f>
        <v/>
      </c>
      <c r="J29" s="8">
        <f>D29+G29</f>
        <v/>
      </c>
      <c r="K29" s="8">
        <f>E29+H29</f>
        <v/>
      </c>
      <c r="L29" s="8">
        <f>J29+K29</f>
        <v/>
      </c>
      <c r="M29" s="9">
        <f>IF(C29=0,0,L29/C29*100)</f>
        <v/>
      </c>
    </row>
    <row r="30">
      <c r="A30" s="7" t="n">
        <v>5</v>
      </c>
      <c r="B30" s="8">
        <f>B9</f>
        <v/>
      </c>
      <c r="C30" s="8">
        <f>C9</f>
        <v/>
      </c>
      <c r="D30" s="14" t="n"/>
      <c r="E30" s="14" t="n"/>
      <c r="F30" s="8">
        <f>D30+E30</f>
        <v/>
      </c>
      <c r="G30" s="14" t="n"/>
      <c r="H30" s="14" t="n"/>
      <c r="I30" s="8">
        <f>G30+H30</f>
        <v/>
      </c>
      <c r="J30" s="8">
        <f>D30+G30</f>
        <v/>
      </c>
      <c r="K30" s="8">
        <f>E30+H30</f>
        <v/>
      </c>
      <c r="L30" s="8">
        <f>J30+K30</f>
        <v/>
      </c>
      <c r="M30" s="9">
        <f>IF(C30=0,0,L30/C30*100)</f>
        <v/>
      </c>
    </row>
    <row r="31">
      <c r="A31" s="7" t="n">
        <v>6</v>
      </c>
      <c r="B31" s="8">
        <f>B10</f>
        <v/>
      </c>
      <c r="C31" s="8">
        <f>C10</f>
        <v/>
      </c>
      <c r="D31" s="14" t="n"/>
      <c r="E31" s="14" t="n"/>
      <c r="F31" s="8">
        <f>D31+E31</f>
        <v/>
      </c>
      <c r="G31" s="14" t="n"/>
      <c r="H31" s="14" t="n"/>
      <c r="I31" s="8">
        <f>G31+H31</f>
        <v/>
      </c>
      <c r="J31" s="8">
        <f>D31+G31</f>
        <v/>
      </c>
      <c r="K31" s="8">
        <f>E31+H31</f>
        <v/>
      </c>
      <c r="L31" s="8">
        <f>J31+K31</f>
        <v/>
      </c>
      <c r="M31" s="9">
        <f>IF(C31=0,0,L31/C31*100)</f>
        <v/>
      </c>
    </row>
    <row r="32">
      <c r="A32" s="7" t="n">
        <v>7</v>
      </c>
      <c r="B32" s="8">
        <f>B11</f>
        <v/>
      </c>
      <c r="C32" s="8">
        <f>C11</f>
        <v/>
      </c>
      <c r="D32" s="14" t="n"/>
      <c r="E32" s="14" t="n"/>
      <c r="F32" s="8">
        <f>D32+E32</f>
        <v/>
      </c>
      <c r="G32" s="14" t="n"/>
      <c r="H32" s="14" t="n"/>
      <c r="I32" s="8">
        <f>G32+H32</f>
        <v/>
      </c>
      <c r="J32" s="8">
        <f>D32+G32</f>
        <v/>
      </c>
      <c r="K32" s="8">
        <f>E32+H32</f>
        <v/>
      </c>
      <c r="L32" s="8">
        <f>J32+K32</f>
        <v/>
      </c>
      <c r="M32" s="9">
        <f>IF(C32=0,0,L32/C32*100)</f>
        <v/>
      </c>
    </row>
    <row r="33">
      <c r="A33" s="7" t="n">
        <v>8</v>
      </c>
      <c r="B33" s="8">
        <f>B12</f>
        <v/>
      </c>
      <c r="C33" s="8">
        <f>C12</f>
        <v/>
      </c>
      <c r="D33" s="14" t="n"/>
      <c r="E33" s="14" t="n"/>
      <c r="F33" s="8">
        <f>D33+E33</f>
        <v/>
      </c>
      <c r="G33" s="14" t="n"/>
      <c r="H33" s="14" t="n"/>
      <c r="I33" s="8">
        <f>G33+H33</f>
        <v/>
      </c>
      <c r="J33" s="8">
        <f>D33+G33</f>
        <v/>
      </c>
      <c r="K33" s="8">
        <f>E33+H33</f>
        <v/>
      </c>
      <c r="L33" s="8">
        <f>J33+K33</f>
        <v/>
      </c>
      <c r="M33" s="9">
        <f>IF(C33=0,0,L33/C33*100)</f>
        <v/>
      </c>
    </row>
    <row r="34">
      <c r="A34" s="7" t="n">
        <v>9</v>
      </c>
      <c r="B34" s="8">
        <f>B13</f>
        <v/>
      </c>
      <c r="C34" s="8">
        <f>C13</f>
        <v/>
      </c>
      <c r="D34" s="14" t="n"/>
      <c r="E34" s="14" t="n"/>
      <c r="F34" s="8">
        <f>D34+E34</f>
        <v/>
      </c>
      <c r="G34" s="14" t="n"/>
      <c r="H34" s="14" t="n"/>
      <c r="I34" s="8">
        <f>G34+H34</f>
        <v/>
      </c>
      <c r="J34" s="8">
        <f>D34+G34</f>
        <v/>
      </c>
      <c r="K34" s="8">
        <f>E34+H34</f>
        <v/>
      </c>
      <c r="L34" s="8">
        <f>J34+K34</f>
        <v/>
      </c>
      <c r="M34" s="9">
        <f>IF(C34=0,0,L34/C34*100)</f>
        <v/>
      </c>
    </row>
    <row r="35">
      <c r="A35" s="7" t="n">
        <v>10</v>
      </c>
      <c r="B35" s="8">
        <f>B14</f>
        <v/>
      </c>
      <c r="C35" s="8">
        <f>C14</f>
        <v/>
      </c>
      <c r="D35" s="14" t="n"/>
      <c r="E35" s="14" t="n"/>
      <c r="F35" s="8">
        <f>D35+E35</f>
        <v/>
      </c>
      <c r="G35" s="14" t="n"/>
      <c r="H35" s="14" t="n"/>
      <c r="I35" s="8">
        <f>G35+H35</f>
        <v/>
      </c>
      <c r="J35" s="8">
        <f>D35+G35</f>
        <v/>
      </c>
      <c r="K35" s="8">
        <f>E35+H35</f>
        <v/>
      </c>
      <c r="L35" s="8">
        <f>J35+K35</f>
        <v/>
      </c>
      <c r="M35" s="9">
        <f>IF(C35=0,0,L35/C35*100)</f>
        <v/>
      </c>
    </row>
    <row r="36">
      <c r="A36" s="7" t="n">
        <v>11</v>
      </c>
      <c r="B36" s="8">
        <f>B15</f>
        <v/>
      </c>
      <c r="C36" s="8">
        <f>C15</f>
        <v/>
      </c>
      <c r="D36" s="14" t="n"/>
      <c r="E36" s="14" t="n"/>
      <c r="F36" s="8">
        <f>D36+E36</f>
        <v/>
      </c>
      <c r="G36" s="14" t="n"/>
      <c r="H36" s="14" t="n"/>
      <c r="I36" s="8">
        <f>G36+H36</f>
        <v/>
      </c>
      <c r="J36" s="8">
        <f>D36+G36</f>
        <v/>
      </c>
      <c r="K36" s="8">
        <f>E36+H36</f>
        <v/>
      </c>
      <c r="L36" s="8">
        <f>J36+K36</f>
        <v/>
      </c>
      <c r="M36" s="9">
        <f>IF(C36=0,0,L36/C36*100)</f>
        <v/>
      </c>
    </row>
    <row r="37">
      <c r="A37" s="7" t="n">
        <v>12</v>
      </c>
      <c r="B37" s="8">
        <f>B16</f>
        <v/>
      </c>
      <c r="C37" s="8">
        <f>C16</f>
        <v/>
      </c>
      <c r="D37" s="14" t="n"/>
      <c r="E37" s="14" t="n"/>
      <c r="F37" s="8">
        <f>D37+E37</f>
        <v/>
      </c>
      <c r="G37" s="14" t="n"/>
      <c r="H37" s="14" t="n"/>
      <c r="I37" s="8">
        <f>G37+H37</f>
        <v/>
      </c>
      <c r="J37" s="8">
        <f>D37+G37</f>
        <v/>
      </c>
      <c r="K37" s="8">
        <f>E37+H37</f>
        <v/>
      </c>
      <c r="L37" s="8">
        <f>J37+K37</f>
        <v/>
      </c>
      <c r="M37" s="9">
        <f>IF(C37=0,0,L37/C37*100)</f>
        <v/>
      </c>
    </row>
    <row r="38">
      <c r="A38" s="7" t="n">
        <v>13</v>
      </c>
      <c r="B38" s="8">
        <f>B17</f>
        <v/>
      </c>
      <c r="C38" s="8">
        <f>C17</f>
        <v/>
      </c>
      <c r="D38" s="14" t="n"/>
      <c r="E38" s="14" t="n"/>
      <c r="F38" s="8">
        <f>D38+E38</f>
        <v/>
      </c>
      <c r="G38" s="14" t="n"/>
      <c r="H38" s="14" t="n"/>
      <c r="I38" s="8">
        <f>G38+H38</f>
        <v/>
      </c>
      <c r="J38" s="8">
        <f>D38+G38</f>
        <v/>
      </c>
      <c r="K38" s="8">
        <f>E38+H38</f>
        <v/>
      </c>
      <c r="L38" s="8">
        <f>J38+K38</f>
        <v/>
      </c>
      <c r="M38" s="9">
        <f>IF(C38=0,0,L38/C38*100)</f>
        <v/>
      </c>
    </row>
    <row r="39">
      <c r="A39" s="7" t="n">
        <v>14</v>
      </c>
      <c r="B39" s="8">
        <f>B18</f>
        <v/>
      </c>
      <c r="C39" s="8">
        <f>C18</f>
        <v/>
      </c>
      <c r="D39" s="14" t="n"/>
      <c r="E39" s="14" t="n"/>
      <c r="F39" s="8">
        <f>D39+E39</f>
        <v/>
      </c>
      <c r="G39" s="14" t="n"/>
      <c r="H39" s="14" t="n"/>
      <c r="I39" s="8">
        <f>G39+H39</f>
        <v/>
      </c>
      <c r="J39" s="8">
        <f>D39+G39</f>
        <v/>
      </c>
      <c r="K39" s="8">
        <f>E39+H39</f>
        <v/>
      </c>
      <c r="L39" s="8">
        <f>J39+K39</f>
        <v/>
      </c>
      <c r="M39" s="9">
        <f>IF(C39=0,0,L39/C39*100)</f>
        <v/>
      </c>
    </row>
    <row r="40">
      <c r="A40" s="7" t="n">
        <v>15</v>
      </c>
      <c r="B40" s="8">
        <f>B19</f>
        <v/>
      </c>
      <c r="C40" s="8">
        <f>C19</f>
        <v/>
      </c>
      <c r="D40" s="14" t="n"/>
      <c r="E40" s="14" t="n"/>
      <c r="F40" s="8">
        <f>D40+E40</f>
        <v/>
      </c>
      <c r="G40" s="14" t="n"/>
      <c r="H40" s="14" t="n"/>
      <c r="I40" s="8">
        <f>G40+H40</f>
        <v/>
      </c>
      <c r="J40" s="8">
        <f>D40+G40</f>
        <v/>
      </c>
      <c r="K40" s="8">
        <f>E40+H40</f>
        <v/>
      </c>
      <c r="L40" s="8">
        <f>J40+K40</f>
        <v/>
      </c>
      <c r="M40" s="9">
        <f>IF(C40=0,0,L40/C40*100)</f>
        <v/>
      </c>
    </row>
    <row r="41">
      <c r="A41" s="10" t="inlineStr">
        <is>
          <t>Total</t>
        </is>
      </c>
      <c r="B41" s="11">
        <f>SUM(B26:B40)</f>
        <v/>
      </c>
      <c r="C41" s="11">
        <f>SUM(C26:C40)</f>
        <v/>
      </c>
      <c r="D41" s="11">
        <f>SUM(D26:D40)</f>
        <v/>
      </c>
      <c r="E41" s="11">
        <f>SUM(E26:E40)</f>
        <v/>
      </c>
      <c r="F41" s="11">
        <f>D41+E41</f>
        <v/>
      </c>
      <c r="G41" s="11">
        <f>SUM(G26:G40)</f>
        <v/>
      </c>
      <c r="H41" s="11">
        <f>SUM(H26:H40)</f>
        <v/>
      </c>
      <c r="I41" s="11">
        <f>G41+H41</f>
        <v/>
      </c>
      <c r="J41" s="11">
        <f>D41+G41</f>
        <v/>
      </c>
      <c r="K41" s="11">
        <f>E41+H41</f>
        <v/>
      </c>
      <c r="L41" s="11">
        <f>J41+K41</f>
        <v/>
      </c>
      <c r="M41" s="12">
        <f>IF(C41=0,0,L41/C41*100)</f>
        <v/>
      </c>
    </row>
    <row r="43">
      <c r="A43" s="13" t="inlineStr">
        <is>
          <t>Day 2 - 2026-10-06 (Tue 20 Aswin 2083)</t>
        </is>
      </c>
    </row>
    <row r="44">
      <c r="A44" s="6" t="inlineStr">
        <is>
          <t>Ward no.</t>
        </is>
      </c>
      <c r="B44" s="6" t="inlineStr">
        <is>
          <t>Total population</t>
        </is>
      </c>
      <c r="C44" s="6" t="inlineStr">
        <is>
          <t>JE target population</t>
        </is>
      </c>
      <c r="D44" s="6" t="inlineStr">
        <is>
          <t>Vaccinated</t>
        </is>
      </c>
      <c r="E44" s="6" t="n"/>
      <c r="F44" s="6" t="n"/>
      <c r="G44" s="6" t="n"/>
      <c r="H44" s="6" t="n"/>
      <c r="I44" s="6" t="n"/>
      <c r="J44" s="6" t="n"/>
      <c r="K44" s="6" t="n"/>
      <c r="L44" s="6" t="n"/>
      <c r="M44" s="6" t="inlineStr">
        <is>
          <t>Progress %</t>
        </is>
      </c>
    </row>
    <row r="45">
      <c r="A45" s="6" t="n"/>
      <c r="B45" s="6" t="n"/>
      <c r="C45" s="6" t="n"/>
      <c r="D45" s="6" t="inlineStr">
        <is>
          <t>Age 30-60 yrs</t>
        </is>
      </c>
      <c r="E45" s="6" t="n"/>
      <c r="F45" s="6" t="n"/>
      <c r="G45" s="6" t="inlineStr">
        <is>
          <t>Age 60 above</t>
        </is>
      </c>
      <c r="H45" s="6" t="n"/>
      <c r="I45" s="6" t="n"/>
      <c r="J45" s="6" t="inlineStr">
        <is>
          <t>Total</t>
        </is>
      </c>
      <c r="K45" s="6" t="n"/>
      <c r="L45" s="6" t="inlineStr">
        <is>
          <t>Grand Total</t>
        </is>
      </c>
      <c r="M45" s="6" t="n"/>
    </row>
    <row r="46">
      <c r="A46" s="6" t="n"/>
      <c r="B46" s="6" t="n"/>
      <c r="C46" s="6" t="n"/>
      <c r="D46" s="6" t="inlineStr">
        <is>
          <t>F</t>
        </is>
      </c>
      <c r="E46" s="6" t="inlineStr">
        <is>
          <t>M</t>
        </is>
      </c>
      <c r="F46" s="6" t="inlineStr">
        <is>
          <t>Total</t>
        </is>
      </c>
      <c r="G46" s="6" t="inlineStr">
        <is>
          <t>F</t>
        </is>
      </c>
      <c r="H46" s="6" t="inlineStr">
        <is>
          <t>M</t>
        </is>
      </c>
      <c r="I46" s="6" t="inlineStr">
        <is>
          <t>Total</t>
        </is>
      </c>
      <c r="J46" s="6" t="inlineStr">
        <is>
          <t>F</t>
        </is>
      </c>
      <c r="K46" s="6" t="inlineStr">
        <is>
          <t>M</t>
        </is>
      </c>
      <c r="L46" s="6" t="n"/>
      <c r="M46" s="6" t="n"/>
    </row>
    <row r="47">
      <c r="A47" s="7" t="n">
        <v>1</v>
      </c>
      <c r="B47" s="8">
        <f>B5</f>
        <v/>
      </c>
      <c r="C47" s="8">
        <f>C5</f>
        <v/>
      </c>
      <c r="D47" s="14" t="n"/>
      <c r="E47" s="14" t="n"/>
      <c r="F47" s="8">
        <f>D47+E47</f>
        <v/>
      </c>
      <c r="G47" s="14" t="n"/>
      <c r="H47" s="14" t="n"/>
      <c r="I47" s="8">
        <f>G47+H47</f>
        <v/>
      </c>
      <c r="J47" s="8">
        <f>D47+G47</f>
        <v/>
      </c>
      <c r="K47" s="8">
        <f>E47+H47</f>
        <v/>
      </c>
      <c r="L47" s="8">
        <f>J47+K47</f>
        <v/>
      </c>
      <c r="M47" s="9">
        <f>IF(C47=0,0,L47/C47*100)</f>
        <v/>
      </c>
    </row>
    <row r="48">
      <c r="A48" s="7" t="n">
        <v>2</v>
      </c>
      <c r="B48" s="8">
        <f>B6</f>
        <v/>
      </c>
      <c r="C48" s="8">
        <f>C6</f>
        <v/>
      </c>
      <c r="D48" s="14" t="n"/>
      <c r="E48" s="14" t="n"/>
      <c r="F48" s="8">
        <f>D48+E48</f>
        <v/>
      </c>
      <c r="G48" s="14" t="n"/>
      <c r="H48" s="14" t="n"/>
      <c r="I48" s="8">
        <f>G48+H48</f>
        <v/>
      </c>
      <c r="J48" s="8">
        <f>D48+G48</f>
        <v/>
      </c>
      <c r="K48" s="8">
        <f>E48+H48</f>
        <v/>
      </c>
      <c r="L48" s="8">
        <f>J48+K48</f>
        <v/>
      </c>
      <c r="M48" s="9">
        <f>IF(C48=0,0,L48/C48*100)</f>
        <v/>
      </c>
    </row>
    <row r="49">
      <c r="A49" s="7" t="n">
        <v>3</v>
      </c>
      <c r="B49" s="8">
        <f>B7</f>
        <v/>
      </c>
      <c r="C49" s="8">
        <f>C7</f>
        <v/>
      </c>
      <c r="D49" s="14" t="n"/>
      <c r="E49" s="14" t="n"/>
      <c r="F49" s="8">
        <f>D49+E49</f>
        <v/>
      </c>
      <c r="G49" s="14" t="n"/>
      <c r="H49" s="14" t="n"/>
      <c r="I49" s="8">
        <f>G49+H49</f>
        <v/>
      </c>
      <c r="J49" s="8">
        <f>D49+G49</f>
        <v/>
      </c>
      <c r="K49" s="8">
        <f>E49+H49</f>
        <v/>
      </c>
      <c r="L49" s="8">
        <f>J49+K49</f>
        <v/>
      </c>
      <c r="M49" s="9">
        <f>IF(C49=0,0,L49/C49*100)</f>
        <v/>
      </c>
    </row>
    <row r="50">
      <c r="A50" s="7" t="n">
        <v>4</v>
      </c>
      <c r="B50" s="8">
        <f>B8</f>
        <v/>
      </c>
      <c r="C50" s="8">
        <f>C8</f>
        <v/>
      </c>
      <c r="D50" s="14" t="n"/>
      <c r="E50" s="14" t="n"/>
      <c r="F50" s="8">
        <f>D50+E50</f>
        <v/>
      </c>
      <c r="G50" s="14" t="n"/>
      <c r="H50" s="14" t="n"/>
      <c r="I50" s="8">
        <f>G50+H50</f>
        <v/>
      </c>
      <c r="J50" s="8">
        <f>D50+G50</f>
        <v/>
      </c>
      <c r="K50" s="8">
        <f>E50+H50</f>
        <v/>
      </c>
      <c r="L50" s="8">
        <f>J50+K50</f>
        <v/>
      </c>
      <c r="M50" s="9">
        <f>IF(C50=0,0,L50/C50*100)</f>
        <v/>
      </c>
    </row>
    <row r="51">
      <c r="A51" s="7" t="n">
        <v>5</v>
      </c>
      <c r="B51" s="8">
        <f>B9</f>
        <v/>
      </c>
      <c r="C51" s="8">
        <f>C9</f>
        <v/>
      </c>
      <c r="D51" s="14" t="n"/>
      <c r="E51" s="14" t="n"/>
      <c r="F51" s="8">
        <f>D51+E51</f>
        <v/>
      </c>
      <c r="G51" s="14" t="n"/>
      <c r="H51" s="14" t="n"/>
      <c r="I51" s="8">
        <f>G51+H51</f>
        <v/>
      </c>
      <c r="J51" s="8">
        <f>D51+G51</f>
        <v/>
      </c>
      <c r="K51" s="8">
        <f>E51+H51</f>
        <v/>
      </c>
      <c r="L51" s="8">
        <f>J51+K51</f>
        <v/>
      </c>
      <c r="M51" s="9">
        <f>IF(C51=0,0,L51/C51*100)</f>
        <v/>
      </c>
    </row>
    <row r="52">
      <c r="A52" s="7" t="n">
        <v>6</v>
      </c>
      <c r="B52" s="8">
        <f>B10</f>
        <v/>
      </c>
      <c r="C52" s="8">
        <f>C10</f>
        <v/>
      </c>
      <c r="D52" s="14" t="n"/>
      <c r="E52" s="14" t="n"/>
      <c r="F52" s="8">
        <f>D52+E52</f>
        <v/>
      </c>
      <c r="G52" s="14" t="n"/>
      <c r="H52" s="14" t="n"/>
      <c r="I52" s="8">
        <f>G52+H52</f>
        <v/>
      </c>
      <c r="J52" s="8">
        <f>D52+G52</f>
        <v/>
      </c>
      <c r="K52" s="8">
        <f>E52+H52</f>
        <v/>
      </c>
      <c r="L52" s="8">
        <f>J52+K52</f>
        <v/>
      </c>
      <c r="M52" s="9">
        <f>IF(C52=0,0,L52/C52*100)</f>
        <v/>
      </c>
    </row>
    <row r="53">
      <c r="A53" s="7" t="n">
        <v>7</v>
      </c>
      <c r="B53" s="8">
        <f>B11</f>
        <v/>
      </c>
      <c r="C53" s="8">
        <f>C11</f>
        <v/>
      </c>
      <c r="D53" s="14" t="n"/>
      <c r="E53" s="14" t="n"/>
      <c r="F53" s="8">
        <f>D53+E53</f>
        <v/>
      </c>
      <c r="G53" s="14" t="n"/>
      <c r="H53" s="14" t="n"/>
      <c r="I53" s="8">
        <f>G53+H53</f>
        <v/>
      </c>
      <c r="J53" s="8">
        <f>D53+G53</f>
        <v/>
      </c>
      <c r="K53" s="8">
        <f>E53+H53</f>
        <v/>
      </c>
      <c r="L53" s="8">
        <f>J53+K53</f>
        <v/>
      </c>
      <c r="M53" s="9">
        <f>IF(C53=0,0,L53/C53*100)</f>
        <v/>
      </c>
    </row>
    <row r="54">
      <c r="A54" s="7" t="n">
        <v>8</v>
      </c>
      <c r="B54" s="8">
        <f>B12</f>
        <v/>
      </c>
      <c r="C54" s="8">
        <f>C12</f>
        <v/>
      </c>
      <c r="D54" s="14" t="n"/>
      <c r="E54" s="14" t="n"/>
      <c r="F54" s="8">
        <f>D54+E54</f>
        <v/>
      </c>
      <c r="G54" s="14" t="n"/>
      <c r="H54" s="14" t="n"/>
      <c r="I54" s="8">
        <f>G54+H54</f>
        <v/>
      </c>
      <c r="J54" s="8">
        <f>D54+G54</f>
        <v/>
      </c>
      <c r="K54" s="8">
        <f>E54+H54</f>
        <v/>
      </c>
      <c r="L54" s="8">
        <f>J54+K54</f>
        <v/>
      </c>
      <c r="M54" s="9">
        <f>IF(C54=0,0,L54/C54*100)</f>
        <v/>
      </c>
    </row>
    <row r="55">
      <c r="A55" s="7" t="n">
        <v>9</v>
      </c>
      <c r="B55" s="8">
        <f>B13</f>
        <v/>
      </c>
      <c r="C55" s="8">
        <f>C13</f>
        <v/>
      </c>
      <c r="D55" s="14" t="n"/>
      <c r="E55" s="14" t="n"/>
      <c r="F55" s="8">
        <f>D55+E55</f>
        <v/>
      </c>
      <c r="G55" s="14" t="n"/>
      <c r="H55" s="14" t="n"/>
      <c r="I55" s="8">
        <f>G55+H55</f>
        <v/>
      </c>
      <c r="J55" s="8">
        <f>D55+G55</f>
        <v/>
      </c>
      <c r="K55" s="8">
        <f>E55+H55</f>
        <v/>
      </c>
      <c r="L55" s="8">
        <f>J55+K55</f>
        <v/>
      </c>
      <c r="M55" s="9">
        <f>IF(C55=0,0,L55/C55*100)</f>
        <v/>
      </c>
    </row>
    <row r="56">
      <c r="A56" s="7" t="n">
        <v>10</v>
      </c>
      <c r="B56" s="8">
        <f>B14</f>
        <v/>
      </c>
      <c r="C56" s="8">
        <f>C14</f>
        <v/>
      </c>
      <c r="D56" s="14" t="n"/>
      <c r="E56" s="14" t="n"/>
      <c r="F56" s="8">
        <f>D56+E56</f>
        <v/>
      </c>
      <c r="G56" s="14" t="n"/>
      <c r="H56" s="14" t="n"/>
      <c r="I56" s="8">
        <f>G56+H56</f>
        <v/>
      </c>
      <c r="J56" s="8">
        <f>D56+G56</f>
        <v/>
      </c>
      <c r="K56" s="8">
        <f>E56+H56</f>
        <v/>
      </c>
      <c r="L56" s="8">
        <f>J56+K56</f>
        <v/>
      </c>
      <c r="M56" s="9">
        <f>IF(C56=0,0,L56/C56*100)</f>
        <v/>
      </c>
    </row>
    <row r="57">
      <c r="A57" s="7" t="n">
        <v>11</v>
      </c>
      <c r="B57" s="8">
        <f>B15</f>
        <v/>
      </c>
      <c r="C57" s="8">
        <f>C15</f>
        <v/>
      </c>
      <c r="D57" s="14" t="n"/>
      <c r="E57" s="14" t="n"/>
      <c r="F57" s="8">
        <f>D57+E57</f>
        <v/>
      </c>
      <c r="G57" s="14" t="n"/>
      <c r="H57" s="14" t="n"/>
      <c r="I57" s="8">
        <f>G57+H57</f>
        <v/>
      </c>
      <c r="J57" s="8">
        <f>D57+G57</f>
        <v/>
      </c>
      <c r="K57" s="8">
        <f>E57+H57</f>
        <v/>
      </c>
      <c r="L57" s="8">
        <f>J57+K57</f>
        <v/>
      </c>
      <c r="M57" s="9">
        <f>IF(C57=0,0,L57/C57*100)</f>
        <v/>
      </c>
    </row>
    <row r="58">
      <c r="A58" s="7" t="n">
        <v>12</v>
      </c>
      <c r="B58" s="8">
        <f>B16</f>
        <v/>
      </c>
      <c r="C58" s="8">
        <f>C16</f>
        <v/>
      </c>
      <c r="D58" s="14" t="n"/>
      <c r="E58" s="14" t="n"/>
      <c r="F58" s="8">
        <f>D58+E58</f>
        <v/>
      </c>
      <c r="G58" s="14" t="n"/>
      <c r="H58" s="14" t="n"/>
      <c r="I58" s="8">
        <f>G58+H58</f>
        <v/>
      </c>
      <c r="J58" s="8">
        <f>D58+G58</f>
        <v/>
      </c>
      <c r="K58" s="8">
        <f>E58+H58</f>
        <v/>
      </c>
      <c r="L58" s="8">
        <f>J58+K58</f>
        <v/>
      </c>
      <c r="M58" s="9">
        <f>IF(C58=0,0,L58/C58*100)</f>
        <v/>
      </c>
    </row>
    <row r="59">
      <c r="A59" s="7" t="n">
        <v>13</v>
      </c>
      <c r="B59" s="8">
        <f>B17</f>
        <v/>
      </c>
      <c r="C59" s="8">
        <f>C17</f>
        <v/>
      </c>
      <c r="D59" s="14" t="n"/>
      <c r="E59" s="14" t="n"/>
      <c r="F59" s="8">
        <f>D59+E59</f>
        <v/>
      </c>
      <c r="G59" s="14" t="n"/>
      <c r="H59" s="14" t="n"/>
      <c r="I59" s="8">
        <f>G59+H59</f>
        <v/>
      </c>
      <c r="J59" s="8">
        <f>D59+G59</f>
        <v/>
      </c>
      <c r="K59" s="8">
        <f>E59+H59</f>
        <v/>
      </c>
      <c r="L59" s="8">
        <f>J59+K59</f>
        <v/>
      </c>
      <c r="M59" s="9">
        <f>IF(C59=0,0,L59/C59*100)</f>
        <v/>
      </c>
    </row>
    <row r="60">
      <c r="A60" s="7" t="n">
        <v>14</v>
      </c>
      <c r="B60" s="8">
        <f>B18</f>
        <v/>
      </c>
      <c r="C60" s="8">
        <f>C18</f>
        <v/>
      </c>
      <c r="D60" s="14" t="n"/>
      <c r="E60" s="14" t="n"/>
      <c r="F60" s="8">
        <f>D60+E60</f>
        <v/>
      </c>
      <c r="G60" s="14" t="n"/>
      <c r="H60" s="14" t="n"/>
      <c r="I60" s="8">
        <f>G60+H60</f>
        <v/>
      </c>
      <c r="J60" s="8">
        <f>D60+G60</f>
        <v/>
      </c>
      <c r="K60" s="8">
        <f>E60+H60</f>
        <v/>
      </c>
      <c r="L60" s="8">
        <f>J60+K60</f>
        <v/>
      </c>
      <c r="M60" s="9">
        <f>IF(C60=0,0,L60/C60*100)</f>
        <v/>
      </c>
    </row>
    <row r="61">
      <c r="A61" s="7" t="n">
        <v>15</v>
      </c>
      <c r="B61" s="8">
        <f>B19</f>
        <v/>
      </c>
      <c r="C61" s="8">
        <f>C19</f>
        <v/>
      </c>
      <c r="D61" s="14" t="n"/>
      <c r="E61" s="14" t="n"/>
      <c r="F61" s="8">
        <f>D61+E61</f>
        <v/>
      </c>
      <c r="G61" s="14" t="n"/>
      <c r="H61" s="14" t="n"/>
      <c r="I61" s="8">
        <f>G61+H61</f>
        <v/>
      </c>
      <c r="J61" s="8">
        <f>D61+G61</f>
        <v/>
      </c>
      <c r="K61" s="8">
        <f>E61+H61</f>
        <v/>
      </c>
      <c r="L61" s="8">
        <f>J61+K61</f>
        <v/>
      </c>
      <c r="M61" s="9">
        <f>IF(C61=0,0,L61/C61*100)</f>
        <v/>
      </c>
    </row>
    <row r="62">
      <c r="A62" s="10" t="inlineStr">
        <is>
          <t>Total</t>
        </is>
      </c>
      <c r="B62" s="11">
        <f>SUM(B47:B61)</f>
        <v/>
      </c>
      <c r="C62" s="11">
        <f>SUM(C47:C61)</f>
        <v/>
      </c>
      <c r="D62" s="11">
        <f>SUM(D47:D61)</f>
        <v/>
      </c>
      <c r="E62" s="11">
        <f>SUM(E47:E61)</f>
        <v/>
      </c>
      <c r="F62" s="11">
        <f>D62+E62</f>
        <v/>
      </c>
      <c r="G62" s="11">
        <f>SUM(G47:G61)</f>
        <v/>
      </c>
      <c r="H62" s="11">
        <f>SUM(H47:H61)</f>
        <v/>
      </c>
      <c r="I62" s="11">
        <f>G62+H62</f>
        <v/>
      </c>
      <c r="J62" s="11">
        <f>D62+G62</f>
        <v/>
      </c>
      <c r="K62" s="11">
        <f>E62+H62</f>
        <v/>
      </c>
      <c r="L62" s="11">
        <f>J62+K62</f>
        <v/>
      </c>
      <c r="M62" s="12">
        <f>IF(C62=0,0,L62/C62*100)</f>
        <v/>
      </c>
    </row>
    <row r="64">
      <c r="A64" s="13" t="inlineStr">
        <is>
          <t>Day 3 - 2026-10-07 (Wed 21 Aswin 2083)</t>
        </is>
      </c>
    </row>
    <row r="65">
      <c r="A65" s="6" t="inlineStr">
        <is>
          <t>Ward no.</t>
        </is>
      </c>
      <c r="B65" s="6" t="inlineStr">
        <is>
          <t>Total population</t>
        </is>
      </c>
      <c r="C65" s="6" t="inlineStr">
        <is>
          <t>JE target population</t>
        </is>
      </c>
      <c r="D65" s="6" t="inlineStr">
        <is>
          <t>Vaccinated</t>
        </is>
      </c>
      <c r="E65" s="6" t="n"/>
      <c r="F65" s="6" t="n"/>
      <c r="G65" s="6" t="n"/>
      <c r="H65" s="6" t="n"/>
      <c r="I65" s="6" t="n"/>
      <c r="J65" s="6" t="n"/>
      <c r="K65" s="6" t="n"/>
      <c r="L65" s="6" t="n"/>
      <c r="M65" s="6" t="inlineStr">
        <is>
          <t>Progress %</t>
        </is>
      </c>
    </row>
    <row r="66">
      <c r="A66" s="6" t="n"/>
      <c r="B66" s="6" t="n"/>
      <c r="C66" s="6" t="n"/>
      <c r="D66" s="6" t="inlineStr">
        <is>
          <t>Age 30-60 yrs</t>
        </is>
      </c>
      <c r="E66" s="6" t="n"/>
      <c r="F66" s="6" t="n"/>
      <c r="G66" s="6" t="inlineStr">
        <is>
          <t>Age 60 above</t>
        </is>
      </c>
      <c r="H66" s="6" t="n"/>
      <c r="I66" s="6" t="n"/>
      <c r="J66" s="6" t="inlineStr">
        <is>
          <t>Total</t>
        </is>
      </c>
      <c r="K66" s="6" t="n"/>
      <c r="L66" s="6" t="inlineStr">
        <is>
          <t>Grand Total</t>
        </is>
      </c>
      <c r="M66" s="6" t="n"/>
    </row>
    <row r="67">
      <c r="A67" s="6" t="n"/>
      <c r="B67" s="6" t="n"/>
      <c r="C67" s="6" t="n"/>
      <c r="D67" s="6" t="inlineStr">
        <is>
          <t>F</t>
        </is>
      </c>
      <c r="E67" s="6" t="inlineStr">
        <is>
          <t>M</t>
        </is>
      </c>
      <c r="F67" s="6" t="inlineStr">
        <is>
          <t>Total</t>
        </is>
      </c>
      <c r="G67" s="6" t="inlineStr">
        <is>
          <t>F</t>
        </is>
      </c>
      <c r="H67" s="6" t="inlineStr">
        <is>
          <t>M</t>
        </is>
      </c>
      <c r="I67" s="6" t="inlineStr">
        <is>
          <t>Total</t>
        </is>
      </c>
      <c r="J67" s="6" t="inlineStr">
        <is>
          <t>F</t>
        </is>
      </c>
      <c r="K67" s="6" t="inlineStr">
        <is>
          <t>M</t>
        </is>
      </c>
      <c r="L67" s="6" t="n"/>
      <c r="M67" s="6" t="n"/>
    </row>
    <row r="68">
      <c r="A68" s="7" t="n">
        <v>1</v>
      </c>
      <c r="B68" s="8">
        <f>B5</f>
        <v/>
      </c>
      <c r="C68" s="8">
        <f>C5</f>
        <v/>
      </c>
      <c r="D68" s="14" t="n"/>
      <c r="E68" s="14" t="n"/>
      <c r="F68" s="8">
        <f>D68+E68</f>
        <v/>
      </c>
      <c r="G68" s="14" t="n"/>
      <c r="H68" s="14" t="n"/>
      <c r="I68" s="8">
        <f>G68+H68</f>
        <v/>
      </c>
      <c r="J68" s="8">
        <f>D68+G68</f>
        <v/>
      </c>
      <c r="K68" s="8">
        <f>E68+H68</f>
        <v/>
      </c>
      <c r="L68" s="8">
        <f>J68+K68</f>
        <v/>
      </c>
      <c r="M68" s="9">
        <f>IF(C68=0,0,L68/C68*100)</f>
        <v/>
      </c>
    </row>
    <row r="69">
      <c r="A69" s="7" t="n">
        <v>2</v>
      </c>
      <c r="B69" s="8">
        <f>B6</f>
        <v/>
      </c>
      <c r="C69" s="8">
        <f>C6</f>
        <v/>
      </c>
      <c r="D69" s="14" t="n"/>
      <c r="E69" s="14" t="n"/>
      <c r="F69" s="8">
        <f>D69+E69</f>
        <v/>
      </c>
      <c r="G69" s="14" t="n"/>
      <c r="H69" s="14" t="n"/>
      <c r="I69" s="8">
        <f>G69+H69</f>
        <v/>
      </c>
      <c r="J69" s="8">
        <f>D69+G69</f>
        <v/>
      </c>
      <c r="K69" s="8">
        <f>E69+H69</f>
        <v/>
      </c>
      <c r="L69" s="8">
        <f>J69+K69</f>
        <v/>
      </c>
      <c r="M69" s="9">
        <f>IF(C69=0,0,L69/C69*100)</f>
        <v/>
      </c>
    </row>
    <row r="70">
      <c r="A70" s="7" t="n">
        <v>3</v>
      </c>
      <c r="B70" s="8">
        <f>B7</f>
        <v/>
      </c>
      <c r="C70" s="8">
        <f>C7</f>
        <v/>
      </c>
      <c r="D70" s="14" t="n"/>
      <c r="E70" s="14" t="n"/>
      <c r="F70" s="8">
        <f>D70+E70</f>
        <v/>
      </c>
      <c r="G70" s="14" t="n"/>
      <c r="H70" s="14" t="n"/>
      <c r="I70" s="8">
        <f>G70+H70</f>
        <v/>
      </c>
      <c r="J70" s="8">
        <f>D70+G70</f>
        <v/>
      </c>
      <c r="K70" s="8">
        <f>E70+H70</f>
        <v/>
      </c>
      <c r="L70" s="8">
        <f>J70+K70</f>
        <v/>
      </c>
      <c r="M70" s="9">
        <f>IF(C70=0,0,L70/C70*100)</f>
        <v/>
      </c>
    </row>
    <row r="71">
      <c r="A71" s="7" t="n">
        <v>4</v>
      </c>
      <c r="B71" s="8">
        <f>B8</f>
        <v/>
      </c>
      <c r="C71" s="8">
        <f>C8</f>
        <v/>
      </c>
      <c r="D71" s="14" t="n"/>
      <c r="E71" s="14" t="n"/>
      <c r="F71" s="8">
        <f>D71+E71</f>
        <v/>
      </c>
      <c r="G71" s="14" t="n"/>
      <c r="H71" s="14" t="n"/>
      <c r="I71" s="8">
        <f>G71+H71</f>
        <v/>
      </c>
      <c r="J71" s="8">
        <f>D71+G71</f>
        <v/>
      </c>
      <c r="K71" s="8">
        <f>E71+H71</f>
        <v/>
      </c>
      <c r="L71" s="8">
        <f>J71+K71</f>
        <v/>
      </c>
      <c r="M71" s="9">
        <f>IF(C71=0,0,L71/C71*100)</f>
        <v/>
      </c>
    </row>
    <row r="72">
      <c r="A72" s="7" t="n">
        <v>5</v>
      </c>
      <c r="B72" s="8">
        <f>B9</f>
        <v/>
      </c>
      <c r="C72" s="8">
        <f>C9</f>
        <v/>
      </c>
      <c r="D72" s="14" t="n"/>
      <c r="E72" s="14" t="n"/>
      <c r="F72" s="8">
        <f>D72+E72</f>
        <v/>
      </c>
      <c r="G72" s="14" t="n"/>
      <c r="H72" s="14" t="n"/>
      <c r="I72" s="8">
        <f>G72+H72</f>
        <v/>
      </c>
      <c r="J72" s="8">
        <f>D72+G72</f>
        <v/>
      </c>
      <c r="K72" s="8">
        <f>E72+H72</f>
        <v/>
      </c>
      <c r="L72" s="8">
        <f>J72+K72</f>
        <v/>
      </c>
      <c r="M72" s="9">
        <f>IF(C72=0,0,L72/C72*100)</f>
        <v/>
      </c>
    </row>
    <row r="73">
      <c r="A73" s="7" t="n">
        <v>6</v>
      </c>
      <c r="B73" s="8">
        <f>B10</f>
        <v/>
      </c>
      <c r="C73" s="8">
        <f>C10</f>
        <v/>
      </c>
      <c r="D73" s="14" t="n"/>
      <c r="E73" s="14" t="n"/>
      <c r="F73" s="8">
        <f>D73+E73</f>
        <v/>
      </c>
      <c r="G73" s="14" t="n"/>
      <c r="H73" s="14" t="n"/>
      <c r="I73" s="8">
        <f>G73+H73</f>
        <v/>
      </c>
      <c r="J73" s="8">
        <f>D73+G73</f>
        <v/>
      </c>
      <c r="K73" s="8">
        <f>E73+H73</f>
        <v/>
      </c>
      <c r="L73" s="8">
        <f>J73+K73</f>
        <v/>
      </c>
      <c r="M73" s="9">
        <f>IF(C73=0,0,L73/C73*100)</f>
        <v/>
      </c>
    </row>
    <row r="74">
      <c r="A74" s="7" t="n">
        <v>7</v>
      </c>
      <c r="B74" s="8">
        <f>B11</f>
        <v/>
      </c>
      <c r="C74" s="8">
        <f>C11</f>
        <v/>
      </c>
      <c r="D74" s="14" t="n"/>
      <c r="E74" s="14" t="n"/>
      <c r="F74" s="8">
        <f>D74+E74</f>
        <v/>
      </c>
      <c r="G74" s="14" t="n"/>
      <c r="H74" s="14" t="n"/>
      <c r="I74" s="8">
        <f>G74+H74</f>
        <v/>
      </c>
      <c r="J74" s="8">
        <f>D74+G74</f>
        <v/>
      </c>
      <c r="K74" s="8">
        <f>E74+H74</f>
        <v/>
      </c>
      <c r="L74" s="8">
        <f>J74+K74</f>
        <v/>
      </c>
      <c r="M74" s="9">
        <f>IF(C74=0,0,L74/C74*100)</f>
        <v/>
      </c>
    </row>
    <row r="75">
      <c r="A75" s="7" t="n">
        <v>8</v>
      </c>
      <c r="B75" s="8">
        <f>B12</f>
        <v/>
      </c>
      <c r="C75" s="8">
        <f>C12</f>
        <v/>
      </c>
      <c r="D75" s="14" t="n"/>
      <c r="E75" s="14" t="n"/>
      <c r="F75" s="8">
        <f>D75+E75</f>
        <v/>
      </c>
      <c r="G75" s="14" t="n"/>
      <c r="H75" s="14" t="n"/>
      <c r="I75" s="8">
        <f>G75+H75</f>
        <v/>
      </c>
      <c r="J75" s="8">
        <f>D75+G75</f>
        <v/>
      </c>
      <c r="K75" s="8">
        <f>E75+H75</f>
        <v/>
      </c>
      <c r="L75" s="8">
        <f>J75+K75</f>
        <v/>
      </c>
      <c r="M75" s="9">
        <f>IF(C75=0,0,L75/C75*100)</f>
        <v/>
      </c>
    </row>
    <row r="76">
      <c r="A76" s="7" t="n">
        <v>9</v>
      </c>
      <c r="B76" s="8">
        <f>B13</f>
        <v/>
      </c>
      <c r="C76" s="8">
        <f>C13</f>
        <v/>
      </c>
      <c r="D76" s="14" t="n"/>
      <c r="E76" s="14" t="n"/>
      <c r="F76" s="8">
        <f>D76+E76</f>
        <v/>
      </c>
      <c r="G76" s="14" t="n"/>
      <c r="H76" s="14" t="n"/>
      <c r="I76" s="8">
        <f>G76+H76</f>
        <v/>
      </c>
      <c r="J76" s="8">
        <f>D76+G76</f>
        <v/>
      </c>
      <c r="K76" s="8">
        <f>E76+H76</f>
        <v/>
      </c>
      <c r="L76" s="8">
        <f>J76+K76</f>
        <v/>
      </c>
      <c r="M76" s="9">
        <f>IF(C76=0,0,L76/C76*100)</f>
        <v/>
      </c>
    </row>
    <row r="77">
      <c r="A77" s="7" t="n">
        <v>10</v>
      </c>
      <c r="B77" s="8">
        <f>B14</f>
        <v/>
      </c>
      <c r="C77" s="8">
        <f>C14</f>
        <v/>
      </c>
      <c r="D77" s="14" t="n"/>
      <c r="E77" s="14" t="n"/>
      <c r="F77" s="8">
        <f>D77+E77</f>
        <v/>
      </c>
      <c r="G77" s="14" t="n"/>
      <c r="H77" s="14" t="n"/>
      <c r="I77" s="8">
        <f>G77+H77</f>
        <v/>
      </c>
      <c r="J77" s="8">
        <f>D77+G77</f>
        <v/>
      </c>
      <c r="K77" s="8">
        <f>E77+H77</f>
        <v/>
      </c>
      <c r="L77" s="8">
        <f>J77+K77</f>
        <v/>
      </c>
      <c r="M77" s="9">
        <f>IF(C77=0,0,L77/C77*100)</f>
        <v/>
      </c>
    </row>
    <row r="78">
      <c r="A78" s="7" t="n">
        <v>11</v>
      </c>
      <c r="B78" s="8">
        <f>B15</f>
        <v/>
      </c>
      <c r="C78" s="8">
        <f>C15</f>
        <v/>
      </c>
      <c r="D78" s="14" t="n"/>
      <c r="E78" s="14" t="n"/>
      <c r="F78" s="8">
        <f>D78+E78</f>
        <v/>
      </c>
      <c r="G78" s="14" t="n"/>
      <c r="H78" s="14" t="n"/>
      <c r="I78" s="8">
        <f>G78+H78</f>
        <v/>
      </c>
      <c r="J78" s="8">
        <f>D78+G78</f>
        <v/>
      </c>
      <c r="K78" s="8">
        <f>E78+H78</f>
        <v/>
      </c>
      <c r="L78" s="8">
        <f>J78+K78</f>
        <v/>
      </c>
      <c r="M78" s="9">
        <f>IF(C78=0,0,L78/C78*100)</f>
        <v/>
      </c>
    </row>
    <row r="79">
      <c r="A79" s="7" t="n">
        <v>12</v>
      </c>
      <c r="B79" s="8">
        <f>B16</f>
        <v/>
      </c>
      <c r="C79" s="8">
        <f>C16</f>
        <v/>
      </c>
      <c r="D79" s="14" t="n"/>
      <c r="E79" s="14" t="n"/>
      <c r="F79" s="8">
        <f>D79+E79</f>
        <v/>
      </c>
      <c r="G79" s="14" t="n"/>
      <c r="H79" s="14" t="n"/>
      <c r="I79" s="8">
        <f>G79+H79</f>
        <v/>
      </c>
      <c r="J79" s="8">
        <f>D79+G79</f>
        <v/>
      </c>
      <c r="K79" s="8">
        <f>E79+H79</f>
        <v/>
      </c>
      <c r="L79" s="8">
        <f>J79+K79</f>
        <v/>
      </c>
      <c r="M79" s="9">
        <f>IF(C79=0,0,L79/C79*100)</f>
        <v/>
      </c>
    </row>
    <row r="80">
      <c r="A80" s="7" t="n">
        <v>13</v>
      </c>
      <c r="B80" s="8">
        <f>B17</f>
        <v/>
      </c>
      <c r="C80" s="8">
        <f>C17</f>
        <v/>
      </c>
      <c r="D80" s="14" t="n"/>
      <c r="E80" s="14" t="n"/>
      <c r="F80" s="8">
        <f>D80+E80</f>
        <v/>
      </c>
      <c r="G80" s="14" t="n"/>
      <c r="H80" s="14" t="n"/>
      <c r="I80" s="8">
        <f>G80+H80</f>
        <v/>
      </c>
      <c r="J80" s="8">
        <f>D80+G80</f>
        <v/>
      </c>
      <c r="K80" s="8">
        <f>E80+H80</f>
        <v/>
      </c>
      <c r="L80" s="8">
        <f>J80+K80</f>
        <v/>
      </c>
      <c r="M80" s="9">
        <f>IF(C80=0,0,L80/C80*100)</f>
        <v/>
      </c>
    </row>
    <row r="81">
      <c r="A81" s="7" t="n">
        <v>14</v>
      </c>
      <c r="B81" s="8">
        <f>B18</f>
        <v/>
      </c>
      <c r="C81" s="8">
        <f>C18</f>
        <v/>
      </c>
      <c r="D81" s="14" t="n"/>
      <c r="E81" s="14" t="n"/>
      <c r="F81" s="8">
        <f>D81+E81</f>
        <v/>
      </c>
      <c r="G81" s="14" t="n"/>
      <c r="H81" s="14" t="n"/>
      <c r="I81" s="8">
        <f>G81+H81</f>
        <v/>
      </c>
      <c r="J81" s="8">
        <f>D81+G81</f>
        <v/>
      </c>
      <c r="K81" s="8">
        <f>E81+H81</f>
        <v/>
      </c>
      <c r="L81" s="8">
        <f>J81+K81</f>
        <v/>
      </c>
      <c r="M81" s="9">
        <f>IF(C81=0,0,L81/C81*100)</f>
        <v/>
      </c>
    </row>
    <row r="82">
      <c r="A82" s="7" t="n">
        <v>15</v>
      </c>
      <c r="B82" s="8">
        <f>B19</f>
        <v/>
      </c>
      <c r="C82" s="8">
        <f>C19</f>
        <v/>
      </c>
      <c r="D82" s="14" t="n"/>
      <c r="E82" s="14" t="n"/>
      <c r="F82" s="8">
        <f>D82+E82</f>
        <v/>
      </c>
      <c r="G82" s="14" t="n"/>
      <c r="H82" s="14" t="n"/>
      <c r="I82" s="8">
        <f>G82+H82</f>
        <v/>
      </c>
      <c r="J82" s="8">
        <f>D82+G82</f>
        <v/>
      </c>
      <c r="K82" s="8">
        <f>E82+H82</f>
        <v/>
      </c>
      <c r="L82" s="8">
        <f>J82+K82</f>
        <v/>
      </c>
      <c r="M82" s="9">
        <f>IF(C82=0,0,L82/C82*100)</f>
        <v/>
      </c>
    </row>
    <row r="83">
      <c r="A83" s="10" t="inlineStr">
        <is>
          <t>Total</t>
        </is>
      </c>
      <c r="B83" s="11">
        <f>SUM(B68:B82)</f>
        <v/>
      </c>
      <c r="C83" s="11">
        <f>SUM(C68:C82)</f>
        <v/>
      </c>
      <c r="D83" s="11">
        <f>SUM(D68:D82)</f>
        <v/>
      </c>
      <c r="E83" s="11">
        <f>SUM(E68:E82)</f>
        <v/>
      </c>
      <c r="F83" s="11">
        <f>D83+E83</f>
        <v/>
      </c>
      <c r="G83" s="11">
        <f>SUM(G68:G82)</f>
        <v/>
      </c>
      <c r="H83" s="11">
        <f>SUM(H68:H82)</f>
        <v/>
      </c>
      <c r="I83" s="11">
        <f>G83+H83</f>
        <v/>
      </c>
      <c r="J83" s="11">
        <f>D83+G83</f>
        <v/>
      </c>
      <c r="K83" s="11">
        <f>E83+H83</f>
        <v/>
      </c>
      <c r="L83" s="11">
        <f>J83+K83</f>
        <v/>
      </c>
      <c r="M83" s="12">
        <f>IF(C83=0,0,L83/C83*100)</f>
        <v/>
      </c>
    </row>
    <row r="85">
      <c r="A85" s="13" t="inlineStr">
        <is>
          <t>Day 4 - 2026-10-08 (Thu 22 Aswin 2083)</t>
        </is>
      </c>
    </row>
    <row r="86">
      <c r="A86" s="6" t="inlineStr">
        <is>
          <t>Ward no.</t>
        </is>
      </c>
      <c r="B86" s="6" t="inlineStr">
        <is>
          <t>Total population</t>
        </is>
      </c>
      <c r="C86" s="6" t="inlineStr">
        <is>
          <t>JE target population</t>
        </is>
      </c>
      <c r="D86" s="6" t="inlineStr">
        <is>
          <t>Vaccinated</t>
        </is>
      </c>
      <c r="E86" s="6" t="n"/>
      <c r="F86" s="6" t="n"/>
      <c r="G86" s="6" t="n"/>
      <c r="H86" s="6" t="n"/>
      <c r="I86" s="6" t="n"/>
      <c r="J86" s="6" t="n"/>
      <c r="K86" s="6" t="n"/>
      <c r="L86" s="6" t="n"/>
      <c r="M86" s="6" t="inlineStr">
        <is>
          <t>Progress %</t>
        </is>
      </c>
    </row>
    <row r="87">
      <c r="A87" s="6" t="n"/>
      <c r="B87" s="6" t="n"/>
      <c r="C87" s="6" t="n"/>
      <c r="D87" s="6" t="inlineStr">
        <is>
          <t>Age 30-60 yrs</t>
        </is>
      </c>
      <c r="E87" s="6" t="n"/>
      <c r="F87" s="6" t="n"/>
      <c r="G87" s="6" t="inlineStr">
        <is>
          <t>Age 60 above</t>
        </is>
      </c>
      <c r="H87" s="6" t="n"/>
      <c r="I87" s="6" t="n"/>
      <c r="J87" s="6" t="inlineStr">
        <is>
          <t>Total</t>
        </is>
      </c>
      <c r="K87" s="6" t="n"/>
      <c r="L87" s="6" t="inlineStr">
        <is>
          <t>Grand Total</t>
        </is>
      </c>
      <c r="M87" s="6" t="n"/>
    </row>
    <row r="88">
      <c r="A88" s="6" t="n"/>
      <c r="B88" s="6" t="n"/>
      <c r="C88" s="6" t="n"/>
      <c r="D88" s="6" t="inlineStr">
        <is>
          <t>F</t>
        </is>
      </c>
      <c r="E88" s="6" t="inlineStr">
        <is>
          <t>M</t>
        </is>
      </c>
      <c r="F88" s="6" t="inlineStr">
        <is>
          <t>Total</t>
        </is>
      </c>
      <c r="G88" s="6" t="inlineStr">
        <is>
          <t>F</t>
        </is>
      </c>
      <c r="H88" s="6" t="inlineStr">
        <is>
          <t>M</t>
        </is>
      </c>
      <c r="I88" s="6" t="inlineStr">
        <is>
          <t>Total</t>
        </is>
      </c>
      <c r="J88" s="6" t="inlineStr">
        <is>
          <t>F</t>
        </is>
      </c>
      <c r="K88" s="6" t="inlineStr">
        <is>
          <t>M</t>
        </is>
      </c>
      <c r="L88" s="6" t="n"/>
      <c r="M88" s="6" t="n"/>
    </row>
    <row r="89">
      <c r="A89" s="7" t="n">
        <v>1</v>
      </c>
      <c r="B89" s="8">
        <f>B5</f>
        <v/>
      </c>
      <c r="C89" s="8">
        <f>C5</f>
        <v/>
      </c>
      <c r="D89" s="14" t="n"/>
      <c r="E89" s="14" t="n"/>
      <c r="F89" s="8">
        <f>D89+E89</f>
        <v/>
      </c>
      <c r="G89" s="14" t="n"/>
      <c r="H89" s="14" t="n"/>
      <c r="I89" s="8">
        <f>G89+H89</f>
        <v/>
      </c>
      <c r="J89" s="8">
        <f>D89+G89</f>
        <v/>
      </c>
      <c r="K89" s="8">
        <f>E89+H89</f>
        <v/>
      </c>
      <c r="L89" s="8">
        <f>J89+K89</f>
        <v/>
      </c>
      <c r="M89" s="9">
        <f>IF(C89=0,0,L89/C89*100)</f>
        <v/>
      </c>
    </row>
    <row r="90">
      <c r="A90" s="7" t="n">
        <v>2</v>
      </c>
      <c r="B90" s="8">
        <f>B6</f>
        <v/>
      </c>
      <c r="C90" s="8">
        <f>C6</f>
        <v/>
      </c>
      <c r="D90" s="14" t="n"/>
      <c r="E90" s="14" t="n"/>
      <c r="F90" s="8">
        <f>D90+E90</f>
        <v/>
      </c>
      <c r="G90" s="14" t="n"/>
      <c r="H90" s="14" t="n"/>
      <c r="I90" s="8">
        <f>G90+H90</f>
        <v/>
      </c>
      <c r="J90" s="8">
        <f>D90+G90</f>
        <v/>
      </c>
      <c r="K90" s="8">
        <f>E90+H90</f>
        <v/>
      </c>
      <c r="L90" s="8">
        <f>J90+K90</f>
        <v/>
      </c>
      <c r="M90" s="9">
        <f>IF(C90=0,0,L90/C90*100)</f>
        <v/>
      </c>
    </row>
    <row r="91">
      <c r="A91" s="7" t="n">
        <v>3</v>
      </c>
      <c r="B91" s="8">
        <f>B7</f>
        <v/>
      </c>
      <c r="C91" s="8">
        <f>C7</f>
        <v/>
      </c>
      <c r="D91" s="14" t="n"/>
      <c r="E91" s="14" t="n"/>
      <c r="F91" s="8">
        <f>D91+E91</f>
        <v/>
      </c>
      <c r="G91" s="14" t="n"/>
      <c r="H91" s="14" t="n"/>
      <c r="I91" s="8">
        <f>G91+H91</f>
        <v/>
      </c>
      <c r="J91" s="8">
        <f>D91+G91</f>
        <v/>
      </c>
      <c r="K91" s="8">
        <f>E91+H91</f>
        <v/>
      </c>
      <c r="L91" s="8">
        <f>J91+K91</f>
        <v/>
      </c>
      <c r="M91" s="9">
        <f>IF(C91=0,0,L91/C91*100)</f>
        <v/>
      </c>
    </row>
    <row r="92">
      <c r="A92" s="7" t="n">
        <v>4</v>
      </c>
      <c r="B92" s="8">
        <f>B8</f>
        <v/>
      </c>
      <c r="C92" s="8">
        <f>C8</f>
        <v/>
      </c>
      <c r="D92" s="14" t="n"/>
      <c r="E92" s="14" t="n"/>
      <c r="F92" s="8">
        <f>D92+E92</f>
        <v/>
      </c>
      <c r="G92" s="14" t="n"/>
      <c r="H92" s="14" t="n"/>
      <c r="I92" s="8">
        <f>G92+H92</f>
        <v/>
      </c>
      <c r="J92" s="8">
        <f>D92+G92</f>
        <v/>
      </c>
      <c r="K92" s="8">
        <f>E92+H92</f>
        <v/>
      </c>
      <c r="L92" s="8">
        <f>J92+K92</f>
        <v/>
      </c>
      <c r="M92" s="9">
        <f>IF(C92=0,0,L92/C92*100)</f>
        <v/>
      </c>
    </row>
    <row r="93">
      <c r="A93" s="7" t="n">
        <v>5</v>
      </c>
      <c r="B93" s="8">
        <f>B9</f>
        <v/>
      </c>
      <c r="C93" s="8">
        <f>C9</f>
        <v/>
      </c>
      <c r="D93" s="14" t="n"/>
      <c r="E93" s="14" t="n"/>
      <c r="F93" s="8">
        <f>D93+E93</f>
        <v/>
      </c>
      <c r="G93" s="14" t="n"/>
      <c r="H93" s="14" t="n"/>
      <c r="I93" s="8">
        <f>G93+H93</f>
        <v/>
      </c>
      <c r="J93" s="8">
        <f>D93+G93</f>
        <v/>
      </c>
      <c r="K93" s="8">
        <f>E93+H93</f>
        <v/>
      </c>
      <c r="L93" s="8">
        <f>J93+K93</f>
        <v/>
      </c>
      <c r="M93" s="9">
        <f>IF(C93=0,0,L93/C93*100)</f>
        <v/>
      </c>
    </row>
    <row r="94">
      <c r="A94" s="7" t="n">
        <v>6</v>
      </c>
      <c r="B94" s="8">
        <f>B10</f>
        <v/>
      </c>
      <c r="C94" s="8">
        <f>C10</f>
        <v/>
      </c>
      <c r="D94" s="14" t="n"/>
      <c r="E94" s="14" t="n"/>
      <c r="F94" s="8">
        <f>D94+E94</f>
        <v/>
      </c>
      <c r="G94" s="14" t="n"/>
      <c r="H94" s="14" t="n"/>
      <c r="I94" s="8">
        <f>G94+H94</f>
        <v/>
      </c>
      <c r="J94" s="8">
        <f>D94+G94</f>
        <v/>
      </c>
      <c r="K94" s="8">
        <f>E94+H94</f>
        <v/>
      </c>
      <c r="L94" s="8">
        <f>J94+K94</f>
        <v/>
      </c>
      <c r="M94" s="9">
        <f>IF(C94=0,0,L94/C94*100)</f>
        <v/>
      </c>
    </row>
    <row r="95">
      <c r="A95" s="7" t="n">
        <v>7</v>
      </c>
      <c r="B95" s="8">
        <f>B11</f>
        <v/>
      </c>
      <c r="C95" s="8">
        <f>C11</f>
        <v/>
      </c>
      <c r="D95" s="14" t="n"/>
      <c r="E95" s="14" t="n"/>
      <c r="F95" s="8">
        <f>D95+E95</f>
        <v/>
      </c>
      <c r="G95" s="14" t="n"/>
      <c r="H95" s="14" t="n"/>
      <c r="I95" s="8">
        <f>G95+H95</f>
        <v/>
      </c>
      <c r="J95" s="8">
        <f>D95+G95</f>
        <v/>
      </c>
      <c r="K95" s="8">
        <f>E95+H95</f>
        <v/>
      </c>
      <c r="L95" s="8">
        <f>J95+K95</f>
        <v/>
      </c>
      <c r="M95" s="9">
        <f>IF(C95=0,0,L95/C95*100)</f>
        <v/>
      </c>
    </row>
    <row r="96">
      <c r="A96" s="7" t="n">
        <v>8</v>
      </c>
      <c r="B96" s="8">
        <f>B12</f>
        <v/>
      </c>
      <c r="C96" s="8">
        <f>C12</f>
        <v/>
      </c>
      <c r="D96" s="14" t="n"/>
      <c r="E96" s="14" t="n"/>
      <c r="F96" s="8">
        <f>D96+E96</f>
        <v/>
      </c>
      <c r="G96" s="14" t="n"/>
      <c r="H96" s="14" t="n"/>
      <c r="I96" s="8">
        <f>G96+H96</f>
        <v/>
      </c>
      <c r="J96" s="8">
        <f>D96+G96</f>
        <v/>
      </c>
      <c r="K96" s="8">
        <f>E96+H96</f>
        <v/>
      </c>
      <c r="L96" s="8">
        <f>J96+K96</f>
        <v/>
      </c>
      <c r="M96" s="9">
        <f>IF(C96=0,0,L96/C96*100)</f>
        <v/>
      </c>
    </row>
    <row r="97">
      <c r="A97" s="7" t="n">
        <v>9</v>
      </c>
      <c r="B97" s="8">
        <f>B13</f>
        <v/>
      </c>
      <c r="C97" s="8">
        <f>C13</f>
        <v/>
      </c>
      <c r="D97" s="14" t="n"/>
      <c r="E97" s="14" t="n"/>
      <c r="F97" s="8">
        <f>D97+E97</f>
        <v/>
      </c>
      <c r="G97" s="14" t="n"/>
      <c r="H97" s="14" t="n"/>
      <c r="I97" s="8">
        <f>G97+H97</f>
        <v/>
      </c>
      <c r="J97" s="8">
        <f>D97+G97</f>
        <v/>
      </c>
      <c r="K97" s="8">
        <f>E97+H97</f>
        <v/>
      </c>
      <c r="L97" s="8">
        <f>J97+K97</f>
        <v/>
      </c>
      <c r="M97" s="9">
        <f>IF(C97=0,0,L97/C97*100)</f>
        <v/>
      </c>
    </row>
    <row r="98">
      <c r="A98" s="7" t="n">
        <v>10</v>
      </c>
      <c r="B98" s="8">
        <f>B14</f>
        <v/>
      </c>
      <c r="C98" s="8">
        <f>C14</f>
        <v/>
      </c>
      <c r="D98" s="14" t="n"/>
      <c r="E98" s="14" t="n"/>
      <c r="F98" s="8">
        <f>D98+E98</f>
        <v/>
      </c>
      <c r="G98" s="14" t="n"/>
      <c r="H98" s="14" t="n"/>
      <c r="I98" s="8">
        <f>G98+H98</f>
        <v/>
      </c>
      <c r="J98" s="8">
        <f>D98+G98</f>
        <v/>
      </c>
      <c r="K98" s="8">
        <f>E98+H98</f>
        <v/>
      </c>
      <c r="L98" s="8">
        <f>J98+K98</f>
        <v/>
      </c>
      <c r="M98" s="9">
        <f>IF(C98=0,0,L98/C98*100)</f>
        <v/>
      </c>
    </row>
    <row r="99">
      <c r="A99" s="7" t="n">
        <v>11</v>
      </c>
      <c r="B99" s="8">
        <f>B15</f>
        <v/>
      </c>
      <c r="C99" s="8">
        <f>C15</f>
        <v/>
      </c>
      <c r="D99" s="14" t="n"/>
      <c r="E99" s="14" t="n"/>
      <c r="F99" s="8">
        <f>D99+E99</f>
        <v/>
      </c>
      <c r="G99" s="14" t="n"/>
      <c r="H99" s="14" t="n"/>
      <c r="I99" s="8">
        <f>G99+H99</f>
        <v/>
      </c>
      <c r="J99" s="8">
        <f>D99+G99</f>
        <v/>
      </c>
      <c r="K99" s="8">
        <f>E99+H99</f>
        <v/>
      </c>
      <c r="L99" s="8">
        <f>J99+K99</f>
        <v/>
      </c>
      <c r="M99" s="9">
        <f>IF(C99=0,0,L99/C99*100)</f>
        <v/>
      </c>
    </row>
    <row r="100">
      <c r="A100" s="7" t="n">
        <v>12</v>
      </c>
      <c r="B100" s="8">
        <f>B16</f>
        <v/>
      </c>
      <c r="C100" s="8">
        <f>C16</f>
        <v/>
      </c>
      <c r="D100" s="14" t="n"/>
      <c r="E100" s="14" t="n"/>
      <c r="F100" s="8">
        <f>D100+E100</f>
        <v/>
      </c>
      <c r="G100" s="14" t="n"/>
      <c r="H100" s="14" t="n"/>
      <c r="I100" s="8">
        <f>G100+H100</f>
        <v/>
      </c>
      <c r="J100" s="8">
        <f>D100+G100</f>
        <v/>
      </c>
      <c r="K100" s="8">
        <f>E100+H100</f>
        <v/>
      </c>
      <c r="L100" s="8">
        <f>J100+K100</f>
        <v/>
      </c>
      <c r="M100" s="9">
        <f>IF(C100=0,0,L100/C100*100)</f>
        <v/>
      </c>
    </row>
    <row r="101">
      <c r="A101" s="7" t="n">
        <v>13</v>
      </c>
      <c r="B101" s="8">
        <f>B17</f>
        <v/>
      </c>
      <c r="C101" s="8">
        <f>C17</f>
        <v/>
      </c>
      <c r="D101" s="14" t="n"/>
      <c r="E101" s="14" t="n"/>
      <c r="F101" s="8">
        <f>D101+E101</f>
        <v/>
      </c>
      <c r="G101" s="14" t="n"/>
      <c r="H101" s="14" t="n"/>
      <c r="I101" s="8">
        <f>G101+H101</f>
        <v/>
      </c>
      <c r="J101" s="8">
        <f>D101+G101</f>
        <v/>
      </c>
      <c r="K101" s="8">
        <f>E101+H101</f>
        <v/>
      </c>
      <c r="L101" s="8">
        <f>J101+K101</f>
        <v/>
      </c>
      <c r="M101" s="9">
        <f>IF(C101=0,0,L101/C101*100)</f>
        <v/>
      </c>
    </row>
    <row r="102">
      <c r="A102" s="7" t="n">
        <v>14</v>
      </c>
      <c r="B102" s="8">
        <f>B18</f>
        <v/>
      </c>
      <c r="C102" s="8">
        <f>C18</f>
        <v/>
      </c>
      <c r="D102" s="14" t="n"/>
      <c r="E102" s="14" t="n"/>
      <c r="F102" s="8">
        <f>D102+E102</f>
        <v/>
      </c>
      <c r="G102" s="14" t="n"/>
      <c r="H102" s="14" t="n"/>
      <c r="I102" s="8">
        <f>G102+H102</f>
        <v/>
      </c>
      <c r="J102" s="8">
        <f>D102+G102</f>
        <v/>
      </c>
      <c r="K102" s="8">
        <f>E102+H102</f>
        <v/>
      </c>
      <c r="L102" s="8">
        <f>J102+K102</f>
        <v/>
      </c>
      <c r="M102" s="9">
        <f>IF(C102=0,0,L102/C102*100)</f>
        <v/>
      </c>
    </row>
    <row r="103">
      <c r="A103" s="7" t="n">
        <v>15</v>
      </c>
      <c r="B103" s="8">
        <f>B19</f>
        <v/>
      </c>
      <c r="C103" s="8">
        <f>C19</f>
        <v/>
      </c>
      <c r="D103" s="14" t="n"/>
      <c r="E103" s="14" t="n"/>
      <c r="F103" s="8">
        <f>D103+E103</f>
        <v/>
      </c>
      <c r="G103" s="14" t="n"/>
      <c r="H103" s="14" t="n"/>
      <c r="I103" s="8">
        <f>G103+H103</f>
        <v/>
      </c>
      <c r="J103" s="8">
        <f>D103+G103</f>
        <v/>
      </c>
      <c r="K103" s="8">
        <f>E103+H103</f>
        <v/>
      </c>
      <c r="L103" s="8">
        <f>J103+K103</f>
        <v/>
      </c>
      <c r="M103" s="9">
        <f>IF(C103=0,0,L103/C103*100)</f>
        <v/>
      </c>
    </row>
    <row r="104">
      <c r="A104" s="10" t="inlineStr">
        <is>
          <t>Total</t>
        </is>
      </c>
      <c r="B104" s="11">
        <f>SUM(B89:B103)</f>
        <v/>
      </c>
      <c r="C104" s="11">
        <f>SUM(C89:C103)</f>
        <v/>
      </c>
      <c r="D104" s="11">
        <f>SUM(D89:D103)</f>
        <v/>
      </c>
      <c r="E104" s="11">
        <f>SUM(E89:E103)</f>
        <v/>
      </c>
      <c r="F104" s="11">
        <f>D104+E104</f>
        <v/>
      </c>
      <c r="G104" s="11">
        <f>SUM(G89:G103)</f>
        <v/>
      </c>
      <c r="H104" s="11">
        <f>SUM(H89:H103)</f>
        <v/>
      </c>
      <c r="I104" s="11">
        <f>G104+H104</f>
        <v/>
      </c>
      <c r="J104" s="11">
        <f>D104+G104</f>
        <v/>
      </c>
      <c r="K104" s="11">
        <f>E104+H104</f>
        <v/>
      </c>
      <c r="L104" s="11">
        <f>J104+K104</f>
        <v/>
      </c>
      <c r="M104" s="12">
        <f>IF(C104=0,0,L104/C104*100)</f>
        <v/>
      </c>
    </row>
    <row r="106">
      <c r="A106" s="13" t="inlineStr">
        <is>
          <t>Day 5 - 2026-10-09 (Fri 23 Aswin 2083)</t>
        </is>
      </c>
    </row>
    <row r="107">
      <c r="A107" s="6" t="inlineStr">
        <is>
          <t>Ward no.</t>
        </is>
      </c>
      <c r="B107" s="6" t="inlineStr">
        <is>
          <t>Total population</t>
        </is>
      </c>
      <c r="C107" s="6" t="inlineStr">
        <is>
          <t>JE target population</t>
        </is>
      </c>
      <c r="D107" s="6" t="inlineStr">
        <is>
          <t>Vaccinated</t>
        </is>
      </c>
      <c r="E107" s="6" t="n"/>
      <c r="F107" s="6" t="n"/>
      <c r="G107" s="6" t="n"/>
      <c r="H107" s="6" t="n"/>
      <c r="I107" s="6" t="n"/>
      <c r="J107" s="6" t="n"/>
      <c r="K107" s="6" t="n"/>
      <c r="L107" s="6" t="n"/>
      <c r="M107" s="6" t="inlineStr">
        <is>
          <t>Progress %</t>
        </is>
      </c>
    </row>
    <row r="108">
      <c r="A108" s="6" t="n"/>
      <c r="B108" s="6" t="n"/>
      <c r="C108" s="6" t="n"/>
      <c r="D108" s="6" t="inlineStr">
        <is>
          <t>Age 30-60 yrs</t>
        </is>
      </c>
      <c r="E108" s="6" t="n"/>
      <c r="F108" s="6" t="n"/>
      <c r="G108" s="6" t="inlineStr">
        <is>
          <t>Age 60 above</t>
        </is>
      </c>
      <c r="H108" s="6" t="n"/>
      <c r="I108" s="6" t="n"/>
      <c r="J108" s="6" t="inlineStr">
        <is>
          <t>Total</t>
        </is>
      </c>
      <c r="K108" s="6" t="n"/>
      <c r="L108" s="6" t="inlineStr">
        <is>
          <t>Grand Total</t>
        </is>
      </c>
      <c r="M108" s="6" t="n"/>
    </row>
    <row r="109">
      <c r="A109" s="6" t="n"/>
      <c r="B109" s="6" t="n"/>
      <c r="C109" s="6" t="n"/>
      <c r="D109" s="6" t="inlineStr">
        <is>
          <t>F</t>
        </is>
      </c>
      <c r="E109" s="6" t="inlineStr">
        <is>
          <t>M</t>
        </is>
      </c>
      <c r="F109" s="6" t="inlineStr">
        <is>
          <t>Total</t>
        </is>
      </c>
      <c r="G109" s="6" t="inlineStr">
        <is>
          <t>F</t>
        </is>
      </c>
      <c r="H109" s="6" t="inlineStr">
        <is>
          <t>M</t>
        </is>
      </c>
      <c r="I109" s="6" t="inlineStr">
        <is>
          <t>Total</t>
        </is>
      </c>
      <c r="J109" s="6" t="inlineStr">
        <is>
          <t>F</t>
        </is>
      </c>
      <c r="K109" s="6" t="inlineStr">
        <is>
          <t>M</t>
        </is>
      </c>
      <c r="L109" s="6" t="n"/>
      <c r="M109" s="6" t="n"/>
    </row>
    <row r="110">
      <c r="A110" s="7" t="n">
        <v>1</v>
      </c>
      <c r="B110" s="8">
        <f>B5</f>
        <v/>
      </c>
      <c r="C110" s="8">
        <f>C5</f>
        <v/>
      </c>
      <c r="D110" s="14" t="n"/>
      <c r="E110" s="14" t="n"/>
      <c r="F110" s="8">
        <f>D110+E110</f>
        <v/>
      </c>
      <c r="G110" s="14" t="n"/>
      <c r="H110" s="14" t="n"/>
      <c r="I110" s="8">
        <f>G110+H110</f>
        <v/>
      </c>
      <c r="J110" s="8">
        <f>D110+G110</f>
        <v/>
      </c>
      <c r="K110" s="8">
        <f>E110+H110</f>
        <v/>
      </c>
      <c r="L110" s="8">
        <f>J110+K110</f>
        <v/>
      </c>
      <c r="M110" s="9">
        <f>IF(C110=0,0,L110/C110*100)</f>
        <v/>
      </c>
    </row>
    <row r="111">
      <c r="A111" s="7" t="n">
        <v>2</v>
      </c>
      <c r="B111" s="8">
        <f>B6</f>
        <v/>
      </c>
      <c r="C111" s="8">
        <f>C6</f>
        <v/>
      </c>
      <c r="D111" s="14" t="n"/>
      <c r="E111" s="14" t="n"/>
      <c r="F111" s="8">
        <f>D111+E111</f>
        <v/>
      </c>
      <c r="G111" s="14" t="n"/>
      <c r="H111" s="14" t="n"/>
      <c r="I111" s="8">
        <f>G111+H111</f>
        <v/>
      </c>
      <c r="J111" s="8">
        <f>D111+G111</f>
        <v/>
      </c>
      <c r="K111" s="8">
        <f>E111+H111</f>
        <v/>
      </c>
      <c r="L111" s="8">
        <f>J111+K111</f>
        <v/>
      </c>
      <c r="M111" s="9">
        <f>IF(C111=0,0,L111/C111*100)</f>
        <v/>
      </c>
    </row>
    <row r="112">
      <c r="A112" s="7" t="n">
        <v>3</v>
      </c>
      <c r="B112" s="8">
        <f>B7</f>
        <v/>
      </c>
      <c r="C112" s="8">
        <f>C7</f>
        <v/>
      </c>
      <c r="D112" s="14" t="n"/>
      <c r="E112" s="14" t="n"/>
      <c r="F112" s="8">
        <f>D112+E112</f>
        <v/>
      </c>
      <c r="G112" s="14" t="n"/>
      <c r="H112" s="14" t="n"/>
      <c r="I112" s="8">
        <f>G112+H112</f>
        <v/>
      </c>
      <c r="J112" s="8">
        <f>D112+G112</f>
        <v/>
      </c>
      <c r="K112" s="8">
        <f>E112+H112</f>
        <v/>
      </c>
      <c r="L112" s="8">
        <f>J112+K112</f>
        <v/>
      </c>
      <c r="M112" s="9">
        <f>IF(C112=0,0,L112/C112*100)</f>
        <v/>
      </c>
    </row>
    <row r="113">
      <c r="A113" s="7" t="n">
        <v>4</v>
      </c>
      <c r="B113" s="8">
        <f>B8</f>
        <v/>
      </c>
      <c r="C113" s="8">
        <f>C8</f>
        <v/>
      </c>
      <c r="D113" s="14" t="n"/>
      <c r="E113" s="14" t="n"/>
      <c r="F113" s="8">
        <f>D113+E113</f>
        <v/>
      </c>
      <c r="G113" s="14" t="n"/>
      <c r="H113" s="14" t="n"/>
      <c r="I113" s="8">
        <f>G113+H113</f>
        <v/>
      </c>
      <c r="J113" s="8">
        <f>D113+G113</f>
        <v/>
      </c>
      <c r="K113" s="8">
        <f>E113+H113</f>
        <v/>
      </c>
      <c r="L113" s="8">
        <f>J113+K113</f>
        <v/>
      </c>
      <c r="M113" s="9">
        <f>IF(C113=0,0,L113/C113*100)</f>
        <v/>
      </c>
    </row>
    <row r="114">
      <c r="A114" s="7" t="n">
        <v>5</v>
      </c>
      <c r="B114" s="8">
        <f>B9</f>
        <v/>
      </c>
      <c r="C114" s="8">
        <f>C9</f>
        <v/>
      </c>
      <c r="D114" s="14" t="n"/>
      <c r="E114" s="14" t="n"/>
      <c r="F114" s="8">
        <f>D114+E114</f>
        <v/>
      </c>
      <c r="G114" s="14" t="n"/>
      <c r="H114" s="14" t="n"/>
      <c r="I114" s="8">
        <f>G114+H114</f>
        <v/>
      </c>
      <c r="J114" s="8">
        <f>D114+G114</f>
        <v/>
      </c>
      <c r="K114" s="8">
        <f>E114+H114</f>
        <v/>
      </c>
      <c r="L114" s="8">
        <f>J114+K114</f>
        <v/>
      </c>
      <c r="M114" s="9">
        <f>IF(C114=0,0,L114/C114*100)</f>
        <v/>
      </c>
    </row>
    <row r="115">
      <c r="A115" s="7" t="n">
        <v>6</v>
      </c>
      <c r="B115" s="8">
        <f>B10</f>
        <v/>
      </c>
      <c r="C115" s="8">
        <f>C10</f>
        <v/>
      </c>
      <c r="D115" s="14" t="n"/>
      <c r="E115" s="14" t="n"/>
      <c r="F115" s="8">
        <f>D115+E115</f>
        <v/>
      </c>
      <c r="G115" s="14" t="n"/>
      <c r="H115" s="14" t="n"/>
      <c r="I115" s="8">
        <f>G115+H115</f>
        <v/>
      </c>
      <c r="J115" s="8">
        <f>D115+G115</f>
        <v/>
      </c>
      <c r="K115" s="8">
        <f>E115+H115</f>
        <v/>
      </c>
      <c r="L115" s="8">
        <f>J115+K115</f>
        <v/>
      </c>
      <c r="M115" s="9">
        <f>IF(C115=0,0,L115/C115*100)</f>
        <v/>
      </c>
    </row>
    <row r="116">
      <c r="A116" s="7" t="n">
        <v>7</v>
      </c>
      <c r="B116" s="8">
        <f>B11</f>
        <v/>
      </c>
      <c r="C116" s="8">
        <f>C11</f>
        <v/>
      </c>
      <c r="D116" s="14" t="n"/>
      <c r="E116" s="14" t="n"/>
      <c r="F116" s="8">
        <f>D116+E116</f>
        <v/>
      </c>
      <c r="G116" s="14" t="n"/>
      <c r="H116" s="14" t="n"/>
      <c r="I116" s="8">
        <f>G116+H116</f>
        <v/>
      </c>
      <c r="J116" s="8">
        <f>D116+G116</f>
        <v/>
      </c>
      <c r="K116" s="8">
        <f>E116+H116</f>
        <v/>
      </c>
      <c r="L116" s="8">
        <f>J116+K116</f>
        <v/>
      </c>
      <c r="M116" s="9">
        <f>IF(C116=0,0,L116/C116*100)</f>
        <v/>
      </c>
    </row>
    <row r="117">
      <c r="A117" s="7" t="n">
        <v>8</v>
      </c>
      <c r="B117" s="8">
        <f>B12</f>
        <v/>
      </c>
      <c r="C117" s="8">
        <f>C12</f>
        <v/>
      </c>
      <c r="D117" s="14" t="n"/>
      <c r="E117" s="14" t="n"/>
      <c r="F117" s="8">
        <f>D117+E117</f>
        <v/>
      </c>
      <c r="G117" s="14" t="n"/>
      <c r="H117" s="14" t="n"/>
      <c r="I117" s="8">
        <f>G117+H117</f>
        <v/>
      </c>
      <c r="J117" s="8">
        <f>D117+G117</f>
        <v/>
      </c>
      <c r="K117" s="8">
        <f>E117+H117</f>
        <v/>
      </c>
      <c r="L117" s="8">
        <f>J117+K117</f>
        <v/>
      </c>
      <c r="M117" s="9">
        <f>IF(C117=0,0,L117/C117*100)</f>
        <v/>
      </c>
    </row>
    <row r="118">
      <c r="A118" s="7" t="n">
        <v>9</v>
      </c>
      <c r="B118" s="8">
        <f>B13</f>
        <v/>
      </c>
      <c r="C118" s="8">
        <f>C13</f>
        <v/>
      </c>
      <c r="D118" s="14" t="n"/>
      <c r="E118" s="14" t="n"/>
      <c r="F118" s="8">
        <f>D118+E118</f>
        <v/>
      </c>
      <c r="G118" s="14" t="n"/>
      <c r="H118" s="14" t="n"/>
      <c r="I118" s="8">
        <f>G118+H118</f>
        <v/>
      </c>
      <c r="J118" s="8">
        <f>D118+G118</f>
        <v/>
      </c>
      <c r="K118" s="8">
        <f>E118+H118</f>
        <v/>
      </c>
      <c r="L118" s="8">
        <f>J118+K118</f>
        <v/>
      </c>
      <c r="M118" s="9">
        <f>IF(C118=0,0,L118/C118*100)</f>
        <v/>
      </c>
    </row>
    <row r="119">
      <c r="A119" s="7" t="n">
        <v>10</v>
      </c>
      <c r="B119" s="8">
        <f>B14</f>
        <v/>
      </c>
      <c r="C119" s="8">
        <f>C14</f>
        <v/>
      </c>
      <c r="D119" s="14" t="n"/>
      <c r="E119" s="14" t="n"/>
      <c r="F119" s="8">
        <f>D119+E119</f>
        <v/>
      </c>
      <c r="G119" s="14" t="n"/>
      <c r="H119" s="14" t="n"/>
      <c r="I119" s="8">
        <f>G119+H119</f>
        <v/>
      </c>
      <c r="J119" s="8">
        <f>D119+G119</f>
        <v/>
      </c>
      <c r="K119" s="8">
        <f>E119+H119</f>
        <v/>
      </c>
      <c r="L119" s="8">
        <f>J119+K119</f>
        <v/>
      </c>
      <c r="M119" s="9">
        <f>IF(C119=0,0,L119/C119*100)</f>
        <v/>
      </c>
    </row>
    <row r="120">
      <c r="A120" s="7" t="n">
        <v>11</v>
      </c>
      <c r="B120" s="8">
        <f>B15</f>
        <v/>
      </c>
      <c r="C120" s="8">
        <f>C15</f>
        <v/>
      </c>
      <c r="D120" s="14" t="n"/>
      <c r="E120" s="14" t="n"/>
      <c r="F120" s="8">
        <f>D120+E120</f>
        <v/>
      </c>
      <c r="G120" s="14" t="n"/>
      <c r="H120" s="14" t="n"/>
      <c r="I120" s="8">
        <f>G120+H120</f>
        <v/>
      </c>
      <c r="J120" s="8">
        <f>D120+G120</f>
        <v/>
      </c>
      <c r="K120" s="8">
        <f>E120+H120</f>
        <v/>
      </c>
      <c r="L120" s="8">
        <f>J120+K120</f>
        <v/>
      </c>
      <c r="M120" s="9">
        <f>IF(C120=0,0,L120/C120*100)</f>
        <v/>
      </c>
    </row>
    <row r="121">
      <c r="A121" s="7" t="n">
        <v>12</v>
      </c>
      <c r="B121" s="8">
        <f>B16</f>
        <v/>
      </c>
      <c r="C121" s="8">
        <f>C16</f>
        <v/>
      </c>
      <c r="D121" s="14" t="n"/>
      <c r="E121" s="14" t="n"/>
      <c r="F121" s="8">
        <f>D121+E121</f>
        <v/>
      </c>
      <c r="G121" s="14" t="n"/>
      <c r="H121" s="14" t="n"/>
      <c r="I121" s="8">
        <f>G121+H121</f>
        <v/>
      </c>
      <c r="J121" s="8">
        <f>D121+G121</f>
        <v/>
      </c>
      <c r="K121" s="8">
        <f>E121+H121</f>
        <v/>
      </c>
      <c r="L121" s="8">
        <f>J121+K121</f>
        <v/>
      </c>
      <c r="M121" s="9">
        <f>IF(C121=0,0,L121/C121*100)</f>
        <v/>
      </c>
    </row>
    <row r="122">
      <c r="A122" s="7" t="n">
        <v>13</v>
      </c>
      <c r="B122" s="8">
        <f>B17</f>
        <v/>
      </c>
      <c r="C122" s="8">
        <f>C17</f>
        <v/>
      </c>
      <c r="D122" s="14" t="n"/>
      <c r="E122" s="14" t="n"/>
      <c r="F122" s="8">
        <f>D122+E122</f>
        <v/>
      </c>
      <c r="G122" s="14" t="n"/>
      <c r="H122" s="14" t="n"/>
      <c r="I122" s="8">
        <f>G122+H122</f>
        <v/>
      </c>
      <c r="J122" s="8">
        <f>D122+G122</f>
        <v/>
      </c>
      <c r="K122" s="8">
        <f>E122+H122</f>
        <v/>
      </c>
      <c r="L122" s="8">
        <f>J122+K122</f>
        <v/>
      </c>
      <c r="M122" s="9">
        <f>IF(C122=0,0,L122/C122*100)</f>
        <v/>
      </c>
    </row>
    <row r="123">
      <c r="A123" s="7" t="n">
        <v>14</v>
      </c>
      <c r="B123" s="8">
        <f>B18</f>
        <v/>
      </c>
      <c r="C123" s="8">
        <f>C18</f>
        <v/>
      </c>
      <c r="D123" s="14" t="n"/>
      <c r="E123" s="14" t="n"/>
      <c r="F123" s="8">
        <f>D123+E123</f>
        <v/>
      </c>
      <c r="G123" s="14" t="n"/>
      <c r="H123" s="14" t="n"/>
      <c r="I123" s="8">
        <f>G123+H123</f>
        <v/>
      </c>
      <c r="J123" s="8">
        <f>D123+G123</f>
        <v/>
      </c>
      <c r="K123" s="8">
        <f>E123+H123</f>
        <v/>
      </c>
      <c r="L123" s="8">
        <f>J123+K123</f>
        <v/>
      </c>
      <c r="M123" s="9">
        <f>IF(C123=0,0,L123/C123*100)</f>
        <v/>
      </c>
    </row>
    <row r="124">
      <c r="A124" s="7" t="n">
        <v>15</v>
      </c>
      <c r="B124" s="8">
        <f>B19</f>
        <v/>
      </c>
      <c r="C124" s="8">
        <f>C19</f>
        <v/>
      </c>
      <c r="D124" s="14" t="n"/>
      <c r="E124" s="14" t="n"/>
      <c r="F124" s="8">
        <f>D124+E124</f>
        <v/>
      </c>
      <c r="G124" s="14" t="n"/>
      <c r="H124" s="14" t="n"/>
      <c r="I124" s="8">
        <f>G124+H124</f>
        <v/>
      </c>
      <c r="J124" s="8">
        <f>D124+G124</f>
        <v/>
      </c>
      <c r="K124" s="8">
        <f>E124+H124</f>
        <v/>
      </c>
      <c r="L124" s="8">
        <f>J124+K124</f>
        <v/>
      </c>
      <c r="M124" s="9">
        <f>IF(C124=0,0,L124/C124*100)</f>
        <v/>
      </c>
    </row>
    <row r="125">
      <c r="A125" s="10" t="inlineStr">
        <is>
          <t>Total</t>
        </is>
      </c>
      <c r="B125" s="11">
        <f>SUM(B110:B124)</f>
        <v/>
      </c>
      <c r="C125" s="11">
        <f>SUM(C110:C124)</f>
        <v/>
      </c>
      <c r="D125" s="11">
        <f>SUM(D110:D124)</f>
        <v/>
      </c>
      <c r="E125" s="11">
        <f>SUM(E110:E124)</f>
        <v/>
      </c>
      <c r="F125" s="11">
        <f>D125+E125</f>
        <v/>
      </c>
      <c r="G125" s="11">
        <f>SUM(G110:G124)</f>
        <v/>
      </c>
      <c r="H125" s="11">
        <f>SUM(H110:H124)</f>
        <v/>
      </c>
      <c r="I125" s="11">
        <f>G125+H125</f>
        <v/>
      </c>
      <c r="J125" s="11">
        <f>D125+G125</f>
        <v/>
      </c>
      <c r="K125" s="11">
        <f>E125+H125</f>
        <v/>
      </c>
      <c r="L125" s="11">
        <f>J125+K125</f>
        <v/>
      </c>
      <c r="M125" s="12">
        <f>IF(C125=0,0,L125/C125*100)</f>
        <v/>
      </c>
    </row>
    <row r="127">
      <c r="A127" s="13" t="inlineStr">
        <is>
          <t>Day 6 - 2026-10-10 (Sat 24 Aswin 2083)</t>
        </is>
      </c>
    </row>
    <row r="128">
      <c r="A128" s="6" t="inlineStr">
        <is>
          <t>Ward no.</t>
        </is>
      </c>
      <c r="B128" s="6" t="inlineStr">
        <is>
          <t>Total population</t>
        </is>
      </c>
      <c r="C128" s="6" t="inlineStr">
        <is>
          <t>JE target population</t>
        </is>
      </c>
      <c r="D128" s="6" t="inlineStr">
        <is>
          <t>Vaccinated</t>
        </is>
      </c>
      <c r="E128" s="6" t="n"/>
      <c r="F128" s="6" t="n"/>
      <c r="G128" s="6" t="n"/>
      <c r="H128" s="6" t="n"/>
      <c r="I128" s="6" t="n"/>
      <c r="J128" s="6" t="n"/>
      <c r="K128" s="6" t="n"/>
      <c r="L128" s="6" t="n"/>
      <c r="M128" s="6" t="inlineStr">
        <is>
          <t>Progress %</t>
        </is>
      </c>
    </row>
    <row r="129">
      <c r="A129" s="6" t="n"/>
      <c r="B129" s="6" t="n"/>
      <c r="C129" s="6" t="n"/>
      <c r="D129" s="6" t="inlineStr">
        <is>
          <t>Age 30-60 yrs</t>
        </is>
      </c>
      <c r="E129" s="6" t="n"/>
      <c r="F129" s="6" t="n"/>
      <c r="G129" s="6" t="inlineStr">
        <is>
          <t>Age 60 above</t>
        </is>
      </c>
      <c r="H129" s="6" t="n"/>
      <c r="I129" s="6" t="n"/>
      <c r="J129" s="6" t="inlineStr">
        <is>
          <t>Total</t>
        </is>
      </c>
      <c r="K129" s="6" t="n"/>
      <c r="L129" s="6" t="inlineStr">
        <is>
          <t>Grand Total</t>
        </is>
      </c>
      <c r="M129" s="6" t="n"/>
    </row>
    <row r="130">
      <c r="A130" s="6" t="n"/>
      <c r="B130" s="6" t="n"/>
      <c r="C130" s="6" t="n"/>
      <c r="D130" s="6" t="inlineStr">
        <is>
          <t>F</t>
        </is>
      </c>
      <c r="E130" s="6" t="inlineStr">
        <is>
          <t>M</t>
        </is>
      </c>
      <c r="F130" s="6" t="inlineStr">
        <is>
          <t>Total</t>
        </is>
      </c>
      <c r="G130" s="6" t="inlineStr">
        <is>
          <t>F</t>
        </is>
      </c>
      <c r="H130" s="6" t="inlineStr">
        <is>
          <t>M</t>
        </is>
      </c>
      <c r="I130" s="6" t="inlineStr">
        <is>
          <t>Total</t>
        </is>
      </c>
      <c r="J130" s="6" t="inlineStr">
        <is>
          <t>F</t>
        </is>
      </c>
      <c r="K130" s="6" t="inlineStr">
        <is>
          <t>M</t>
        </is>
      </c>
      <c r="L130" s="6" t="n"/>
      <c r="M130" s="6" t="n"/>
    </row>
    <row r="131">
      <c r="A131" s="7" t="n">
        <v>1</v>
      </c>
      <c r="B131" s="8">
        <f>B5</f>
        <v/>
      </c>
      <c r="C131" s="8">
        <f>C5</f>
        <v/>
      </c>
      <c r="D131" s="14" t="n"/>
      <c r="E131" s="14" t="n"/>
      <c r="F131" s="8">
        <f>D131+E131</f>
        <v/>
      </c>
      <c r="G131" s="14" t="n"/>
      <c r="H131" s="14" t="n"/>
      <c r="I131" s="8">
        <f>G131+H131</f>
        <v/>
      </c>
      <c r="J131" s="8">
        <f>D131+G131</f>
        <v/>
      </c>
      <c r="K131" s="8">
        <f>E131+H131</f>
        <v/>
      </c>
      <c r="L131" s="8">
        <f>J131+K131</f>
        <v/>
      </c>
      <c r="M131" s="9">
        <f>IF(C131=0,0,L131/C131*100)</f>
        <v/>
      </c>
    </row>
    <row r="132">
      <c r="A132" s="7" t="n">
        <v>2</v>
      </c>
      <c r="B132" s="8">
        <f>B6</f>
        <v/>
      </c>
      <c r="C132" s="8">
        <f>C6</f>
        <v/>
      </c>
      <c r="D132" s="14" t="n"/>
      <c r="E132" s="14" t="n"/>
      <c r="F132" s="8">
        <f>D132+E132</f>
        <v/>
      </c>
      <c r="G132" s="14" t="n"/>
      <c r="H132" s="14" t="n"/>
      <c r="I132" s="8">
        <f>G132+H132</f>
        <v/>
      </c>
      <c r="J132" s="8">
        <f>D132+G132</f>
        <v/>
      </c>
      <c r="K132" s="8">
        <f>E132+H132</f>
        <v/>
      </c>
      <c r="L132" s="8">
        <f>J132+K132</f>
        <v/>
      </c>
      <c r="M132" s="9">
        <f>IF(C132=0,0,L132/C132*100)</f>
        <v/>
      </c>
    </row>
    <row r="133">
      <c r="A133" s="7" t="n">
        <v>3</v>
      </c>
      <c r="B133" s="8">
        <f>B7</f>
        <v/>
      </c>
      <c r="C133" s="8">
        <f>C7</f>
        <v/>
      </c>
      <c r="D133" s="14" t="n"/>
      <c r="E133" s="14" t="n"/>
      <c r="F133" s="8">
        <f>D133+E133</f>
        <v/>
      </c>
      <c r="G133" s="14" t="n"/>
      <c r="H133" s="14" t="n"/>
      <c r="I133" s="8">
        <f>G133+H133</f>
        <v/>
      </c>
      <c r="J133" s="8">
        <f>D133+G133</f>
        <v/>
      </c>
      <c r="K133" s="8">
        <f>E133+H133</f>
        <v/>
      </c>
      <c r="L133" s="8">
        <f>J133+K133</f>
        <v/>
      </c>
      <c r="M133" s="9">
        <f>IF(C133=0,0,L133/C133*100)</f>
        <v/>
      </c>
    </row>
    <row r="134">
      <c r="A134" s="7" t="n">
        <v>4</v>
      </c>
      <c r="B134" s="8">
        <f>B8</f>
        <v/>
      </c>
      <c r="C134" s="8">
        <f>C8</f>
        <v/>
      </c>
      <c r="D134" s="14" t="n"/>
      <c r="E134" s="14" t="n"/>
      <c r="F134" s="8">
        <f>D134+E134</f>
        <v/>
      </c>
      <c r="G134" s="14" t="n"/>
      <c r="H134" s="14" t="n"/>
      <c r="I134" s="8">
        <f>G134+H134</f>
        <v/>
      </c>
      <c r="J134" s="8">
        <f>D134+G134</f>
        <v/>
      </c>
      <c r="K134" s="8">
        <f>E134+H134</f>
        <v/>
      </c>
      <c r="L134" s="8">
        <f>J134+K134</f>
        <v/>
      </c>
      <c r="M134" s="9">
        <f>IF(C134=0,0,L134/C134*100)</f>
        <v/>
      </c>
    </row>
    <row r="135">
      <c r="A135" s="7" t="n">
        <v>5</v>
      </c>
      <c r="B135" s="8">
        <f>B9</f>
        <v/>
      </c>
      <c r="C135" s="8">
        <f>C9</f>
        <v/>
      </c>
      <c r="D135" s="14" t="n"/>
      <c r="E135" s="14" t="n"/>
      <c r="F135" s="8">
        <f>D135+E135</f>
        <v/>
      </c>
      <c r="G135" s="14" t="n"/>
      <c r="H135" s="14" t="n"/>
      <c r="I135" s="8">
        <f>G135+H135</f>
        <v/>
      </c>
      <c r="J135" s="8">
        <f>D135+G135</f>
        <v/>
      </c>
      <c r="K135" s="8">
        <f>E135+H135</f>
        <v/>
      </c>
      <c r="L135" s="8">
        <f>J135+K135</f>
        <v/>
      </c>
      <c r="M135" s="9">
        <f>IF(C135=0,0,L135/C135*100)</f>
        <v/>
      </c>
    </row>
    <row r="136">
      <c r="A136" s="7" t="n">
        <v>6</v>
      </c>
      <c r="B136" s="8">
        <f>B10</f>
        <v/>
      </c>
      <c r="C136" s="8">
        <f>C10</f>
        <v/>
      </c>
      <c r="D136" s="14" t="n"/>
      <c r="E136" s="14" t="n"/>
      <c r="F136" s="8">
        <f>D136+E136</f>
        <v/>
      </c>
      <c r="G136" s="14" t="n"/>
      <c r="H136" s="14" t="n"/>
      <c r="I136" s="8">
        <f>G136+H136</f>
        <v/>
      </c>
      <c r="J136" s="8">
        <f>D136+G136</f>
        <v/>
      </c>
      <c r="K136" s="8">
        <f>E136+H136</f>
        <v/>
      </c>
      <c r="L136" s="8">
        <f>J136+K136</f>
        <v/>
      </c>
      <c r="M136" s="9">
        <f>IF(C136=0,0,L136/C136*100)</f>
        <v/>
      </c>
    </row>
    <row r="137">
      <c r="A137" s="7" t="n">
        <v>7</v>
      </c>
      <c r="B137" s="8">
        <f>B11</f>
        <v/>
      </c>
      <c r="C137" s="8">
        <f>C11</f>
        <v/>
      </c>
      <c r="D137" s="14" t="n"/>
      <c r="E137" s="14" t="n"/>
      <c r="F137" s="8">
        <f>D137+E137</f>
        <v/>
      </c>
      <c r="G137" s="14" t="n"/>
      <c r="H137" s="14" t="n"/>
      <c r="I137" s="8">
        <f>G137+H137</f>
        <v/>
      </c>
      <c r="J137" s="8">
        <f>D137+G137</f>
        <v/>
      </c>
      <c r="K137" s="8">
        <f>E137+H137</f>
        <v/>
      </c>
      <c r="L137" s="8">
        <f>J137+K137</f>
        <v/>
      </c>
      <c r="M137" s="9">
        <f>IF(C137=0,0,L137/C137*100)</f>
        <v/>
      </c>
    </row>
    <row r="138">
      <c r="A138" s="7" t="n">
        <v>8</v>
      </c>
      <c r="B138" s="8">
        <f>B12</f>
        <v/>
      </c>
      <c r="C138" s="8">
        <f>C12</f>
        <v/>
      </c>
      <c r="D138" s="14" t="n"/>
      <c r="E138" s="14" t="n"/>
      <c r="F138" s="8">
        <f>D138+E138</f>
        <v/>
      </c>
      <c r="G138" s="14" t="n"/>
      <c r="H138" s="14" t="n"/>
      <c r="I138" s="8">
        <f>G138+H138</f>
        <v/>
      </c>
      <c r="J138" s="8">
        <f>D138+G138</f>
        <v/>
      </c>
      <c r="K138" s="8">
        <f>E138+H138</f>
        <v/>
      </c>
      <c r="L138" s="8">
        <f>J138+K138</f>
        <v/>
      </c>
      <c r="M138" s="9">
        <f>IF(C138=0,0,L138/C138*100)</f>
        <v/>
      </c>
    </row>
    <row r="139">
      <c r="A139" s="7" t="n">
        <v>9</v>
      </c>
      <c r="B139" s="8">
        <f>B13</f>
        <v/>
      </c>
      <c r="C139" s="8">
        <f>C13</f>
        <v/>
      </c>
      <c r="D139" s="14" t="n"/>
      <c r="E139" s="14" t="n"/>
      <c r="F139" s="8">
        <f>D139+E139</f>
        <v/>
      </c>
      <c r="G139" s="14" t="n"/>
      <c r="H139" s="14" t="n"/>
      <c r="I139" s="8">
        <f>G139+H139</f>
        <v/>
      </c>
      <c r="J139" s="8">
        <f>D139+G139</f>
        <v/>
      </c>
      <c r="K139" s="8">
        <f>E139+H139</f>
        <v/>
      </c>
      <c r="L139" s="8">
        <f>J139+K139</f>
        <v/>
      </c>
      <c r="M139" s="9">
        <f>IF(C139=0,0,L139/C139*100)</f>
        <v/>
      </c>
    </row>
    <row r="140">
      <c r="A140" s="7" t="n">
        <v>10</v>
      </c>
      <c r="B140" s="8">
        <f>B14</f>
        <v/>
      </c>
      <c r="C140" s="8">
        <f>C14</f>
        <v/>
      </c>
      <c r="D140" s="14" t="n"/>
      <c r="E140" s="14" t="n"/>
      <c r="F140" s="8">
        <f>D140+E140</f>
        <v/>
      </c>
      <c r="G140" s="14" t="n"/>
      <c r="H140" s="14" t="n"/>
      <c r="I140" s="8">
        <f>G140+H140</f>
        <v/>
      </c>
      <c r="J140" s="8">
        <f>D140+G140</f>
        <v/>
      </c>
      <c r="K140" s="8">
        <f>E140+H140</f>
        <v/>
      </c>
      <c r="L140" s="8">
        <f>J140+K140</f>
        <v/>
      </c>
      <c r="M140" s="9">
        <f>IF(C140=0,0,L140/C140*100)</f>
        <v/>
      </c>
    </row>
    <row r="141">
      <c r="A141" s="7" t="n">
        <v>11</v>
      </c>
      <c r="B141" s="8">
        <f>B15</f>
        <v/>
      </c>
      <c r="C141" s="8">
        <f>C15</f>
        <v/>
      </c>
      <c r="D141" s="14" t="n"/>
      <c r="E141" s="14" t="n"/>
      <c r="F141" s="8">
        <f>D141+E141</f>
        <v/>
      </c>
      <c r="G141" s="14" t="n"/>
      <c r="H141" s="14" t="n"/>
      <c r="I141" s="8">
        <f>G141+H141</f>
        <v/>
      </c>
      <c r="J141" s="8">
        <f>D141+G141</f>
        <v/>
      </c>
      <c r="K141" s="8">
        <f>E141+H141</f>
        <v/>
      </c>
      <c r="L141" s="8">
        <f>J141+K141</f>
        <v/>
      </c>
      <c r="M141" s="9">
        <f>IF(C141=0,0,L141/C141*100)</f>
        <v/>
      </c>
    </row>
    <row r="142">
      <c r="A142" s="7" t="n">
        <v>12</v>
      </c>
      <c r="B142" s="8">
        <f>B16</f>
        <v/>
      </c>
      <c r="C142" s="8">
        <f>C16</f>
        <v/>
      </c>
      <c r="D142" s="14" t="n"/>
      <c r="E142" s="14" t="n"/>
      <c r="F142" s="8">
        <f>D142+E142</f>
        <v/>
      </c>
      <c r="G142" s="14" t="n"/>
      <c r="H142" s="14" t="n"/>
      <c r="I142" s="8">
        <f>G142+H142</f>
        <v/>
      </c>
      <c r="J142" s="8">
        <f>D142+G142</f>
        <v/>
      </c>
      <c r="K142" s="8">
        <f>E142+H142</f>
        <v/>
      </c>
      <c r="L142" s="8">
        <f>J142+K142</f>
        <v/>
      </c>
      <c r="M142" s="9">
        <f>IF(C142=0,0,L142/C142*100)</f>
        <v/>
      </c>
    </row>
    <row r="143">
      <c r="A143" s="7" t="n">
        <v>13</v>
      </c>
      <c r="B143" s="8">
        <f>B17</f>
        <v/>
      </c>
      <c r="C143" s="8">
        <f>C17</f>
        <v/>
      </c>
      <c r="D143" s="14" t="n"/>
      <c r="E143" s="14" t="n"/>
      <c r="F143" s="8">
        <f>D143+E143</f>
        <v/>
      </c>
      <c r="G143" s="14" t="n"/>
      <c r="H143" s="14" t="n"/>
      <c r="I143" s="8">
        <f>G143+H143</f>
        <v/>
      </c>
      <c r="J143" s="8">
        <f>D143+G143</f>
        <v/>
      </c>
      <c r="K143" s="8">
        <f>E143+H143</f>
        <v/>
      </c>
      <c r="L143" s="8">
        <f>J143+K143</f>
        <v/>
      </c>
      <c r="M143" s="9">
        <f>IF(C143=0,0,L143/C143*100)</f>
        <v/>
      </c>
    </row>
    <row r="144">
      <c r="A144" s="7" t="n">
        <v>14</v>
      </c>
      <c r="B144" s="8">
        <f>B18</f>
        <v/>
      </c>
      <c r="C144" s="8">
        <f>C18</f>
        <v/>
      </c>
      <c r="D144" s="14" t="n"/>
      <c r="E144" s="14" t="n"/>
      <c r="F144" s="8">
        <f>D144+E144</f>
        <v/>
      </c>
      <c r="G144" s="14" t="n"/>
      <c r="H144" s="14" t="n"/>
      <c r="I144" s="8">
        <f>G144+H144</f>
        <v/>
      </c>
      <c r="J144" s="8">
        <f>D144+G144</f>
        <v/>
      </c>
      <c r="K144" s="8">
        <f>E144+H144</f>
        <v/>
      </c>
      <c r="L144" s="8">
        <f>J144+K144</f>
        <v/>
      </c>
      <c r="M144" s="9">
        <f>IF(C144=0,0,L144/C144*100)</f>
        <v/>
      </c>
    </row>
    <row r="145">
      <c r="A145" s="7" t="n">
        <v>15</v>
      </c>
      <c r="B145" s="8">
        <f>B19</f>
        <v/>
      </c>
      <c r="C145" s="8">
        <f>C19</f>
        <v/>
      </c>
      <c r="D145" s="14" t="n"/>
      <c r="E145" s="14" t="n"/>
      <c r="F145" s="8">
        <f>D145+E145</f>
        <v/>
      </c>
      <c r="G145" s="14" t="n"/>
      <c r="H145" s="14" t="n"/>
      <c r="I145" s="8">
        <f>G145+H145</f>
        <v/>
      </c>
      <c r="J145" s="8">
        <f>D145+G145</f>
        <v/>
      </c>
      <c r="K145" s="8">
        <f>E145+H145</f>
        <v/>
      </c>
      <c r="L145" s="8">
        <f>J145+K145</f>
        <v/>
      </c>
      <c r="M145" s="9">
        <f>IF(C145=0,0,L145/C145*100)</f>
        <v/>
      </c>
    </row>
    <row r="146">
      <c r="A146" s="10" t="inlineStr">
        <is>
          <t>Total</t>
        </is>
      </c>
      <c r="B146" s="11">
        <f>SUM(B131:B145)</f>
        <v/>
      </c>
      <c r="C146" s="11">
        <f>SUM(C131:C145)</f>
        <v/>
      </c>
      <c r="D146" s="11">
        <f>SUM(D131:D145)</f>
        <v/>
      </c>
      <c r="E146" s="11">
        <f>SUM(E131:E145)</f>
        <v/>
      </c>
      <c r="F146" s="11">
        <f>D146+E146</f>
        <v/>
      </c>
      <c r="G146" s="11">
        <f>SUM(G131:G145)</f>
        <v/>
      </c>
      <c r="H146" s="11">
        <f>SUM(H131:H145)</f>
        <v/>
      </c>
      <c r="I146" s="11">
        <f>G146+H146</f>
        <v/>
      </c>
      <c r="J146" s="11">
        <f>D146+G146</f>
        <v/>
      </c>
      <c r="K146" s="11">
        <f>E146+H146</f>
        <v/>
      </c>
      <c r="L146" s="11">
        <f>J146+K146</f>
        <v/>
      </c>
      <c r="M146" s="12">
        <f>IF(C146=0,0,L146/C146*100)</f>
        <v/>
      </c>
    </row>
    <row r="148">
      <c r="A148" s="13" t="inlineStr">
        <is>
          <t>Day 7 - 2026-10-11 (Sun 25 Aswin 2083)</t>
        </is>
      </c>
    </row>
    <row r="149">
      <c r="A149" s="6" t="inlineStr">
        <is>
          <t>Ward no.</t>
        </is>
      </c>
      <c r="B149" s="6" t="inlineStr">
        <is>
          <t>Total population</t>
        </is>
      </c>
      <c r="C149" s="6" t="inlineStr">
        <is>
          <t>JE target population</t>
        </is>
      </c>
      <c r="D149" s="6" t="inlineStr">
        <is>
          <t>Vaccinated</t>
        </is>
      </c>
      <c r="E149" s="6" t="n"/>
      <c r="F149" s="6" t="n"/>
      <c r="G149" s="6" t="n"/>
      <c r="H149" s="6" t="n"/>
      <c r="I149" s="6" t="n"/>
      <c r="J149" s="6" t="n"/>
      <c r="K149" s="6" t="n"/>
      <c r="L149" s="6" t="n"/>
      <c r="M149" s="6" t="inlineStr">
        <is>
          <t>Progress %</t>
        </is>
      </c>
    </row>
    <row r="150">
      <c r="A150" s="6" t="n"/>
      <c r="B150" s="6" t="n"/>
      <c r="C150" s="6" t="n"/>
      <c r="D150" s="6" t="inlineStr">
        <is>
          <t>Age 30-60 yrs</t>
        </is>
      </c>
      <c r="E150" s="6" t="n"/>
      <c r="F150" s="6" t="n"/>
      <c r="G150" s="6" t="inlineStr">
        <is>
          <t>Age 60 above</t>
        </is>
      </c>
      <c r="H150" s="6" t="n"/>
      <c r="I150" s="6" t="n"/>
      <c r="J150" s="6" t="inlineStr">
        <is>
          <t>Total</t>
        </is>
      </c>
      <c r="K150" s="6" t="n"/>
      <c r="L150" s="6" t="inlineStr">
        <is>
          <t>Grand Total</t>
        </is>
      </c>
      <c r="M150" s="6" t="n"/>
    </row>
    <row r="151">
      <c r="A151" s="6" t="n"/>
      <c r="B151" s="6" t="n"/>
      <c r="C151" s="6" t="n"/>
      <c r="D151" s="6" t="inlineStr">
        <is>
          <t>F</t>
        </is>
      </c>
      <c r="E151" s="6" t="inlineStr">
        <is>
          <t>M</t>
        </is>
      </c>
      <c r="F151" s="6" t="inlineStr">
        <is>
          <t>Total</t>
        </is>
      </c>
      <c r="G151" s="6" t="inlineStr">
        <is>
          <t>F</t>
        </is>
      </c>
      <c r="H151" s="6" t="inlineStr">
        <is>
          <t>M</t>
        </is>
      </c>
      <c r="I151" s="6" t="inlineStr">
        <is>
          <t>Total</t>
        </is>
      </c>
      <c r="J151" s="6" t="inlineStr">
        <is>
          <t>F</t>
        </is>
      </c>
      <c r="K151" s="6" t="inlineStr">
        <is>
          <t>M</t>
        </is>
      </c>
      <c r="L151" s="6" t="n"/>
      <c r="M151" s="6" t="n"/>
    </row>
    <row r="152">
      <c r="A152" s="7" t="n">
        <v>1</v>
      </c>
      <c r="B152" s="8">
        <f>B5</f>
        <v/>
      </c>
      <c r="C152" s="8">
        <f>C5</f>
        <v/>
      </c>
      <c r="D152" s="14" t="n"/>
      <c r="E152" s="14" t="n"/>
      <c r="F152" s="8">
        <f>D152+E152</f>
        <v/>
      </c>
      <c r="G152" s="14" t="n"/>
      <c r="H152" s="14" t="n"/>
      <c r="I152" s="8">
        <f>G152+H152</f>
        <v/>
      </c>
      <c r="J152" s="8">
        <f>D152+G152</f>
        <v/>
      </c>
      <c r="K152" s="8">
        <f>E152+H152</f>
        <v/>
      </c>
      <c r="L152" s="8">
        <f>J152+K152</f>
        <v/>
      </c>
      <c r="M152" s="9">
        <f>IF(C152=0,0,L152/C152*100)</f>
        <v/>
      </c>
    </row>
    <row r="153">
      <c r="A153" s="7" t="n">
        <v>2</v>
      </c>
      <c r="B153" s="8">
        <f>B6</f>
        <v/>
      </c>
      <c r="C153" s="8">
        <f>C6</f>
        <v/>
      </c>
      <c r="D153" s="14" t="n"/>
      <c r="E153" s="14" t="n"/>
      <c r="F153" s="8">
        <f>D153+E153</f>
        <v/>
      </c>
      <c r="G153" s="14" t="n"/>
      <c r="H153" s="14" t="n"/>
      <c r="I153" s="8">
        <f>G153+H153</f>
        <v/>
      </c>
      <c r="J153" s="8">
        <f>D153+G153</f>
        <v/>
      </c>
      <c r="K153" s="8">
        <f>E153+H153</f>
        <v/>
      </c>
      <c r="L153" s="8">
        <f>J153+K153</f>
        <v/>
      </c>
      <c r="M153" s="9">
        <f>IF(C153=0,0,L153/C153*100)</f>
        <v/>
      </c>
    </row>
    <row r="154">
      <c r="A154" s="7" t="n">
        <v>3</v>
      </c>
      <c r="B154" s="8">
        <f>B7</f>
        <v/>
      </c>
      <c r="C154" s="8">
        <f>C7</f>
        <v/>
      </c>
      <c r="D154" s="14" t="n"/>
      <c r="E154" s="14" t="n"/>
      <c r="F154" s="8">
        <f>D154+E154</f>
        <v/>
      </c>
      <c r="G154" s="14" t="n"/>
      <c r="H154" s="14" t="n"/>
      <c r="I154" s="8">
        <f>G154+H154</f>
        <v/>
      </c>
      <c r="J154" s="8">
        <f>D154+G154</f>
        <v/>
      </c>
      <c r="K154" s="8">
        <f>E154+H154</f>
        <v/>
      </c>
      <c r="L154" s="8">
        <f>J154+K154</f>
        <v/>
      </c>
      <c r="M154" s="9">
        <f>IF(C154=0,0,L154/C154*100)</f>
        <v/>
      </c>
    </row>
    <row r="155">
      <c r="A155" s="7" t="n">
        <v>4</v>
      </c>
      <c r="B155" s="8">
        <f>B8</f>
        <v/>
      </c>
      <c r="C155" s="8">
        <f>C8</f>
        <v/>
      </c>
      <c r="D155" s="14" t="n"/>
      <c r="E155" s="14" t="n"/>
      <c r="F155" s="8">
        <f>D155+E155</f>
        <v/>
      </c>
      <c r="G155" s="14" t="n"/>
      <c r="H155" s="14" t="n"/>
      <c r="I155" s="8">
        <f>G155+H155</f>
        <v/>
      </c>
      <c r="J155" s="8">
        <f>D155+G155</f>
        <v/>
      </c>
      <c r="K155" s="8">
        <f>E155+H155</f>
        <v/>
      </c>
      <c r="L155" s="8">
        <f>J155+K155</f>
        <v/>
      </c>
      <c r="M155" s="9">
        <f>IF(C155=0,0,L155/C155*100)</f>
        <v/>
      </c>
    </row>
    <row r="156">
      <c r="A156" s="7" t="n">
        <v>5</v>
      </c>
      <c r="B156" s="8">
        <f>B9</f>
        <v/>
      </c>
      <c r="C156" s="8">
        <f>C9</f>
        <v/>
      </c>
      <c r="D156" s="14" t="n"/>
      <c r="E156" s="14" t="n"/>
      <c r="F156" s="8">
        <f>D156+E156</f>
        <v/>
      </c>
      <c r="G156" s="14" t="n"/>
      <c r="H156" s="14" t="n"/>
      <c r="I156" s="8">
        <f>G156+H156</f>
        <v/>
      </c>
      <c r="J156" s="8">
        <f>D156+G156</f>
        <v/>
      </c>
      <c r="K156" s="8">
        <f>E156+H156</f>
        <v/>
      </c>
      <c r="L156" s="8">
        <f>J156+K156</f>
        <v/>
      </c>
      <c r="M156" s="9">
        <f>IF(C156=0,0,L156/C156*100)</f>
        <v/>
      </c>
    </row>
    <row r="157">
      <c r="A157" s="7" t="n">
        <v>6</v>
      </c>
      <c r="B157" s="8">
        <f>B10</f>
        <v/>
      </c>
      <c r="C157" s="8">
        <f>C10</f>
        <v/>
      </c>
      <c r="D157" s="14" t="n"/>
      <c r="E157" s="14" t="n"/>
      <c r="F157" s="8">
        <f>D157+E157</f>
        <v/>
      </c>
      <c r="G157" s="14" t="n"/>
      <c r="H157" s="14" t="n"/>
      <c r="I157" s="8">
        <f>G157+H157</f>
        <v/>
      </c>
      <c r="J157" s="8">
        <f>D157+G157</f>
        <v/>
      </c>
      <c r="K157" s="8">
        <f>E157+H157</f>
        <v/>
      </c>
      <c r="L157" s="8">
        <f>J157+K157</f>
        <v/>
      </c>
      <c r="M157" s="9">
        <f>IF(C157=0,0,L157/C157*100)</f>
        <v/>
      </c>
    </row>
    <row r="158">
      <c r="A158" s="7" t="n">
        <v>7</v>
      </c>
      <c r="B158" s="8">
        <f>B11</f>
        <v/>
      </c>
      <c r="C158" s="8">
        <f>C11</f>
        <v/>
      </c>
      <c r="D158" s="14" t="n"/>
      <c r="E158" s="14" t="n"/>
      <c r="F158" s="8">
        <f>D158+E158</f>
        <v/>
      </c>
      <c r="G158" s="14" t="n"/>
      <c r="H158" s="14" t="n"/>
      <c r="I158" s="8">
        <f>G158+H158</f>
        <v/>
      </c>
      <c r="J158" s="8">
        <f>D158+G158</f>
        <v/>
      </c>
      <c r="K158" s="8">
        <f>E158+H158</f>
        <v/>
      </c>
      <c r="L158" s="8">
        <f>J158+K158</f>
        <v/>
      </c>
      <c r="M158" s="9">
        <f>IF(C158=0,0,L158/C158*100)</f>
        <v/>
      </c>
    </row>
    <row r="159">
      <c r="A159" s="7" t="n">
        <v>8</v>
      </c>
      <c r="B159" s="8">
        <f>B12</f>
        <v/>
      </c>
      <c r="C159" s="8">
        <f>C12</f>
        <v/>
      </c>
      <c r="D159" s="14" t="n"/>
      <c r="E159" s="14" t="n"/>
      <c r="F159" s="8">
        <f>D159+E159</f>
        <v/>
      </c>
      <c r="G159" s="14" t="n"/>
      <c r="H159" s="14" t="n"/>
      <c r="I159" s="8">
        <f>G159+H159</f>
        <v/>
      </c>
      <c r="J159" s="8">
        <f>D159+G159</f>
        <v/>
      </c>
      <c r="K159" s="8">
        <f>E159+H159</f>
        <v/>
      </c>
      <c r="L159" s="8">
        <f>J159+K159</f>
        <v/>
      </c>
      <c r="M159" s="9">
        <f>IF(C159=0,0,L159/C159*100)</f>
        <v/>
      </c>
    </row>
    <row r="160">
      <c r="A160" s="7" t="n">
        <v>9</v>
      </c>
      <c r="B160" s="8">
        <f>B13</f>
        <v/>
      </c>
      <c r="C160" s="8">
        <f>C13</f>
        <v/>
      </c>
      <c r="D160" s="14" t="n"/>
      <c r="E160" s="14" t="n"/>
      <c r="F160" s="8">
        <f>D160+E160</f>
        <v/>
      </c>
      <c r="G160" s="14" t="n"/>
      <c r="H160" s="14" t="n"/>
      <c r="I160" s="8">
        <f>G160+H160</f>
        <v/>
      </c>
      <c r="J160" s="8">
        <f>D160+G160</f>
        <v/>
      </c>
      <c r="K160" s="8">
        <f>E160+H160</f>
        <v/>
      </c>
      <c r="L160" s="8">
        <f>J160+K160</f>
        <v/>
      </c>
      <c r="M160" s="9">
        <f>IF(C160=0,0,L160/C160*100)</f>
        <v/>
      </c>
    </row>
    <row r="161">
      <c r="A161" s="7" t="n">
        <v>10</v>
      </c>
      <c r="B161" s="8">
        <f>B14</f>
        <v/>
      </c>
      <c r="C161" s="8">
        <f>C14</f>
        <v/>
      </c>
      <c r="D161" s="14" t="n"/>
      <c r="E161" s="14" t="n"/>
      <c r="F161" s="8">
        <f>D161+E161</f>
        <v/>
      </c>
      <c r="G161" s="14" t="n"/>
      <c r="H161" s="14" t="n"/>
      <c r="I161" s="8">
        <f>G161+H161</f>
        <v/>
      </c>
      <c r="J161" s="8">
        <f>D161+G161</f>
        <v/>
      </c>
      <c r="K161" s="8">
        <f>E161+H161</f>
        <v/>
      </c>
      <c r="L161" s="8">
        <f>J161+K161</f>
        <v/>
      </c>
      <c r="M161" s="9">
        <f>IF(C161=0,0,L161/C161*100)</f>
        <v/>
      </c>
    </row>
    <row r="162">
      <c r="A162" s="7" t="n">
        <v>11</v>
      </c>
      <c r="B162" s="8">
        <f>B15</f>
        <v/>
      </c>
      <c r="C162" s="8">
        <f>C15</f>
        <v/>
      </c>
      <c r="D162" s="14" t="n"/>
      <c r="E162" s="14" t="n"/>
      <c r="F162" s="8">
        <f>D162+E162</f>
        <v/>
      </c>
      <c r="G162" s="14" t="n"/>
      <c r="H162" s="14" t="n"/>
      <c r="I162" s="8">
        <f>G162+H162</f>
        <v/>
      </c>
      <c r="J162" s="8">
        <f>D162+G162</f>
        <v/>
      </c>
      <c r="K162" s="8">
        <f>E162+H162</f>
        <v/>
      </c>
      <c r="L162" s="8">
        <f>J162+K162</f>
        <v/>
      </c>
      <c r="M162" s="9">
        <f>IF(C162=0,0,L162/C162*100)</f>
        <v/>
      </c>
    </row>
    <row r="163">
      <c r="A163" s="7" t="n">
        <v>12</v>
      </c>
      <c r="B163" s="8">
        <f>B16</f>
        <v/>
      </c>
      <c r="C163" s="8">
        <f>C16</f>
        <v/>
      </c>
      <c r="D163" s="14" t="n"/>
      <c r="E163" s="14" t="n"/>
      <c r="F163" s="8">
        <f>D163+E163</f>
        <v/>
      </c>
      <c r="G163" s="14" t="n"/>
      <c r="H163" s="14" t="n"/>
      <c r="I163" s="8">
        <f>G163+H163</f>
        <v/>
      </c>
      <c r="J163" s="8">
        <f>D163+G163</f>
        <v/>
      </c>
      <c r="K163" s="8">
        <f>E163+H163</f>
        <v/>
      </c>
      <c r="L163" s="8">
        <f>J163+K163</f>
        <v/>
      </c>
      <c r="M163" s="9">
        <f>IF(C163=0,0,L163/C163*100)</f>
        <v/>
      </c>
    </row>
    <row r="164">
      <c r="A164" s="7" t="n">
        <v>13</v>
      </c>
      <c r="B164" s="8">
        <f>B17</f>
        <v/>
      </c>
      <c r="C164" s="8">
        <f>C17</f>
        <v/>
      </c>
      <c r="D164" s="14" t="n"/>
      <c r="E164" s="14" t="n"/>
      <c r="F164" s="8">
        <f>D164+E164</f>
        <v/>
      </c>
      <c r="G164" s="14" t="n"/>
      <c r="H164" s="14" t="n"/>
      <c r="I164" s="8">
        <f>G164+H164</f>
        <v/>
      </c>
      <c r="J164" s="8">
        <f>D164+G164</f>
        <v/>
      </c>
      <c r="K164" s="8">
        <f>E164+H164</f>
        <v/>
      </c>
      <c r="L164" s="8">
        <f>J164+K164</f>
        <v/>
      </c>
      <c r="M164" s="9">
        <f>IF(C164=0,0,L164/C164*100)</f>
        <v/>
      </c>
    </row>
    <row r="165">
      <c r="A165" s="7" t="n">
        <v>14</v>
      </c>
      <c r="B165" s="8">
        <f>B18</f>
        <v/>
      </c>
      <c r="C165" s="8">
        <f>C18</f>
        <v/>
      </c>
      <c r="D165" s="14" t="n"/>
      <c r="E165" s="14" t="n"/>
      <c r="F165" s="8">
        <f>D165+E165</f>
        <v/>
      </c>
      <c r="G165" s="14" t="n"/>
      <c r="H165" s="14" t="n"/>
      <c r="I165" s="8">
        <f>G165+H165</f>
        <v/>
      </c>
      <c r="J165" s="8">
        <f>D165+G165</f>
        <v/>
      </c>
      <c r="K165" s="8">
        <f>E165+H165</f>
        <v/>
      </c>
      <c r="L165" s="8">
        <f>J165+K165</f>
        <v/>
      </c>
      <c r="M165" s="9">
        <f>IF(C165=0,0,L165/C165*100)</f>
        <v/>
      </c>
    </row>
    <row r="166">
      <c r="A166" s="7" t="n">
        <v>15</v>
      </c>
      <c r="B166" s="8">
        <f>B19</f>
        <v/>
      </c>
      <c r="C166" s="8">
        <f>C19</f>
        <v/>
      </c>
      <c r="D166" s="14" t="n"/>
      <c r="E166" s="14" t="n"/>
      <c r="F166" s="8">
        <f>D166+E166</f>
        <v/>
      </c>
      <c r="G166" s="14" t="n"/>
      <c r="H166" s="14" t="n"/>
      <c r="I166" s="8">
        <f>G166+H166</f>
        <v/>
      </c>
      <c r="J166" s="8">
        <f>D166+G166</f>
        <v/>
      </c>
      <c r="K166" s="8">
        <f>E166+H166</f>
        <v/>
      </c>
      <c r="L166" s="8">
        <f>J166+K166</f>
        <v/>
      </c>
      <c r="M166" s="9">
        <f>IF(C166=0,0,L166/C166*100)</f>
        <v/>
      </c>
    </row>
    <row r="167">
      <c r="A167" s="10" t="inlineStr">
        <is>
          <t>Total</t>
        </is>
      </c>
      <c r="B167" s="11">
        <f>SUM(B152:B166)</f>
        <v/>
      </c>
      <c r="C167" s="11">
        <f>SUM(C152:C166)</f>
        <v/>
      </c>
      <c r="D167" s="11">
        <f>SUM(D152:D166)</f>
        <v/>
      </c>
      <c r="E167" s="11">
        <f>SUM(E152:E166)</f>
        <v/>
      </c>
      <c r="F167" s="11">
        <f>D167+E167</f>
        <v/>
      </c>
      <c r="G167" s="11">
        <f>SUM(G152:G166)</f>
        <v/>
      </c>
      <c r="H167" s="11">
        <f>SUM(H152:H166)</f>
        <v/>
      </c>
      <c r="I167" s="11">
        <f>G167+H167</f>
        <v/>
      </c>
      <c r="J167" s="11">
        <f>D167+G167</f>
        <v/>
      </c>
      <c r="K167" s="11">
        <f>E167+H167</f>
        <v/>
      </c>
      <c r="L167" s="11">
        <f>J167+K167</f>
        <v/>
      </c>
      <c r="M167" s="12">
        <f>IF(C167=0,0,L167/C167*100)</f>
        <v/>
      </c>
    </row>
    <row r="169">
      <c r="A169" s="13" t="inlineStr">
        <is>
          <t>Day 8 - 2026-10-12 (Mon 26 Aswin 2083)</t>
        </is>
      </c>
    </row>
    <row r="170">
      <c r="A170" s="6" t="inlineStr">
        <is>
          <t>Ward no.</t>
        </is>
      </c>
      <c r="B170" s="6" t="inlineStr">
        <is>
          <t>Total population</t>
        </is>
      </c>
      <c r="C170" s="6" t="inlineStr">
        <is>
          <t>JE target population</t>
        </is>
      </c>
      <c r="D170" s="6" t="inlineStr">
        <is>
          <t>Vaccinated</t>
        </is>
      </c>
      <c r="E170" s="6" t="n"/>
      <c r="F170" s="6" t="n"/>
      <c r="G170" s="6" t="n"/>
      <c r="H170" s="6" t="n"/>
      <c r="I170" s="6" t="n"/>
      <c r="J170" s="6" t="n"/>
      <c r="K170" s="6" t="n"/>
      <c r="L170" s="6" t="n"/>
      <c r="M170" s="6" t="inlineStr">
        <is>
          <t>Progress %</t>
        </is>
      </c>
    </row>
    <row r="171">
      <c r="A171" s="6" t="n"/>
      <c r="B171" s="6" t="n"/>
      <c r="C171" s="6" t="n"/>
      <c r="D171" s="6" t="inlineStr">
        <is>
          <t>Age 30-60 yrs</t>
        </is>
      </c>
      <c r="E171" s="6" t="n"/>
      <c r="F171" s="6" t="n"/>
      <c r="G171" s="6" t="inlineStr">
        <is>
          <t>Age 60 above</t>
        </is>
      </c>
      <c r="H171" s="6" t="n"/>
      <c r="I171" s="6" t="n"/>
      <c r="J171" s="6" t="inlineStr">
        <is>
          <t>Total</t>
        </is>
      </c>
      <c r="K171" s="6" t="n"/>
      <c r="L171" s="6" t="inlineStr">
        <is>
          <t>Grand Total</t>
        </is>
      </c>
      <c r="M171" s="6" t="n"/>
    </row>
    <row r="172">
      <c r="A172" s="6" t="n"/>
      <c r="B172" s="6" t="n"/>
      <c r="C172" s="6" t="n"/>
      <c r="D172" s="6" t="inlineStr">
        <is>
          <t>F</t>
        </is>
      </c>
      <c r="E172" s="6" t="inlineStr">
        <is>
          <t>M</t>
        </is>
      </c>
      <c r="F172" s="6" t="inlineStr">
        <is>
          <t>Total</t>
        </is>
      </c>
      <c r="G172" s="6" t="inlineStr">
        <is>
          <t>F</t>
        </is>
      </c>
      <c r="H172" s="6" t="inlineStr">
        <is>
          <t>M</t>
        </is>
      </c>
      <c r="I172" s="6" t="inlineStr">
        <is>
          <t>Total</t>
        </is>
      </c>
      <c r="J172" s="6" t="inlineStr">
        <is>
          <t>F</t>
        </is>
      </c>
      <c r="K172" s="6" t="inlineStr">
        <is>
          <t>M</t>
        </is>
      </c>
      <c r="L172" s="6" t="n"/>
      <c r="M172" s="6" t="n"/>
    </row>
    <row r="173">
      <c r="A173" s="7" t="n">
        <v>1</v>
      </c>
      <c r="B173" s="8">
        <f>B5</f>
        <v/>
      </c>
      <c r="C173" s="8">
        <f>C5</f>
        <v/>
      </c>
      <c r="D173" s="14" t="n"/>
      <c r="E173" s="14" t="n"/>
      <c r="F173" s="8">
        <f>D173+E173</f>
        <v/>
      </c>
      <c r="G173" s="14" t="n"/>
      <c r="H173" s="14" t="n"/>
      <c r="I173" s="8">
        <f>G173+H173</f>
        <v/>
      </c>
      <c r="J173" s="8">
        <f>D173+G173</f>
        <v/>
      </c>
      <c r="K173" s="8">
        <f>E173+H173</f>
        <v/>
      </c>
      <c r="L173" s="8">
        <f>J173+K173</f>
        <v/>
      </c>
      <c r="M173" s="9">
        <f>IF(C173=0,0,L173/C173*100)</f>
        <v/>
      </c>
    </row>
    <row r="174">
      <c r="A174" s="7" t="n">
        <v>2</v>
      </c>
      <c r="B174" s="8">
        <f>B6</f>
        <v/>
      </c>
      <c r="C174" s="8">
        <f>C6</f>
        <v/>
      </c>
      <c r="D174" s="14" t="n"/>
      <c r="E174" s="14" t="n"/>
      <c r="F174" s="8">
        <f>D174+E174</f>
        <v/>
      </c>
      <c r="G174" s="14" t="n"/>
      <c r="H174" s="14" t="n"/>
      <c r="I174" s="8">
        <f>G174+H174</f>
        <v/>
      </c>
      <c r="J174" s="8">
        <f>D174+G174</f>
        <v/>
      </c>
      <c r="K174" s="8">
        <f>E174+H174</f>
        <v/>
      </c>
      <c r="L174" s="8">
        <f>J174+K174</f>
        <v/>
      </c>
      <c r="M174" s="9">
        <f>IF(C174=0,0,L174/C174*100)</f>
        <v/>
      </c>
    </row>
    <row r="175">
      <c r="A175" s="7" t="n">
        <v>3</v>
      </c>
      <c r="B175" s="8">
        <f>B7</f>
        <v/>
      </c>
      <c r="C175" s="8">
        <f>C7</f>
        <v/>
      </c>
      <c r="D175" s="14" t="n"/>
      <c r="E175" s="14" t="n"/>
      <c r="F175" s="8">
        <f>D175+E175</f>
        <v/>
      </c>
      <c r="G175" s="14" t="n"/>
      <c r="H175" s="14" t="n"/>
      <c r="I175" s="8">
        <f>G175+H175</f>
        <v/>
      </c>
      <c r="J175" s="8">
        <f>D175+G175</f>
        <v/>
      </c>
      <c r="K175" s="8">
        <f>E175+H175</f>
        <v/>
      </c>
      <c r="L175" s="8">
        <f>J175+K175</f>
        <v/>
      </c>
      <c r="M175" s="9">
        <f>IF(C175=0,0,L175/C175*100)</f>
        <v/>
      </c>
    </row>
    <row r="176">
      <c r="A176" s="7" t="n">
        <v>4</v>
      </c>
      <c r="B176" s="8">
        <f>B8</f>
        <v/>
      </c>
      <c r="C176" s="8">
        <f>C8</f>
        <v/>
      </c>
      <c r="D176" s="14" t="n"/>
      <c r="E176" s="14" t="n"/>
      <c r="F176" s="8">
        <f>D176+E176</f>
        <v/>
      </c>
      <c r="G176" s="14" t="n"/>
      <c r="H176" s="14" t="n"/>
      <c r="I176" s="8">
        <f>G176+H176</f>
        <v/>
      </c>
      <c r="J176" s="8">
        <f>D176+G176</f>
        <v/>
      </c>
      <c r="K176" s="8">
        <f>E176+H176</f>
        <v/>
      </c>
      <c r="L176" s="8">
        <f>J176+K176</f>
        <v/>
      </c>
      <c r="M176" s="9">
        <f>IF(C176=0,0,L176/C176*100)</f>
        <v/>
      </c>
    </row>
    <row r="177">
      <c r="A177" s="7" t="n">
        <v>5</v>
      </c>
      <c r="B177" s="8">
        <f>B9</f>
        <v/>
      </c>
      <c r="C177" s="8">
        <f>C9</f>
        <v/>
      </c>
      <c r="D177" s="14" t="n"/>
      <c r="E177" s="14" t="n"/>
      <c r="F177" s="8">
        <f>D177+E177</f>
        <v/>
      </c>
      <c r="G177" s="14" t="n"/>
      <c r="H177" s="14" t="n"/>
      <c r="I177" s="8">
        <f>G177+H177</f>
        <v/>
      </c>
      <c r="J177" s="8">
        <f>D177+G177</f>
        <v/>
      </c>
      <c r="K177" s="8">
        <f>E177+H177</f>
        <v/>
      </c>
      <c r="L177" s="8">
        <f>J177+K177</f>
        <v/>
      </c>
      <c r="M177" s="9">
        <f>IF(C177=0,0,L177/C177*100)</f>
        <v/>
      </c>
    </row>
    <row r="178">
      <c r="A178" s="7" t="n">
        <v>6</v>
      </c>
      <c r="B178" s="8">
        <f>B10</f>
        <v/>
      </c>
      <c r="C178" s="8">
        <f>C10</f>
        <v/>
      </c>
      <c r="D178" s="14" t="n"/>
      <c r="E178" s="14" t="n"/>
      <c r="F178" s="8">
        <f>D178+E178</f>
        <v/>
      </c>
      <c r="G178" s="14" t="n"/>
      <c r="H178" s="14" t="n"/>
      <c r="I178" s="8">
        <f>G178+H178</f>
        <v/>
      </c>
      <c r="J178" s="8">
        <f>D178+G178</f>
        <v/>
      </c>
      <c r="K178" s="8">
        <f>E178+H178</f>
        <v/>
      </c>
      <c r="L178" s="8">
        <f>J178+K178</f>
        <v/>
      </c>
      <c r="M178" s="9">
        <f>IF(C178=0,0,L178/C178*100)</f>
        <v/>
      </c>
    </row>
    <row r="179">
      <c r="A179" s="7" t="n">
        <v>7</v>
      </c>
      <c r="B179" s="8">
        <f>B11</f>
        <v/>
      </c>
      <c r="C179" s="8">
        <f>C11</f>
        <v/>
      </c>
      <c r="D179" s="14" t="n"/>
      <c r="E179" s="14" t="n"/>
      <c r="F179" s="8">
        <f>D179+E179</f>
        <v/>
      </c>
      <c r="G179" s="14" t="n"/>
      <c r="H179" s="14" t="n"/>
      <c r="I179" s="8">
        <f>G179+H179</f>
        <v/>
      </c>
      <c r="J179" s="8">
        <f>D179+G179</f>
        <v/>
      </c>
      <c r="K179" s="8">
        <f>E179+H179</f>
        <v/>
      </c>
      <c r="L179" s="8">
        <f>J179+K179</f>
        <v/>
      </c>
      <c r="M179" s="9">
        <f>IF(C179=0,0,L179/C179*100)</f>
        <v/>
      </c>
    </row>
    <row r="180">
      <c r="A180" s="7" t="n">
        <v>8</v>
      </c>
      <c r="B180" s="8">
        <f>B12</f>
        <v/>
      </c>
      <c r="C180" s="8">
        <f>C12</f>
        <v/>
      </c>
      <c r="D180" s="14" t="n"/>
      <c r="E180" s="14" t="n"/>
      <c r="F180" s="8">
        <f>D180+E180</f>
        <v/>
      </c>
      <c r="G180" s="14" t="n"/>
      <c r="H180" s="14" t="n"/>
      <c r="I180" s="8">
        <f>G180+H180</f>
        <v/>
      </c>
      <c r="J180" s="8">
        <f>D180+G180</f>
        <v/>
      </c>
      <c r="K180" s="8">
        <f>E180+H180</f>
        <v/>
      </c>
      <c r="L180" s="8">
        <f>J180+K180</f>
        <v/>
      </c>
      <c r="M180" s="9">
        <f>IF(C180=0,0,L180/C180*100)</f>
        <v/>
      </c>
    </row>
    <row r="181">
      <c r="A181" s="7" t="n">
        <v>9</v>
      </c>
      <c r="B181" s="8">
        <f>B13</f>
        <v/>
      </c>
      <c r="C181" s="8">
        <f>C13</f>
        <v/>
      </c>
      <c r="D181" s="14" t="n"/>
      <c r="E181" s="14" t="n"/>
      <c r="F181" s="8">
        <f>D181+E181</f>
        <v/>
      </c>
      <c r="G181" s="14" t="n"/>
      <c r="H181" s="14" t="n"/>
      <c r="I181" s="8">
        <f>G181+H181</f>
        <v/>
      </c>
      <c r="J181" s="8">
        <f>D181+G181</f>
        <v/>
      </c>
      <c r="K181" s="8">
        <f>E181+H181</f>
        <v/>
      </c>
      <c r="L181" s="8">
        <f>J181+K181</f>
        <v/>
      </c>
      <c r="M181" s="9">
        <f>IF(C181=0,0,L181/C181*100)</f>
        <v/>
      </c>
    </row>
    <row r="182">
      <c r="A182" s="7" t="n">
        <v>10</v>
      </c>
      <c r="B182" s="8">
        <f>B14</f>
        <v/>
      </c>
      <c r="C182" s="8">
        <f>C14</f>
        <v/>
      </c>
      <c r="D182" s="14" t="n"/>
      <c r="E182" s="14" t="n"/>
      <c r="F182" s="8">
        <f>D182+E182</f>
        <v/>
      </c>
      <c r="G182" s="14" t="n"/>
      <c r="H182" s="14" t="n"/>
      <c r="I182" s="8">
        <f>G182+H182</f>
        <v/>
      </c>
      <c r="J182" s="8">
        <f>D182+G182</f>
        <v/>
      </c>
      <c r="K182" s="8">
        <f>E182+H182</f>
        <v/>
      </c>
      <c r="L182" s="8">
        <f>J182+K182</f>
        <v/>
      </c>
      <c r="M182" s="9">
        <f>IF(C182=0,0,L182/C182*100)</f>
        <v/>
      </c>
    </row>
    <row r="183">
      <c r="A183" s="7" t="n">
        <v>11</v>
      </c>
      <c r="B183" s="8">
        <f>B15</f>
        <v/>
      </c>
      <c r="C183" s="8">
        <f>C15</f>
        <v/>
      </c>
      <c r="D183" s="14" t="n"/>
      <c r="E183" s="14" t="n"/>
      <c r="F183" s="8">
        <f>D183+E183</f>
        <v/>
      </c>
      <c r="G183" s="14" t="n"/>
      <c r="H183" s="14" t="n"/>
      <c r="I183" s="8">
        <f>G183+H183</f>
        <v/>
      </c>
      <c r="J183" s="8">
        <f>D183+G183</f>
        <v/>
      </c>
      <c r="K183" s="8">
        <f>E183+H183</f>
        <v/>
      </c>
      <c r="L183" s="8">
        <f>J183+K183</f>
        <v/>
      </c>
      <c r="M183" s="9">
        <f>IF(C183=0,0,L183/C183*100)</f>
        <v/>
      </c>
    </row>
    <row r="184">
      <c r="A184" s="7" t="n">
        <v>12</v>
      </c>
      <c r="B184" s="8">
        <f>B16</f>
        <v/>
      </c>
      <c r="C184" s="8">
        <f>C16</f>
        <v/>
      </c>
      <c r="D184" s="14" t="n"/>
      <c r="E184" s="14" t="n"/>
      <c r="F184" s="8">
        <f>D184+E184</f>
        <v/>
      </c>
      <c r="G184" s="14" t="n"/>
      <c r="H184" s="14" t="n"/>
      <c r="I184" s="8">
        <f>G184+H184</f>
        <v/>
      </c>
      <c r="J184" s="8">
        <f>D184+G184</f>
        <v/>
      </c>
      <c r="K184" s="8">
        <f>E184+H184</f>
        <v/>
      </c>
      <c r="L184" s="8">
        <f>J184+K184</f>
        <v/>
      </c>
      <c r="M184" s="9">
        <f>IF(C184=0,0,L184/C184*100)</f>
        <v/>
      </c>
    </row>
    <row r="185">
      <c r="A185" s="7" t="n">
        <v>13</v>
      </c>
      <c r="B185" s="8">
        <f>B17</f>
        <v/>
      </c>
      <c r="C185" s="8">
        <f>C17</f>
        <v/>
      </c>
      <c r="D185" s="14" t="n"/>
      <c r="E185" s="14" t="n"/>
      <c r="F185" s="8">
        <f>D185+E185</f>
        <v/>
      </c>
      <c r="G185" s="14" t="n"/>
      <c r="H185" s="14" t="n"/>
      <c r="I185" s="8">
        <f>G185+H185</f>
        <v/>
      </c>
      <c r="J185" s="8">
        <f>D185+G185</f>
        <v/>
      </c>
      <c r="K185" s="8">
        <f>E185+H185</f>
        <v/>
      </c>
      <c r="L185" s="8">
        <f>J185+K185</f>
        <v/>
      </c>
      <c r="M185" s="9">
        <f>IF(C185=0,0,L185/C185*100)</f>
        <v/>
      </c>
    </row>
    <row r="186">
      <c r="A186" s="7" t="n">
        <v>14</v>
      </c>
      <c r="B186" s="8">
        <f>B18</f>
        <v/>
      </c>
      <c r="C186" s="8">
        <f>C18</f>
        <v/>
      </c>
      <c r="D186" s="14" t="n"/>
      <c r="E186" s="14" t="n"/>
      <c r="F186" s="8">
        <f>D186+E186</f>
        <v/>
      </c>
      <c r="G186" s="14" t="n"/>
      <c r="H186" s="14" t="n"/>
      <c r="I186" s="8">
        <f>G186+H186</f>
        <v/>
      </c>
      <c r="J186" s="8">
        <f>D186+G186</f>
        <v/>
      </c>
      <c r="K186" s="8">
        <f>E186+H186</f>
        <v/>
      </c>
      <c r="L186" s="8">
        <f>J186+K186</f>
        <v/>
      </c>
      <c r="M186" s="9">
        <f>IF(C186=0,0,L186/C186*100)</f>
        <v/>
      </c>
    </row>
    <row r="187">
      <c r="A187" s="7" t="n">
        <v>15</v>
      </c>
      <c r="B187" s="8">
        <f>B19</f>
        <v/>
      </c>
      <c r="C187" s="8">
        <f>C19</f>
        <v/>
      </c>
      <c r="D187" s="14" t="n"/>
      <c r="E187" s="14" t="n"/>
      <c r="F187" s="8">
        <f>D187+E187</f>
        <v/>
      </c>
      <c r="G187" s="14" t="n"/>
      <c r="H187" s="14" t="n"/>
      <c r="I187" s="8">
        <f>G187+H187</f>
        <v/>
      </c>
      <c r="J187" s="8">
        <f>D187+G187</f>
        <v/>
      </c>
      <c r="K187" s="8">
        <f>E187+H187</f>
        <v/>
      </c>
      <c r="L187" s="8">
        <f>J187+K187</f>
        <v/>
      </c>
      <c r="M187" s="9">
        <f>IF(C187=0,0,L187/C187*100)</f>
        <v/>
      </c>
    </row>
    <row r="188">
      <c r="A188" s="10" t="inlineStr">
        <is>
          <t>Total</t>
        </is>
      </c>
      <c r="B188" s="11">
        <f>SUM(B173:B187)</f>
        <v/>
      </c>
      <c r="C188" s="11">
        <f>SUM(C173:C187)</f>
        <v/>
      </c>
      <c r="D188" s="11">
        <f>SUM(D173:D187)</f>
        <v/>
      </c>
      <c r="E188" s="11">
        <f>SUM(E173:E187)</f>
        <v/>
      </c>
      <c r="F188" s="11">
        <f>D188+E188</f>
        <v/>
      </c>
      <c r="G188" s="11">
        <f>SUM(G173:G187)</f>
        <v/>
      </c>
      <c r="H188" s="11">
        <f>SUM(H173:H187)</f>
        <v/>
      </c>
      <c r="I188" s="11">
        <f>G188+H188</f>
        <v/>
      </c>
      <c r="J188" s="11">
        <f>D188+G188</f>
        <v/>
      </c>
      <c r="K188" s="11">
        <f>E188+H188</f>
        <v/>
      </c>
      <c r="L188" s="11">
        <f>J188+K188</f>
        <v/>
      </c>
      <c r="M188" s="12">
        <f>IF(C188=0,0,L188/C188*100)</f>
        <v/>
      </c>
    </row>
    <row r="190">
      <c r="A190" s="13" t="inlineStr">
        <is>
          <t>Day 9 - 2026-10-13 (Tue 27 Aswin 2083)</t>
        </is>
      </c>
    </row>
    <row r="191">
      <c r="A191" s="6" t="inlineStr">
        <is>
          <t>Ward no.</t>
        </is>
      </c>
      <c r="B191" s="6" t="inlineStr">
        <is>
          <t>Total population</t>
        </is>
      </c>
      <c r="C191" s="6" t="inlineStr">
        <is>
          <t>JE target population</t>
        </is>
      </c>
      <c r="D191" s="6" t="inlineStr">
        <is>
          <t>Vaccinated</t>
        </is>
      </c>
      <c r="E191" s="6" t="n"/>
      <c r="F191" s="6" t="n"/>
      <c r="G191" s="6" t="n"/>
      <c r="H191" s="6" t="n"/>
      <c r="I191" s="6" t="n"/>
      <c r="J191" s="6" t="n"/>
      <c r="K191" s="6" t="n"/>
      <c r="L191" s="6" t="n"/>
      <c r="M191" s="6" t="inlineStr">
        <is>
          <t>Progress %</t>
        </is>
      </c>
    </row>
    <row r="192">
      <c r="A192" s="6" t="n"/>
      <c r="B192" s="6" t="n"/>
      <c r="C192" s="6" t="n"/>
      <c r="D192" s="6" t="inlineStr">
        <is>
          <t>Age 30-60 yrs</t>
        </is>
      </c>
      <c r="E192" s="6" t="n"/>
      <c r="F192" s="6" t="n"/>
      <c r="G192" s="6" t="inlineStr">
        <is>
          <t>Age 60 above</t>
        </is>
      </c>
      <c r="H192" s="6" t="n"/>
      <c r="I192" s="6" t="n"/>
      <c r="J192" s="6" t="inlineStr">
        <is>
          <t>Total</t>
        </is>
      </c>
      <c r="K192" s="6" t="n"/>
      <c r="L192" s="6" t="inlineStr">
        <is>
          <t>Grand Total</t>
        </is>
      </c>
      <c r="M192" s="6" t="n"/>
    </row>
    <row r="193">
      <c r="A193" s="6" t="n"/>
      <c r="B193" s="6" t="n"/>
      <c r="C193" s="6" t="n"/>
      <c r="D193" s="6" t="inlineStr">
        <is>
          <t>F</t>
        </is>
      </c>
      <c r="E193" s="6" t="inlineStr">
        <is>
          <t>M</t>
        </is>
      </c>
      <c r="F193" s="6" t="inlineStr">
        <is>
          <t>Total</t>
        </is>
      </c>
      <c r="G193" s="6" t="inlineStr">
        <is>
          <t>F</t>
        </is>
      </c>
      <c r="H193" s="6" t="inlineStr">
        <is>
          <t>M</t>
        </is>
      </c>
      <c r="I193" s="6" t="inlineStr">
        <is>
          <t>Total</t>
        </is>
      </c>
      <c r="J193" s="6" t="inlineStr">
        <is>
          <t>F</t>
        </is>
      </c>
      <c r="K193" s="6" t="inlineStr">
        <is>
          <t>M</t>
        </is>
      </c>
      <c r="L193" s="6" t="n"/>
      <c r="M193" s="6" t="n"/>
    </row>
    <row r="194">
      <c r="A194" s="7" t="n">
        <v>1</v>
      </c>
      <c r="B194" s="8">
        <f>B5</f>
        <v/>
      </c>
      <c r="C194" s="8">
        <f>C5</f>
        <v/>
      </c>
      <c r="D194" s="14" t="n"/>
      <c r="E194" s="14" t="n"/>
      <c r="F194" s="8">
        <f>D194+E194</f>
        <v/>
      </c>
      <c r="G194" s="14" t="n"/>
      <c r="H194" s="14" t="n"/>
      <c r="I194" s="8">
        <f>G194+H194</f>
        <v/>
      </c>
      <c r="J194" s="8">
        <f>D194+G194</f>
        <v/>
      </c>
      <c r="K194" s="8">
        <f>E194+H194</f>
        <v/>
      </c>
      <c r="L194" s="8">
        <f>J194+K194</f>
        <v/>
      </c>
      <c r="M194" s="9">
        <f>IF(C194=0,0,L194/C194*100)</f>
        <v/>
      </c>
    </row>
    <row r="195">
      <c r="A195" s="7" t="n">
        <v>2</v>
      </c>
      <c r="B195" s="8">
        <f>B6</f>
        <v/>
      </c>
      <c r="C195" s="8">
        <f>C6</f>
        <v/>
      </c>
      <c r="D195" s="14" t="n"/>
      <c r="E195" s="14" t="n"/>
      <c r="F195" s="8">
        <f>D195+E195</f>
        <v/>
      </c>
      <c r="G195" s="14" t="n"/>
      <c r="H195" s="14" t="n"/>
      <c r="I195" s="8">
        <f>G195+H195</f>
        <v/>
      </c>
      <c r="J195" s="8">
        <f>D195+G195</f>
        <v/>
      </c>
      <c r="K195" s="8">
        <f>E195+H195</f>
        <v/>
      </c>
      <c r="L195" s="8">
        <f>J195+K195</f>
        <v/>
      </c>
      <c r="M195" s="9">
        <f>IF(C195=0,0,L195/C195*100)</f>
        <v/>
      </c>
    </row>
    <row r="196">
      <c r="A196" s="7" t="n">
        <v>3</v>
      </c>
      <c r="B196" s="8">
        <f>B7</f>
        <v/>
      </c>
      <c r="C196" s="8">
        <f>C7</f>
        <v/>
      </c>
      <c r="D196" s="14" t="n"/>
      <c r="E196" s="14" t="n"/>
      <c r="F196" s="8">
        <f>D196+E196</f>
        <v/>
      </c>
      <c r="G196" s="14" t="n"/>
      <c r="H196" s="14" t="n"/>
      <c r="I196" s="8">
        <f>G196+H196</f>
        <v/>
      </c>
      <c r="J196" s="8">
        <f>D196+G196</f>
        <v/>
      </c>
      <c r="K196" s="8">
        <f>E196+H196</f>
        <v/>
      </c>
      <c r="L196" s="8">
        <f>J196+K196</f>
        <v/>
      </c>
      <c r="M196" s="9">
        <f>IF(C196=0,0,L196/C196*100)</f>
        <v/>
      </c>
    </row>
    <row r="197">
      <c r="A197" s="7" t="n">
        <v>4</v>
      </c>
      <c r="B197" s="8">
        <f>B8</f>
        <v/>
      </c>
      <c r="C197" s="8">
        <f>C8</f>
        <v/>
      </c>
      <c r="D197" s="14" t="n"/>
      <c r="E197" s="14" t="n"/>
      <c r="F197" s="8">
        <f>D197+E197</f>
        <v/>
      </c>
      <c r="G197" s="14" t="n"/>
      <c r="H197" s="14" t="n"/>
      <c r="I197" s="8">
        <f>G197+H197</f>
        <v/>
      </c>
      <c r="J197" s="8">
        <f>D197+G197</f>
        <v/>
      </c>
      <c r="K197" s="8">
        <f>E197+H197</f>
        <v/>
      </c>
      <c r="L197" s="8">
        <f>J197+K197</f>
        <v/>
      </c>
      <c r="M197" s="9">
        <f>IF(C197=0,0,L197/C197*100)</f>
        <v/>
      </c>
    </row>
    <row r="198">
      <c r="A198" s="7" t="n">
        <v>5</v>
      </c>
      <c r="B198" s="8">
        <f>B9</f>
        <v/>
      </c>
      <c r="C198" s="8">
        <f>C9</f>
        <v/>
      </c>
      <c r="D198" s="14" t="n"/>
      <c r="E198" s="14" t="n"/>
      <c r="F198" s="8">
        <f>D198+E198</f>
        <v/>
      </c>
      <c r="G198" s="14" t="n"/>
      <c r="H198" s="14" t="n"/>
      <c r="I198" s="8">
        <f>G198+H198</f>
        <v/>
      </c>
      <c r="J198" s="8">
        <f>D198+G198</f>
        <v/>
      </c>
      <c r="K198" s="8">
        <f>E198+H198</f>
        <v/>
      </c>
      <c r="L198" s="8">
        <f>J198+K198</f>
        <v/>
      </c>
      <c r="M198" s="9">
        <f>IF(C198=0,0,L198/C198*100)</f>
        <v/>
      </c>
    </row>
    <row r="199">
      <c r="A199" s="7" t="n">
        <v>6</v>
      </c>
      <c r="B199" s="8">
        <f>B10</f>
        <v/>
      </c>
      <c r="C199" s="8">
        <f>C10</f>
        <v/>
      </c>
      <c r="D199" s="14" t="n"/>
      <c r="E199" s="14" t="n"/>
      <c r="F199" s="8">
        <f>D199+E199</f>
        <v/>
      </c>
      <c r="G199" s="14" t="n"/>
      <c r="H199" s="14" t="n"/>
      <c r="I199" s="8">
        <f>G199+H199</f>
        <v/>
      </c>
      <c r="J199" s="8">
        <f>D199+G199</f>
        <v/>
      </c>
      <c r="K199" s="8">
        <f>E199+H199</f>
        <v/>
      </c>
      <c r="L199" s="8">
        <f>J199+K199</f>
        <v/>
      </c>
      <c r="M199" s="9">
        <f>IF(C199=0,0,L199/C199*100)</f>
        <v/>
      </c>
    </row>
    <row r="200">
      <c r="A200" s="7" t="n">
        <v>7</v>
      </c>
      <c r="B200" s="8">
        <f>B11</f>
        <v/>
      </c>
      <c r="C200" s="8">
        <f>C11</f>
        <v/>
      </c>
      <c r="D200" s="14" t="n"/>
      <c r="E200" s="14" t="n"/>
      <c r="F200" s="8">
        <f>D200+E200</f>
        <v/>
      </c>
      <c r="G200" s="14" t="n"/>
      <c r="H200" s="14" t="n"/>
      <c r="I200" s="8">
        <f>G200+H200</f>
        <v/>
      </c>
      <c r="J200" s="8">
        <f>D200+G200</f>
        <v/>
      </c>
      <c r="K200" s="8">
        <f>E200+H200</f>
        <v/>
      </c>
      <c r="L200" s="8">
        <f>J200+K200</f>
        <v/>
      </c>
      <c r="M200" s="9">
        <f>IF(C200=0,0,L200/C200*100)</f>
        <v/>
      </c>
    </row>
    <row r="201">
      <c r="A201" s="7" t="n">
        <v>8</v>
      </c>
      <c r="B201" s="8">
        <f>B12</f>
        <v/>
      </c>
      <c r="C201" s="8">
        <f>C12</f>
        <v/>
      </c>
      <c r="D201" s="14" t="n"/>
      <c r="E201" s="14" t="n"/>
      <c r="F201" s="8">
        <f>D201+E201</f>
        <v/>
      </c>
      <c r="G201" s="14" t="n"/>
      <c r="H201" s="14" t="n"/>
      <c r="I201" s="8">
        <f>G201+H201</f>
        <v/>
      </c>
      <c r="J201" s="8">
        <f>D201+G201</f>
        <v/>
      </c>
      <c r="K201" s="8">
        <f>E201+H201</f>
        <v/>
      </c>
      <c r="L201" s="8">
        <f>J201+K201</f>
        <v/>
      </c>
      <c r="M201" s="9">
        <f>IF(C201=0,0,L201/C201*100)</f>
        <v/>
      </c>
    </row>
    <row r="202">
      <c r="A202" s="7" t="n">
        <v>9</v>
      </c>
      <c r="B202" s="8">
        <f>B13</f>
        <v/>
      </c>
      <c r="C202" s="8">
        <f>C13</f>
        <v/>
      </c>
      <c r="D202" s="14" t="n"/>
      <c r="E202" s="14" t="n"/>
      <c r="F202" s="8">
        <f>D202+E202</f>
        <v/>
      </c>
      <c r="G202" s="14" t="n"/>
      <c r="H202" s="14" t="n"/>
      <c r="I202" s="8">
        <f>G202+H202</f>
        <v/>
      </c>
      <c r="J202" s="8">
        <f>D202+G202</f>
        <v/>
      </c>
      <c r="K202" s="8">
        <f>E202+H202</f>
        <v/>
      </c>
      <c r="L202" s="8">
        <f>J202+K202</f>
        <v/>
      </c>
      <c r="M202" s="9">
        <f>IF(C202=0,0,L202/C202*100)</f>
        <v/>
      </c>
    </row>
    <row r="203">
      <c r="A203" s="7" t="n">
        <v>10</v>
      </c>
      <c r="B203" s="8">
        <f>B14</f>
        <v/>
      </c>
      <c r="C203" s="8">
        <f>C14</f>
        <v/>
      </c>
      <c r="D203" s="14" t="n"/>
      <c r="E203" s="14" t="n"/>
      <c r="F203" s="8">
        <f>D203+E203</f>
        <v/>
      </c>
      <c r="G203" s="14" t="n"/>
      <c r="H203" s="14" t="n"/>
      <c r="I203" s="8">
        <f>G203+H203</f>
        <v/>
      </c>
      <c r="J203" s="8">
        <f>D203+G203</f>
        <v/>
      </c>
      <c r="K203" s="8">
        <f>E203+H203</f>
        <v/>
      </c>
      <c r="L203" s="8">
        <f>J203+K203</f>
        <v/>
      </c>
      <c r="M203" s="9">
        <f>IF(C203=0,0,L203/C203*100)</f>
        <v/>
      </c>
    </row>
    <row r="204">
      <c r="A204" s="7" t="n">
        <v>11</v>
      </c>
      <c r="B204" s="8">
        <f>B15</f>
        <v/>
      </c>
      <c r="C204" s="8">
        <f>C15</f>
        <v/>
      </c>
      <c r="D204" s="14" t="n"/>
      <c r="E204" s="14" t="n"/>
      <c r="F204" s="8">
        <f>D204+E204</f>
        <v/>
      </c>
      <c r="G204" s="14" t="n"/>
      <c r="H204" s="14" t="n"/>
      <c r="I204" s="8">
        <f>G204+H204</f>
        <v/>
      </c>
      <c r="J204" s="8">
        <f>D204+G204</f>
        <v/>
      </c>
      <c r="K204" s="8">
        <f>E204+H204</f>
        <v/>
      </c>
      <c r="L204" s="8">
        <f>J204+K204</f>
        <v/>
      </c>
      <c r="M204" s="9">
        <f>IF(C204=0,0,L204/C204*100)</f>
        <v/>
      </c>
    </row>
    <row r="205">
      <c r="A205" s="7" t="n">
        <v>12</v>
      </c>
      <c r="B205" s="8">
        <f>B16</f>
        <v/>
      </c>
      <c r="C205" s="8">
        <f>C16</f>
        <v/>
      </c>
      <c r="D205" s="14" t="n"/>
      <c r="E205" s="14" t="n"/>
      <c r="F205" s="8">
        <f>D205+E205</f>
        <v/>
      </c>
      <c r="G205" s="14" t="n"/>
      <c r="H205" s="14" t="n"/>
      <c r="I205" s="8">
        <f>G205+H205</f>
        <v/>
      </c>
      <c r="J205" s="8">
        <f>D205+G205</f>
        <v/>
      </c>
      <c r="K205" s="8">
        <f>E205+H205</f>
        <v/>
      </c>
      <c r="L205" s="8">
        <f>J205+K205</f>
        <v/>
      </c>
      <c r="M205" s="9">
        <f>IF(C205=0,0,L205/C205*100)</f>
        <v/>
      </c>
    </row>
    <row r="206">
      <c r="A206" s="7" t="n">
        <v>13</v>
      </c>
      <c r="B206" s="8">
        <f>B17</f>
        <v/>
      </c>
      <c r="C206" s="8">
        <f>C17</f>
        <v/>
      </c>
      <c r="D206" s="14" t="n"/>
      <c r="E206" s="14" t="n"/>
      <c r="F206" s="8">
        <f>D206+E206</f>
        <v/>
      </c>
      <c r="G206" s="14" t="n"/>
      <c r="H206" s="14" t="n"/>
      <c r="I206" s="8">
        <f>G206+H206</f>
        <v/>
      </c>
      <c r="J206" s="8">
        <f>D206+G206</f>
        <v/>
      </c>
      <c r="K206" s="8">
        <f>E206+H206</f>
        <v/>
      </c>
      <c r="L206" s="8">
        <f>J206+K206</f>
        <v/>
      </c>
      <c r="M206" s="9">
        <f>IF(C206=0,0,L206/C206*100)</f>
        <v/>
      </c>
    </row>
    <row r="207">
      <c r="A207" s="7" t="n">
        <v>14</v>
      </c>
      <c r="B207" s="8">
        <f>B18</f>
        <v/>
      </c>
      <c r="C207" s="8">
        <f>C18</f>
        <v/>
      </c>
      <c r="D207" s="14" t="n"/>
      <c r="E207" s="14" t="n"/>
      <c r="F207" s="8">
        <f>D207+E207</f>
        <v/>
      </c>
      <c r="G207" s="14" t="n"/>
      <c r="H207" s="14" t="n"/>
      <c r="I207" s="8">
        <f>G207+H207</f>
        <v/>
      </c>
      <c r="J207" s="8">
        <f>D207+G207</f>
        <v/>
      </c>
      <c r="K207" s="8">
        <f>E207+H207</f>
        <v/>
      </c>
      <c r="L207" s="8">
        <f>J207+K207</f>
        <v/>
      </c>
      <c r="M207" s="9">
        <f>IF(C207=0,0,L207/C207*100)</f>
        <v/>
      </c>
    </row>
    <row r="208">
      <c r="A208" s="7" t="n">
        <v>15</v>
      </c>
      <c r="B208" s="8">
        <f>B19</f>
        <v/>
      </c>
      <c r="C208" s="8">
        <f>C19</f>
        <v/>
      </c>
      <c r="D208" s="14" t="n"/>
      <c r="E208" s="14" t="n"/>
      <c r="F208" s="8">
        <f>D208+E208</f>
        <v/>
      </c>
      <c r="G208" s="14" t="n"/>
      <c r="H208" s="14" t="n"/>
      <c r="I208" s="8">
        <f>G208+H208</f>
        <v/>
      </c>
      <c r="J208" s="8">
        <f>D208+G208</f>
        <v/>
      </c>
      <c r="K208" s="8">
        <f>E208+H208</f>
        <v/>
      </c>
      <c r="L208" s="8">
        <f>J208+K208</f>
        <v/>
      </c>
      <c r="M208" s="9">
        <f>IF(C208=0,0,L208/C208*100)</f>
        <v/>
      </c>
    </row>
    <row r="209">
      <c r="A209" s="10" t="inlineStr">
        <is>
          <t>Total</t>
        </is>
      </c>
      <c r="B209" s="11">
        <f>SUM(B194:B208)</f>
        <v/>
      </c>
      <c r="C209" s="11">
        <f>SUM(C194:C208)</f>
        <v/>
      </c>
      <c r="D209" s="11">
        <f>SUM(D194:D208)</f>
        <v/>
      </c>
      <c r="E209" s="11">
        <f>SUM(E194:E208)</f>
        <v/>
      </c>
      <c r="F209" s="11">
        <f>D209+E209</f>
        <v/>
      </c>
      <c r="G209" s="11">
        <f>SUM(G194:G208)</f>
        <v/>
      </c>
      <c r="H209" s="11">
        <f>SUM(H194:H208)</f>
        <v/>
      </c>
      <c r="I209" s="11">
        <f>G209+H209</f>
        <v/>
      </c>
      <c r="J209" s="11">
        <f>D209+G209</f>
        <v/>
      </c>
      <c r="K209" s="11">
        <f>E209+H209</f>
        <v/>
      </c>
      <c r="L209" s="11">
        <f>J209+K209</f>
        <v/>
      </c>
      <c r="M209" s="12">
        <f>IF(C209=0,0,L209/C209*100)</f>
        <v/>
      </c>
    </row>
    <row r="211">
      <c r="A211" s="13" t="inlineStr">
        <is>
          <t>Day 10 - 2026-10-14 (Wed 28 Aswin 2083)</t>
        </is>
      </c>
    </row>
    <row r="212">
      <c r="A212" s="6" t="inlineStr">
        <is>
          <t>Ward no.</t>
        </is>
      </c>
      <c r="B212" s="6" t="inlineStr">
        <is>
          <t>Total population</t>
        </is>
      </c>
      <c r="C212" s="6" t="inlineStr">
        <is>
          <t>JE target population</t>
        </is>
      </c>
      <c r="D212" s="6" t="inlineStr">
        <is>
          <t>Vaccinated</t>
        </is>
      </c>
      <c r="E212" s="6" t="n"/>
      <c r="F212" s="6" t="n"/>
      <c r="G212" s="6" t="n"/>
      <c r="H212" s="6" t="n"/>
      <c r="I212" s="6" t="n"/>
      <c r="J212" s="6" t="n"/>
      <c r="K212" s="6" t="n"/>
      <c r="L212" s="6" t="n"/>
      <c r="M212" s="6" t="inlineStr">
        <is>
          <t>Progress %</t>
        </is>
      </c>
    </row>
    <row r="213">
      <c r="A213" s="6" t="n"/>
      <c r="B213" s="6" t="n"/>
      <c r="C213" s="6" t="n"/>
      <c r="D213" s="6" t="inlineStr">
        <is>
          <t>Age 30-60 yrs</t>
        </is>
      </c>
      <c r="E213" s="6" t="n"/>
      <c r="F213" s="6" t="n"/>
      <c r="G213" s="6" t="inlineStr">
        <is>
          <t>Age 60 above</t>
        </is>
      </c>
      <c r="H213" s="6" t="n"/>
      <c r="I213" s="6" t="n"/>
      <c r="J213" s="6" t="inlineStr">
        <is>
          <t>Total</t>
        </is>
      </c>
      <c r="K213" s="6" t="n"/>
      <c r="L213" s="6" t="inlineStr">
        <is>
          <t>Grand Total</t>
        </is>
      </c>
      <c r="M213" s="6" t="n"/>
    </row>
    <row r="214">
      <c r="A214" s="6" t="n"/>
      <c r="B214" s="6" t="n"/>
      <c r="C214" s="6" t="n"/>
      <c r="D214" s="6" t="inlineStr">
        <is>
          <t>F</t>
        </is>
      </c>
      <c r="E214" s="6" t="inlineStr">
        <is>
          <t>M</t>
        </is>
      </c>
      <c r="F214" s="6" t="inlineStr">
        <is>
          <t>Total</t>
        </is>
      </c>
      <c r="G214" s="6" t="inlineStr">
        <is>
          <t>F</t>
        </is>
      </c>
      <c r="H214" s="6" t="inlineStr">
        <is>
          <t>M</t>
        </is>
      </c>
      <c r="I214" s="6" t="inlineStr">
        <is>
          <t>Total</t>
        </is>
      </c>
      <c r="J214" s="6" t="inlineStr">
        <is>
          <t>F</t>
        </is>
      </c>
      <c r="K214" s="6" t="inlineStr">
        <is>
          <t>M</t>
        </is>
      </c>
      <c r="L214" s="6" t="n"/>
      <c r="M214" s="6" t="n"/>
    </row>
    <row r="215">
      <c r="A215" s="7" t="n">
        <v>1</v>
      </c>
      <c r="B215" s="8">
        <f>B5</f>
        <v/>
      </c>
      <c r="C215" s="8">
        <f>C5</f>
        <v/>
      </c>
      <c r="D215" s="14" t="n"/>
      <c r="E215" s="14" t="n"/>
      <c r="F215" s="8">
        <f>D215+E215</f>
        <v/>
      </c>
      <c r="G215" s="14" t="n"/>
      <c r="H215" s="14" t="n"/>
      <c r="I215" s="8">
        <f>G215+H215</f>
        <v/>
      </c>
      <c r="J215" s="8">
        <f>D215+G215</f>
        <v/>
      </c>
      <c r="K215" s="8">
        <f>E215+H215</f>
        <v/>
      </c>
      <c r="L215" s="8">
        <f>J215+K215</f>
        <v/>
      </c>
      <c r="M215" s="9">
        <f>IF(C215=0,0,L215/C215*100)</f>
        <v/>
      </c>
    </row>
    <row r="216">
      <c r="A216" s="7" t="n">
        <v>2</v>
      </c>
      <c r="B216" s="8">
        <f>B6</f>
        <v/>
      </c>
      <c r="C216" s="8">
        <f>C6</f>
        <v/>
      </c>
      <c r="D216" s="14" t="n"/>
      <c r="E216" s="14" t="n"/>
      <c r="F216" s="8">
        <f>D216+E216</f>
        <v/>
      </c>
      <c r="G216" s="14" t="n"/>
      <c r="H216" s="14" t="n"/>
      <c r="I216" s="8">
        <f>G216+H216</f>
        <v/>
      </c>
      <c r="J216" s="8">
        <f>D216+G216</f>
        <v/>
      </c>
      <c r="K216" s="8">
        <f>E216+H216</f>
        <v/>
      </c>
      <c r="L216" s="8">
        <f>J216+K216</f>
        <v/>
      </c>
      <c r="M216" s="9">
        <f>IF(C216=0,0,L216/C216*100)</f>
        <v/>
      </c>
    </row>
    <row r="217">
      <c r="A217" s="7" t="n">
        <v>3</v>
      </c>
      <c r="B217" s="8">
        <f>B7</f>
        <v/>
      </c>
      <c r="C217" s="8">
        <f>C7</f>
        <v/>
      </c>
      <c r="D217" s="14" t="n"/>
      <c r="E217" s="14" t="n"/>
      <c r="F217" s="8">
        <f>D217+E217</f>
        <v/>
      </c>
      <c r="G217" s="14" t="n"/>
      <c r="H217" s="14" t="n"/>
      <c r="I217" s="8">
        <f>G217+H217</f>
        <v/>
      </c>
      <c r="J217" s="8">
        <f>D217+G217</f>
        <v/>
      </c>
      <c r="K217" s="8">
        <f>E217+H217</f>
        <v/>
      </c>
      <c r="L217" s="8">
        <f>J217+K217</f>
        <v/>
      </c>
      <c r="M217" s="9">
        <f>IF(C217=0,0,L217/C217*100)</f>
        <v/>
      </c>
    </row>
    <row r="218">
      <c r="A218" s="7" t="n">
        <v>4</v>
      </c>
      <c r="B218" s="8">
        <f>B8</f>
        <v/>
      </c>
      <c r="C218" s="8">
        <f>C8</f>
        <v/>
      </c>
      <c r="D218" s="14" t="n"/>
      <c r="E218" s="14" t="n"/>
      <c r="F218" s="8">
        <f>D218+E218</f>
        <v/>
      </c>
      <c r="G218" s="14" t="n"/>
      <c r="H218" s="14" t="n"/>
      <c r="I218" s="8">
        <f>G218+H218</f>
        <v/>
      </c>
      <c r="J218" s="8">
        <f>D218+G218</f>
        <v/>
      </c>
      <c r="K218" s="8">
        <f>E218+H218</f>
        <v/>
      </c>
      <c r="L218" s="8">
        <f>J218+K218</f>
        <v/>
      </c>
      <c r="M218" s="9">
        <f>IF(C218=0,0,L218/C218*100)</f>
        <v/>
      </c>
    </row>
    <row r="219">
      <c r="A219" s="7" t="n">
        <v>5</v>
      </c>
      <c r="B219" s="8">
        <f>B9</f>
        <v/>
      </c>
      <c r="C219" s="8">
        <f>C9</f>
        <v/>
      </c>
      <c r="D219" s="14" t="n"/>
      <c r="E219" s="14" t="n"/>
      <c r="F219" s="8">
        <f>D219+E219</f>
        <v/>
      </c>
      <c r="G219" s="14" t="n"/>
      <c r="H219" s="14" t="n"/>
      <c r="I219" s="8">
        <f>G219+H219</f>
        <v/>
      </c>
      <c r="J219" s="8">
        <f>D219+G219</f>
        <v/>
      </c>
      <c r="K219" s="8">
        <f>E219+H219</f>
        <v/>
      </c>
      <c r="L219" s="8">
        <f>J219+K219</f>
        <v/>
      </c>
      <c r="M219" s="9">
        <f>IF(C219=0,0,L219/C219*100)</f>
        <v/>
      </c>
    </row>
    <row r="220">
      <c r="A220" s="7" t="n">
        <v>6</v>
      </c>
      <c r="B220" s="8">
        <f>B10</f>
        <v/>
      </c>
      <c r="C220" s="8">
        <f>C10</f>
        <v/>
      </c>
      <c r="D220" s="14" t="n"/>
      <c r="E220" s="14" t="n"/>
      <c r="F220" s="8">
        <f>D220+E220</f>
        <v/>
      </c>
      <c r="G220" s="14" t="n"/>
      <c r="H220" s="14" t="n"/>
      <c r="I220" s="8">
        <f>G220+H220</f>
        <v/>
      </c>
      <c r="J220" s="8">
        <f>D220+G220</f>
        <v/>
      </c>
      <c r="K220" s="8">
        <f>E220+H220</f>
        <v/>
      </c>
      <c r="L220" s="8">
        <f>J220+K220</f>
        <v/>
      </c>
      <c r="M220" s="9">
        <f>IF(C220=0,0,L220/C220*100)</f>
        <v/>
      </c>
    </row>
    <row r="221">
      <c r="A221" s="7" t="n">
        <v>7</v>
      </c>
      <c r="B221" s="8">
        <f>B11</f>
        <v/>
      </c>
      <c r="C221" s="8">
        <f>C11</f>
        <v/>
      </c>
      <c r="D221" s="14" t="n"/>
      <c r="E221" s="14" t="n"/>
      <c r="F221" s="8">
        <f>D221+E221</f>
        <v/>
      </c>
      <c r="G221" s="14" t="n"/>
      <c r="H221" s="14" t="n"/>
      <c r="I221" s="8">
        <f>G221+H221</f>
        <v/>
      </c>
      <c r="J221" s="8">
        <f>D221+G221</f>
        <v/>
      </c>
      <c r="K221" s="8">
        <f>E221+H221</f>
        <v/>
      </c>
      <c r="L221" s="8">
        <f>J221+K221</f>
        <v/>
      </c>
      <c r="M221" s="9">
        <f>IF(C221=0,0,L221/C221*100)</f>
        <v/>
      </c>
    </row>
    <row r="222">
      <c r="A222" s="7" t="n">
        <v>8</v>
      </c>
      <c r="B222" s="8">
        <f>B12</f>
        <v/>
      </c>
      <c r="C222" s="8">
        <f>C12</f>
        <v/>
      </c>
      <c r="D222" s="14" t="n"/>
      <c r="E222" s="14" t="n"/>
      <c r="F222" s="8">
        <f>D222+E222</f>
        <v/>
      </c>
      <c r="G222" s="14" t="n"/>
      <c r="H222" s="14" t="n"/>
      <c r="I222" s="8">
        <f>G222+H222</f>
        <v/>
      </c>
      <c r="J222" s="8">
        <f>D222+G222</f>
        <v/>
      </c>
      <c r="K222" s="8">
        <f>E222+H222</f>
        <v/>
      </c>
      <c r="L222" s="8">
        <f>J222+K222</f>
        <v/>
      </c>
      <c r="M222" s="9">
        <f>IF(C222=0,0,L222/C222*100)</f>
        <v/>
      </c>
    </row>
    <row r="223">
      <c r="A223" s="7" t="n">
        <v>9</v>
      </c>
      <c r="B223" s="8">
        <f>B13</f>
        <v/>
      </c>
      <c r="C223" s="8">
        <f>C13</f>
        <v/>
      </c>
      <c r="D223" s="14" t="n"/>
      <c r="E223" s="14" t="n"/>
      <c r="F223" s="8">
        <f>D223+E223</f>
        <v/>
      </c>
      <c r="G223" s="14" t="n"/>
      <c r="H223" s="14" t="n"/>
      <c r="I223" s="8">
        <f>G223+H223</f>
        <v/>
      </c>
      <c r="J223" s="8">
        <f>D223+G223</f>
        <v/>
      </c>
      <c r="K223" s="8">
        <f>E223+H223</f>
        <v/>
      </c>
      <c r="L223" s="8">
        <f>J223+K223</f>
        <v/>
      </c>
      <c r="M223" s="9">
        <f>IF(C223=0,0,L223/C223*100)</f>
        <v/>
      </c>
    </row>
    <row r="224">
      <c r="A224" s="7" t="n">
        <v>10</v>
      </c>
      <c r="B224" s="8">
        <f>B14</f>
        <v/>
      </c>
      <c r="C224" s="8">
        <f>C14</f>
        <v/>
      </c>
      <c r="D224" s="14" t="n"/>
      <c r="E224" s="14" t="n"/>
      <c r="F224" s="8">
        <f>D224+E224</f>
        <v/>
      </c>
      <c r="G224" s="14" t="n"/>
      <c r="H224" s="14" t="n"/>
      <c r="I224" s="8">
        <f>G224+H224</f>
        <v/>
      </c>
      <c r="J224" s="8">
        <f>D224+G224</f>
        <v/>
      </c>
      <c r="K224" s="8">
        <f>E224+H224</f>
        <v/>
      </c>
      <c r="L224" s="8">
        <f>J224+K224</f>
        <v/>
      </c>
      <c r="M224" s="9">
        <f>IF(C224=0,0,L224/C224*100)</f>
        <v/>
      </c>
    </row>
    <row r="225">
      <c r="A225" s="7" t="n">
        <v>11</v>
      </c>
      <c r="B225" s="8">
        <f>B15</f>
        <v/>
      </c>
      <c r="C225" s="8">
        <f>C15</f>
        <v/>
      </c>
      <c r="D225" s="14" t="n"/>
      <c r="E225" s="14" t="n"/>
      <c r="F225" s="8">
        <f>D225+E225</f>
        <v/>
      </c>
      <c r="G225" s="14" t="n"/>
      <c r="H225" s="14" t="n"/>
      <c r="I225" s="8">
        <f>G225+H225</f>
        <v/>
      </c>
      <c r="J225" s="8">
        <f>D225+G225</f>
        <v/>
      </c>
      <c r="K225" s="8">
        <f>E225+H225</f>
        <v/>
      </c>
      <c r="L225" s="8">
        <f>J225+K225</f>
        <v/>
      </c>
      <c r="M225" s="9">
        <f>IF(C225=0,0,L225/C225*100)</f>
        <v/>
      </c>
    </row>
    <row r="226">
      <c r="A226" s="7" t="n">
        <v>12</v>
      </c>
      <c r="B226" s="8">
        <f>B16</f>
        <v/>
      </c>
      <c r="C226" s="8">
        <f>C16</f>
        <v/>
      </c>
      <c r="D226" s="14" t="n"/>
      <c r="E226" s="14" t="n"/>
      <c r="F226" s="8">
        <f>D226+E226</f>
        <v/>
      </c>
      <c r="G226" s="14" t="n"/>
      <c r="H226" s="14" t="n"/>
      <c r="I226" s="8">
        <f>G226+H226</f>
        <v/>
      </c>
      <c r="J226" s="8">
        <f>D226+G226</f>
        <v/>
      </c>
      <c r="K226" s="8">
        <f>E226+H226</f>
        <v/>
      </c>
      <c r="L226" s="8">
        <f>J226+K226</f>
        <v/>
      </c>
      <c r="M226" s="9">
        <f>IF(C226=0,0,L226/C226*100)</f>
        <v/>
      </c>
    </row>
    <row r="227">
      <c r="A227" s="7" t="n">
        <v>13</v>
      </c>
      <c r="B227" s="8">
        <f>B17</f>
        <v/>
      </c>
      <c r="C227" s="8">
        <f>C17</f>
        <v/>
      </c>
      <c r="D227" s="14" t="n"/>
      <c r="E227" s="14" t="n"/>
      <c r="F227" s="8">
        <f>D227+E227</f>
        <v/>
      </c>
      <c r="G227" s="14" t="n"/>
      <c r="H227" s="14" t="n"/>
      <c r="I227" s="8">
        <f>G227+H227</f>
        <v/>
      </c>
      <c r="J227" s="8">
        <f>D227+G227</f>
        <v/>
      </c>
      <c r="K227" s="8">
        <f>E227+H227</f>
        <v/>
      </c>
      <c r="L227" s="8">
        <f>J227+K227</f>
        <v/>
      </c>
      <c r="M227" s="9">
        <f>IF(C227=0,0,L227/C227*100)</f>
        <v/>
      </c>
    </row>
    <row r="228">
      <c r="A228" s="7" t="n">
        <v>14</v>
      </c>
      <c r="B228" s="8">
        <f>B18</f>
        <v/>
      </c>
      <c r="C228" s="8">
        <f>C18</f>
        <v/>
      </c>
      <c r="D228" s="14" t="n"/>
      <c r="E228" s="14" t="n"/>
      <c r="F228" s="8">
        <f>D228+E228</f>
        <v/>
      </c>
      <c r="G228" s="14" t="n"/>
      <c r="H228" s="14" t="n"/>
      <c r="I228" s="8">
        <f>G228+H228</f>
        <v/>
      </c>
      <c r="J228" s="8">
        <f>D228+G228</f>
        <v/>
      </c>
      <c r="K228" s="8">
        <f>E228+H228</f>
        <v/>
      </c>
      <c r="L228" s="8">
        <f>J228+K228</f>
        <v/>
      </c>
      <c r="M228" s="9">
        <f>IF(C228=0,0,L228/C228*100)</f>
        <v/>
      </c>
    </row>
    <row r="229">
      <c r="A229" s="7" t="n">
        <v>15</v>
      </c>
      <c r="B229" s="8">
        <f>B19</f>
        <v/>
      </c>
      <c r="C229" s="8">
        <f>C19</f>
        <v/>
      </c>
      <c r="D229" s="14" t="n"/>
      <c r="E229" s="14" t="n"/>
      <c r="F229" s="8">
        <f>D229+E229</f>
        <v/>
      </c>
      <c r="G229" s="14" t="n"/>
      <c r="H229" s="14" t="n"/>
      <c r="I229" s="8">
        <f>G229+H229</f>
        <v/>
      </c>
      <c r="J229" s="8">
        <f>D229+G229</f>
        <v/>
      </c>
      <c r="K229" s="8">
        <f>E229+H229</f>
        <v/>
      </c>
      <c r="L229" s="8">
        <f>J229+K229</f>
        <v/>
      </c>
      <c r="M229" s="9">
        <f>IF(C229=0,0,L229/C229*100)</f>
        <v/>
      </c>
    </row>
    <row r="230">
      <c r="A230" s="10" t="inlineStr">
        <is>
          <t>Total</t>
        </is>
      </c>
      <c r="B230" s="11">
        <f>SUM(B215:B229)</f>
        <v/>
      </c>
      <c r="C230" s="11">
        <f>SUM(C215:C229)</f>
        <v/>
      </c>
      <c r="D230" s="11">
        <f>SUM(D215:D229)</f>
        <v/>
      </c>
      <c r="E230" s="11">
        <f>SUM(E215:E229)</f>
        <v/>
      </c>
      <c r="F230" s="11">
        <f>D230+E230</f>
        <v/>
      </c>
      <c r="G230" s="11">
        <f>SUM(G215:G229)</f>
        <v/>
      </c>
      <c r="H230" s="11">
        <f>SUM(H215:H229)</f>
        <v/>
      </c>
      <c r="I230" s="11">
        <f>G230+H230</f>
        <v/>
      </c>
      <c r="J230" s="11">
        <f>D230+G230</f>
        <v/>
      </c>
      <c r="K230" s="11">
        <f>E230+H230</f>
        <v/>
      </c>
      <c r="L230" s="11">
        <f>J230+K230</f>
        <v/>
      </c>
      <c r="M230" s="12">
        <f>IF(C230=0,0,L230/C230*100)</f>
        <v/>
      </c>
    </row>
    <row r="232">
      <c r="A232" s="13" t="inlineStr">
        <is>
          <t>Day 11 - 2026-10-15 (Thu 29 Aswin 2083)</t>
        </is>
      </c>
    </row>
    <row r="233">
      <c r="A233" s="6" t="inlineStr">
        <is>
          <t>Ward no.</t>
        </is>
      </c>
      <c r="B233" s="6" t="inlineStr">
        <is>
          <t>Total population</t>
        </is>
      </c>
      <c r="C233" s="6" t="inlineStr">
        <is>
          <t>JE target population</t>
        </is>
      </c>
      <c r="D233" s="6" t="inlineStr">
        <is>
          <t>Vaccinated</t>
        </is>
      </c>
      <c r="E233" s="6" t="n"/>
      <c r="F233" s="6" t="n"/>
      <c r="G233" s="6" t="n"/>
      <c r="H233" s="6" t="n"/>
      <c r="I233" s="6" t="n"/>
      <c r="J233" s="6" t="n"/>
      <c r="K233" s="6" t="n"/>
      <c r="L233" s="6" t="n"/>
      <c r="M233" s="6" t="inlineStr">
        <is>
          <t>Progress %</t>
        </is>
      </c>
    </row>
    <row r="234">
      <c r="A234" s="6" t="n"/>
      <c r="B234" s="6" t="n"/>
      <c r="C234" s="6" t="n"/>
      <c r="D234" s="6" t="inlineStr">
        <is>
          <t>Age 30-60 yrs</t>
        </is>
      </c>
      <c r="E234" s="6" t="n"/>
      <c r="F234" s="6" t="n"/>
      <c r="G234" s="6" t="inlineStr">
        <is>
          <t>Age 60 above</t>
        </is>
      </c>
      <c r="H234" s="6" t="n"/>
      <c r="I234" s="6" t="n"/>
      <c r="J234" s="6" t="inlineStr">
        <is>
          <t>Total</t>
        </is>
      </c>
      <c r="K234" s="6" t="n"/>
      <c r="L234" s="6" t="inlineStr">
        <is>
          <t>Grand Total</t>
        </is>
      </c>
      <c r="M234" s="6" t="n"/>
    </row>
    <row r="235">
      <c r="A235" s="6" t="n"/>
      <c r="B235" s="6" t="n"/>
      <c r="C235" s="6" t="n"/>
      <c r="D235" s="6" t="inlineStr">
        <is>
          <t>F</t>
        </is>
      </c>
      <c r="E235" s="6" t="inlineStr">
        <is>
          <t>M</t>
        </is>
      </c>
      <c r="F235" s="6" t="inlineStr">
        <is>
          <t>Total</t>
        </is>
      </c>
      <c r="G235" s="6" t="inlineStr">
        <is>
          <t>F</t>
        </is>
      </c>
      <c r="H235" s="6" t="inlineStr">
        <is>
          <t>M</t>
        </is>
      </c>
      <c r="I235" s="6" t="inlineStr">
        <is>
          <t>Total</t>
        </is>
      </c>
      <c r="J235" s="6" t="inlineStr">
        <is>
          <t>F</t>
        </is>
      </c>
      <c r="K235" s="6" t="inlineStr">
        <is>
          <t>M</t>
        </is>
      </c>
      <c r="L235" s="6" t="n"/>
      <c r="M235" s="6" t="n"/>
    </row>
    <row r="236">
      <c r="A236" s="7" t="n">
        <v>1</v>
      </c>
      <c r="B236" s="8">
        <f>B5</f>
        <v/>
      </c>
      <c r="C236" s="8">
        <f>C5</f>
        <v/>
      </c>
      <c r="D236" s="14" t="n"/>
      <c r="E236" s="14" t="n"/>
      <c r="F236" s="8">
        <f>D236+E236</f>
        <v/>
      </c>
      <c r="G236" s="14" t="n"/>
      <c r="H236" s="14" t="n"/>
      <c r="I236" s="8">
        <f>G236+H236</f>
        <v/>
      </c>
      <c r="J236" s="8">
        <f>D236+G236</f>
        <v/>
      </c>
      <c r="K236" s="8">
        <f>E236+H236</f>
        <v/>
      </c>
      <c r="L236" s="8">
        <f>J236+K236</f>
        <v/>
      </c>
      <c r="M236" s="9">
        <f>IF(C236=0,0,L236/C236*100)</f>
        <v/>
      </c>
    </row>
    <row r="237">
      <c r="A237" s="7" t="n">
        <v>2</v>
      </c>
      <c r="B237" s="8">
        <f>B6</f>
        <v/>
      </c>
      <c r="C237" s="8">
        <f>C6</f>
        <v/>
      </c>
      <c r="D237" s="14" t="n"/>
      <c r="E237" s="14" t="n"/>
      <c r="F237" s="8">
        <f>D237+E237</f>
        <v/>
      </c>
      <c r="G237" s="14" t="n"/>
      <c r="H237" s="14" t="n"/>
      <c r="I237" s="8">
        <f>G237+H237</f>
        <v/>
      </c>
      <c r="J237" s="8">
        <f>D237+G237</f>
        <v/>
      </c>
      <c r="K237" s="8">
        <f>E237+H237</f>
        <v/>
      </c>
      <c r="L237" s="8">
        <f>J237+K237</f>
        <v/>
      </c>
      <c r="M237" s="9">
        <f>IF(C237=0,0,L237/C237*100)</f>
        <v/>
      </c>
    </row>
    <row r="238">
      <c r="A238" s="7" t="n">
        <v>3</v>
      </c>
      <c r="B238" s="8">
        <f>B7</f>
        <v/>
      </c>
      <c r="C238" s="8">
        <f>C7</f>
        <v/>
      </c>
      <c r="D238" s="14" t="n"/>
      <c r="E238" s="14" t="n"/>
      <c r="F238" s="8">
        <f>D238+E238</f>
        <v/>
      </c>
      <c r="G238" s="14" t="n"/>
      <c r="H238" s="14" t="n"/>
      <c r="I238" s="8">
        <f>G238+H238</f>
        <v/>
      </c>
      <c r="J238" s="8">
        <f>D238+G238</f>
        <v/>
      </c>
      <c r="K238" s="8">
        <f>E238+H238</f>
        <v/>
      </c>
      <c r="L238" s="8">
        <f>J238+K238</f>
        <v/>
      </c>
      <c r="M238" s="9">
        <f>IF(C238=0,0,L238/C238*100)</f>
        <v/>
      </c>
    </row>
    <row r="239">
      <c r="A239" s="7" t="n">
        <v>4</v>
      </c>
      <c r="B239" s="8">
        <f>B8</f>
        <v/>
      </c>
      <c r="C239" s="8">
        <f>C8</f>
        <v/>
      </c>
      <c r="D239" s="14" t="n"/>
      <c r="E239" s="14" t="n"/>
      <c r="F239" s="8">
        <f>D239+E239</f>
        <v/>
      </c>
      <c r="G239" s="14" t="n"/>
      <c r="H239" s="14" t="n"/>
      <c r="I239" s="8">
        <f>G239+H239</f>
        <v/>
      </c>
      <c r="J239" s="8">
        <f>D239+G239</f>
        <v/>
      </c>
      <c r="K239" s="8">
        <f>E239+H239</f>
        <v/>
      </c>
      <c r="L239" s="8">
        <f>J239+K239</f>
        <v/>
      </c>
      <c r="M239" s="9">
        <f>IF(C239=0,0,L239/C239*100)</f>
        <v/>
      </c>
    </row>
    <row r="240">
      <c r="A240" s="7" t="n">
        <v>5</v>
      </c>
      <c r="B240" s="8">
        <f>B9</f>
        <v/>
      </c>
      <c r="C240" s="8">
        <f>C9</f>
        <v/>
      </c>
      <c r="D240" s="14" t="n"/>
      <c r="E240" s="14" t="n"/>
      <c r="F240" s="8">
        <f>D240+E240</f>
        <v/>
      </c>
      <c r="G240" s="14" t="n"/>
      <c r="H240" s="14" t="n"/>
      <c r="I240" s="8">
        <f>G240+H240</f>
        <v/>
      </c>
      <c r="J240" s="8">
        <f>D240+G240</f>
        <v/>
      </c>
      <c r="K240" s="8">
        <f>E240+H240</f>
        <v/>
      </c>
      <c r="L240" s="8">
        <f>J240+K240</f>
        <v/>
      </c>
      <c r="M240" s="9">
        <f>IF(C240=0,0,L240/C240*100)</f>
        <v/>
      </c>
    </row>
    <row r="241">
      <c r="A241" s="7" t="n">
        <v>6</v>
      </c>
      <c r="B241" s="8">
        <f>B10</f>
        <v/>
      </c>
      <c r="C241" s="8">
        <f>C10</f>
        <v/>
      </c>
      <c r="D241" s="14" t="n"/>
      <c r="E241" s="14" t="n"/>
      <c r="F241" s="8">
        <f>D241+E241</f>
        <v/>
      </c>
      <c r="G241" s="14" t="n"/>
      <c r="H241" s="14" t="n"/>
      <c r="I241" s="8">
        <f>G241+H241</f>
        <v/>
      </c>
      <c r="J241" s="8">
        <f>D241+G241</f>
        <v/>
      </c>
      <c r="K241" s="8">
        <f>E241+H241</f>
        <v/>
      </c>
      <c r="L241" s="8">
        <f>J241+K241</f>
        <v/>
      </c>
      <c r="M241" s="9">
        <f>IF(C241=0,0,L241/C241*100)</f>
        <v/>
      </c>
    </row>
    <row r="242">
      <c r="A242" s="7" t="n">
        <v>7</v>
      </c>
      <c r="B242" s="8">
        <f>B11</f>
        <v/>
      </c>
      <c r="C242" s="8">
        <f>C11</f>
        <v/>
      </c>
      <c r="D242" s="14" t="n"/>
      <c r="E242" s="14" t="n"/>
      <c r="F242" s="8">
        <f>D242+E242</f>
        <v/>
      </c>
      <c r="G242" s="14" t="n"/>
      <c r="H242" s="14" t="n"/>
      <c r="I242" s="8">
        <f>G242+H242</f>
        <v/>
      </c>
      <c r="J242" s="8">
        <f>D242+G242</f>
        <v/>
      </c>
      <c r="K242" s="8">
        <f>E242+H242</f>
        <v/>
      </c>
      <c r="L242" s="8">
        <f>J242+K242</f>
        <v/>
      </c>
      <c r="M242" s="9">
        <f>IF(C242=0,0,L242/C242*100)</f>
        <v/>
      </c>
    </row>
    <row r="243">
      <c r="A243" s="7" t="n">
        <v>8</v>
      </c>
      <c r="B243" s="8">
        <f>B12</f>
        <v/>
      </c>
      <c r="C243" s="8">
        <f>C12</f>
        <v/>
      </c>
      <c r="D243" s="14" t="n"/>
      <c r="E243" s="14" t="n"/>
      <c r="F243" s="8">
        <f>D243+E243</f>
        <v/>
      </c>
      <c r="G243" s="14" t="n"/>
      <c r="H243" s="14" t="n"/>
      <c r="I243" s="8">
        <f>G243+H243</f>
        <v/>
      </c>
      <c r="J243" s="8">
        <f>D243+G243</f>
        <v/>
      </c>
      <c r="K243" s="8">
        <f>E243+H243</f>
        <v/>
      </c>
      <c r="L243" s="8">
        <f>J243+K243</f>
        <v/>
      </c>
      <c r="M243" s="9">
        <f>IF(C243=0,0,L243/C243*100)</f>
        <v/>
      </c>
    </row>
    <row r="244">
      <c r="A244" s="7" t="n">
        <v>9</v>
      </c>
      <c r="B244" s="8">
        <f>B13</f>
        <v/>
      </c>
      <c r="C244" s="8">
        <f>C13</f>
        <v/>
      </c>
      <c r="D244" s="14" t="n"/>
      <c r="E244" s="14" t="n"/>
      <c r="F244" s="8">
        <f>D244+E244</f>
        <v/>
      </c>
      <c r="G244" s="14" t="n"/>
      <c r="H244" s="14" t="n"/>
      <c r="I244" s="8">
        <f>G244+H244</f>
        <v/>
      </c>
      <c r="J244" s="8">
        <f>D244+G244</f>
        <v/>
      </c>
      <c r="K244" s="8">
        <f>E244+H244</f>
        <v/>
      </c>
      <c r="L244" s="8">
        <f>J244+K244</f>
        <v/>
      </c>
      <c r="M244" s="9">
        <f>IF(C244=0,0,L244/C244*100)</f>
        <v/>
      </c>
    </row>
    <row r="245">
      <c r="A245" s="7" t="n">
        <v>10</v>
      </c>
      <c r="B245" s="8">
        <f>B14</f>
        <v/>
      </c>
      <c r="C245" s="8">
        <f>C14</f>
        <v/>
      </c>
      <c r="D245" s="14" t="n"/>
      <c r="E245" s="14" t="n"/>
      <c r="F245" s="8">
        <f>D245+E245</f>
        <v/>
      </c>
      <c r="G245" s="14" t="n"/>
      <c r="H245" s="14" t="n"/>
      <c r="I245" s="8">
        <f>G245+H245</f>
        <v/>
      </c>
      <c r="J245" s="8">
        <f>D245+G245</f>
        <v/>
      </c>
      <c r="K245" s="8">
        <f>E245+H245</f>
        <v/>
      </c>
      <c r="L245" s="8">
        <f>J245+K245</f>
        <v/>
      </c>
      <c r="M245" s="9">
        <f>IF(C245=0,0,L245/C245*100)</f>
        <v/>
      </c>
    </row>
    <row r="246">
      <c r="A246" s="7" t="n">
        <v>11</v>
      </c>
      <c r="B246" s="8">
        <f>B15</f>
        <v/>
      </c>
      <c r="C246" s="8">
        <f>C15</f>
        <v/>
      </c>
      <c r="D246" s="14" t="n"/>
      <c r="E246" s="14" t="n"/>
      <c r="F246" s="8">
        <f>D246+E246</f>
        <v/>
      </c>
      <c r="G246" s="14" t="n"/>
      <c r="H246" s="14" t="n"/>
      <c r="I246" s="8">
        <f>G246+H246</f>
        <v/>
      </c>
      <c r="J246" s="8">
        <f>D246+G246</f>
        <v/>
      </c>
      <c r="K246" s="8">
        <f>E246+H246</f>
        <v/>
      </c>
      <c r="L246" s="8">
        <f>J246+K246</f>
        <v/>
      </c>
      <c r="M246" s="9">
        <f>IF(C246=0,0,L246/C246*100)</f>
        <v/>
      </c>
    </row>
    <row r="247">
      <c r="A247" s="7" t="n">
        <v>12</v>
      </c>
      <c r="B247" s="8">
        <f>B16</f>
        <v/>
      </c>
      <c r="C247" s="8">
        <f>C16</f>
        <v/>
      </c>
      <c r="D247" s="14" t="n"/>
      <c r="E247" s="14" t="n"/>
      <c r="F247" s="8">
        <f>D247+E247</f>
        <v/>
      </c>
      <c r="G247" s="14" t="n"/>
      <c r="H247" s="14" t="n"/>
      <c r="I247" s="8">
        <f>G247+H247</f>
        <v/>
      </c>
      <c r="J247" s="8">
        <f>D247+G247</f>
        <v/>
      </c>
      <c r="K247" s="8">
        <f>E247+H247</f>
        <v/>
      </c>
      <c r="L247" s="8">
        <f>J247+K247</f>
        <v/>
      </c>
      <c r="M247" s="9">
        <f>IF(C247=0,0,L247/C247*100)</f>
        <v/>
      </c>
    </row>
    <row r="248">
      <c r="A248" s="7" t="n">
        <v>13</v>
      </c>
      <c r="B248" s="8">
        <f>B17</f>
        <v/>
      </c>
      <c r="C248" s="8">
        <f>C17</f>
        <v/>
      </c>
      <c r="D248" s="14" t="n"/>
      <c r="E248" s="14" t="n"/>
      <c r="F248" s="8">
        <f>D248+E248</f>
        <v/>
      </c>
      <c r="G248" s="14" t="n"/>
      <c r="H248" s="14" t="n"/>
      <c r="I248" s="8">
        <f>G248+H248</f>
        <v/>
      </c>
      <c r="J248" s="8">
        <f>D248+G248</f>
        <v/>
      </c>
      <c r="K248" s="8">
        <f>E248+H248</f>
        <v/>
      </c>
      <c r="L248" s="8">
        <f>J248+K248</f>
        <v/>
      </c>
      <c r="M248" s="9">
        <f>IF(C248=0,0,L248/C248*100)</f>
        <v/>
      </c>
    </row>
    <row r="249">
      <c r="A249" s="7" t="n">
        <v>14</v>
      </c>
      <c r="B249" s="8">
        <f>B18</f>
        <v/>
      </c>
      <c r="C249" s="8">
        <f>C18</f>
        <v/>
      </c>
      <c r="D249" s="14" t="n"/>
      <c r="E249" s="14" t="n"/>
      <c r="F249" s="8">
        <f>D249+E249</f>
        <v/>
      </c>
      <c r="G249" s="14" t="n"/>
      <c r="H249" s="14" t="n"/>
      <c r="I249" s="8">
        <f>G249+H249</f>
        <v/>
      </c>
      <c r="J249" s="8">
        <f>D249+G249</f>
        <v/>
      </c>
      <c r="K249" s="8">
        <f>E249+H249</f>
        <v/>
      </c>
      <c r="L249" s="8">
        <f>J249+K249</f>
        <v/>
      </c>
      <c r="M249" s="9">
        <f>IF(C249=0,0,L249/C249*100)</f>
        <v/>
      </c>
    </row>
    <row r="250">
      <c r="A250" s="7" t="n">
        <v>15</v>
      </c>
      <c r="B250" s="8">
        <f>B19</f>
        <v/>
      </c>
      <c r="C250" s="8">
        <f>C19</f>
        <v/>
      </c>
      <c r="D250" s="14" t="n"/>
      <c r="E250" s="14" t="n"/>
      <c r="F250" s="8">
        <f>D250+E250</f>
        <v/>
      </c>
      <c r="G250" s="14" t="n"/>
      <c r="H250" s="14" t="n"/>
      <c r="I250" s="8">
        <f>G250+H250</f>
        <v/>
      </c>
      <c r="J250" s="8">
        <f>D250+G250</f>
        <v/>
      </c>
      <c r="K250" s="8">
        <f>E250+H250</f>
        <v/>
      </c>
      <c r="L250" s="8">
        <f>J250+K250</f>
        <v/>
      </c>
      <c r="M250" s="9">
        <f>IF(C250=0,0,L250/C250*100)</f>
        <v/>
      </c>
    </row>
    <row r="251">
      <c r="A251" s="10" t="inlineStr">
        <is>
          <t>Total</t>
        </is>
      </c>
      <c r="B251" s="11">
        <f>SUM(B236:B250)</f>
        <v/>
      </c>
      <c r="C251" s="11">
        <f>SUM(C236:C250)</f>
        <v/>
      </c>
      <c r="D251" s="11">
        <f>SUM(D236:D250)</f>
        <v/>
      </c>
      <c r="E251" s="11">
        <f>SUM(E236:E250)</f>
        <v/>
      </c>
      <c r="F251" s="11">
        <f>D251+E251</f>
        <v/>
      </c>
      <c r="G251" s="11">
        <f>SUM(G236:G250)</f>
        <v/>
      </c>
      <c r="H251" s="11">
        <f>SUM(H236:H250)</f>
        <v/>
      </c>
      <c r="I251" s="11">
        <f>G251+H251</f>
        <v/>
      </c>
      <c r="J251" s="11">
        <f>D251+G251</f>
        <v/>
      </c>
      <c r="K251" s="11">
        <f>E251+H251</f>
        <v/>
      </c>
      <c r="L251" s="11">
        <f>J251+K251</f>
        <v/>
      </c>
      <c r="M251" s="12">
        <f>IF(C251=0,0,L251/C251*100)</f>
        <v/>
      </c>
    </row>
    <row r="253">
      <c r="A253" s="13" t="inlineStr">
        <is>
          <t>Day 12 - 2026-10-16 (Fri 30 Aswin 2083)</t>
        </is>
      </c>
    </row>
    <row r="254">
      <c r="A254" s="6" t="inlineStr">
        <is>
          <t>Ward no.</t>
        </is>
      </c>
      <c r="B254" s="6" t="inlineStr">
        <is>
          <t>Total population</t>
        </is>
      </c>
      <c r="C254" s="6" t="inlineStr">
        <is>
          <t>JE target population</t>
        </is>
      </c>
      <c r="D254" s="6" t="inlineStr">
        <is>
          <t>Vaccinated</t>
        </is>
      </c>
      <c r="E254" s="6" t="n"/>
      <c r="F254" s="6" t="n"/>
      <c r="G254" s="6" t="n"/>
      <c r="H254" s="6" t="n"/>
      <c r="I254" s="6" t="n"/>
      <c r="J254" s="6" t="n"/>
      <c r="K254" s="6" t="n"/>
      <c r="L254" s="6" t="n"/>
      <c r="M254" s="6" t="inlineStr">
        <is>
          <t>Progress %</t>
        </is>
      </c>
    </row>
    <row r="255">
      <c r="A255" s="6" t="n"/>
      <c r="B255" s="6" t="n"/>
      <c r="C255" s="6" t="n"/>
      <c r="D255" s="6" t="inlineStr">
        <is>
          <t>Age 30-60 yrs</t>
        </is>
      </c>
      <c r="E255" s="6" t="n"/>
      <c r="F255" s="6" t="n"/>
      <c r="G255" s="6" t="inlineStr">
        <is>
          <t>Age 60 above</t>
        </is>
      </c>
      <c r="H255" s="6" t="n"/>
      <c r="I255" s="6" t="n"/>
      <c r="J255" s="6" t="inlineStr">
        <is>
          <t>Total</t>
        </is>
      </c>
      <c r="K255" s="6" t="n"/>
      <c r="L255" s="6" t="inlineStr">
        <is>
          <t>Grand Total</t>
        </is>
      </c>
      <c r="M255" s="6" t="n"/>
    </row>
    <row r="256">
      <c r="A256" s="6" t="n"/>
      <c r="B256" s="6" t="n"/>
      <c r="C256" s="6" t="n"/>
      <c r="D256" s="6" t="inlineStr">
        <is>
          <t>F</t>
        </is>
      </c>
      <c r="E256" s="6" t="inlineStr">
        <is>
          <t>M</t>
        </is>
      </c>
      <c r="F256" s="6" t="inlineStr">
        <is>
          <t>Total</t>
        </is>
      </c>
      <c r="G256" s="6" t="inlineStr">
        <is>
          <t>F</t>
        </is>
      </c>
      <c r="H256" s="6" t="inlineStr">
        <is>
          <t>M</t>
        </is>
      </c>
      <c r="I256" s="6" t="inlineStr">
        <is>
          <t>Total</t>
        </is>
      </c>
      <c r="J256" s="6" t="inlineStr">
        <is>
          <t>F</t>
        </is>
      </c>
      <c r="K256" s="6" t="inlineStr">
        <is>
          <t>M</t>
        </is>
      </c>
      <c r="L256" s="6" t="n"/>
      <c r="M256" s="6" t="n"/>
    </row>
    <row r="257">
      <c r="A257" s="7" t="n">
        <v>1</v>
      </c>
      <c r="B257" s="8">
        <f>B5</f>
        <v/>
      </c>
      <c r="C257" s="8">
        <f>C5</f>
        <v/>
      </c>
      <c r="D257" s="14" t="n"/>
      <c r="E257" s="14" t="n"/>
      <c r="F257" s="8">
        <f>D257+E257</f>
        <v/>
      </c>
      <c r="G257" s="14" t="n"/>
      <c r="H257" s="14" t="n"/>
      <c r="I257" s="8">
        <f>G257+H257</f>
        <v/>
      </c>
      <c r="J257" s="8">
        <f>D257+G257</f>
        <v/>
      </c>
      <c r="K257" s="8">
        <f>E257+H257</f>
        <v/>
      </c>
      <c r="L257" s="8">
        <f>J257+K257</f>
        <v/>
      </c>
      <c r="M257" s="9">
        <f>IF(C257=0,0,L257/C257*100)</f>
        <v/>
      </c>
    </row>
    <row r="258">
      <c r="A258" s="7" t="n">
        <v>2</v>
      </c>
      <c r="B258" s="8">
        <f>B6</f>
        <v/>
      </c>
      <c r="C258" s="8">
        <f>C6</f>
        <v/>
      </c>
      <c r="D258" s="14" t="n"/>
      <c r="E258" s="14" t="n"/>
      <c r="F258" s="8">
        <f>D258+E258</f>
        <v/>
      </c>
      <c r="G258" s="14" t="n"/>
      <c r="H258" s="14" t="n"/>
      <c r="I258" s="8">
        <f>G258+H258</f>
        <v/>
      </c>
      <c r="J258" s="8">
        <f>D258+G258</f>
        <v/>
      </c>
      <c r="K258" s="8">
        <f>E258+H258</f>
        <v/>
      </c>
      <c r="L258" s="8">
        <f>J258+K258</f>
        <v/>
      </c>
      <c r="M258" s="9">
        <f>IF(C258=0,0,L258/C258*100)</f>
        <v/>
      </c>
    </row>
    <row r="259">
      <c r="A259" s="7" t="n">
        <v>3</v>
      </c>
      <c r="B259" s="8">
        <f>B7</f>
        <v/>
      </c>
      <c r="C259" s="8">
        <f>C7</f>
        <v/>
      </c>
      <c r="D259" s="14" t="n"/>
      <c r="E259" s="14" t="n"/>
      <c r="F259" s="8">
        <f>D259+E259</f>
        <v/>
      </c>
      <c r="G259" s="14" t="n"/>
      <c r="H259" s="14" t="n"/>
      <c r="I259" s="8">
        <f>G259+H259</f>
        <v/>
      </c>
      <c r="J259" s="8">
        <f>D259+G259</f>
        <v/>
      </c>
      <c r="K259" s="8">
        <f>E259+H259</f>
        <v/>
      </c>
      <c r="L259" s="8">
        <f>J259+K259</f>
        <v/>
      </c>
      <c r="M259" s="9">
        <f>IF(C259=0,0,L259/C259*100)</f>
        <v/>
      </c>
    </row>
    <row r="260">
      <c r="A260" s="7" t="n">
        <v>4</v>
      </c>
      <c r="B260" s="8">
        <f>B8</f>
        <v/>
      </c>
      <c r="C260" s="8">
        <f>C8</f>
        <v/>
      </c>
      <c r="D260" s="14" t="n"/>
      <c r="E260" s="14" t="n"/>
      <c r="F260" s="8">
        <f>D260+E260</f>
        <v/>
      </c>
      <c r="G260" s="14" t="n"/>
      <c r="H260" s="14" t="n"/>
      <c r="I260" s="8">
        <f>G260+H260</f>
        <v/>
      </c>
      <c r="J260" s="8">
        <f>D260+G260</f>
        <v/>
      </c>
      <c r="K260" s="8">
        <f>E260+H260</f>
        <v/>
      </c>
      <c r="L260" s="8">
        <f>J260+K260</f>
        <v/>
      </c>
      <c r="M260" s="9">
        <f>IF(C260=0,0,L260/C260*100)</f>
        <v/>
      </c>
    </row>
    <row r="261">
      <c r="A261" s="7" t="n">
        <v>5</v>
      </c>
      <c r="B261" s="8">
        <f>B9</f>
        <v/>
      </c>
      <c r="C261" s="8">
        <f>C9</f>
        <v/>
      </c>
      <c r="D261" s="14" t="n"/>
      <c r="E261" s="14" t="n"/>
      <c r="F261" s="8">
        <f>D261+E261</f>
        <v/>
      </c>
      <c r="G261" s="14" t="n"/>
      <c r="H261" s="14" t="n"/>
      <c r="I261" s="8">
        <f>G261+H261</f>
        <v/>
      </c>
      <c r="J261" s="8">
        <f>D261+G261</f>
        <v/>
      </c>
      <c r="K261" s="8">
        <f>E261+H261</f>
        <v/>
      </c>
      <c r="L261" s="8">
        <f>J261+K261</f>
        <v/>
      </c>
      <c r="M261" s="9">
        <f>IF(C261=0,0,L261/C261*100)</f>
        <v/>
      </c>
    </row>
    <row r="262">
      <c r="A262" s="7" t="n">
        <v>6</v>
      </c>
      <c r="B262" s="8">
        <f>B10</f>
        <v/>
      </c>
      <c r="C262" s="8">
        <f>C10</f>
        <v/>
      </c>
      <c r="D262" s="14" t="n"/>
      <c r="E262" s="14" t="n"/>
      <c r="F262" s="8">
        <f>D262+E262</f>
        <v/>
      </c>
      <c r="G262" s="14" t="n"/>
      <c r="H262" s="14" t="n"/>
      <c r="I262" s="8">
        <f>G262+H262</f>
        <v/>
      </c>
      <c r="J262" s="8">
        <f>D262+G262</f>
        <v/>
      </c>
      <c r="K262" s="8">
        <f>E262+H262</f>
        <v/>
      </c>
      <c r="L262" s="8">
        <f>J262+K262</f>
        <v/>
      </c>
      <c r="M262" s="9">
        <f>IF(C262=0,0,L262/C262*100)</f>
        <v/>
      </c>
    </row>
    <row r="263">
      <c r="A263" s="7" t="n">
        <v>7</v>
      </c>
      <c r="B263" s="8">
        <f>B11</f>
        <v/>
      </c>
      <c r="C263" s="8">
        <f>C11</f>
        <v/>
      </c>
      <c r="D263" s="14" t="n"/>
      <c r="E263" s="14" t="n"/>
      <c r="F263" s="8">
        <f>D263+E263</f>
        <v/>
      </c>
      <c r="G263" s="14" t="n"/>
      <c r="H263" s="14" t="n"/>
      <c r="I263" s="8">
        <f>G263+H263</f>
        <v/>
      </c>
      <c r="J263" s="8">
        <f>D263+G263</f>
        <v/>
      </c>
      <c r="K263" s="8">
        <f>E263+H263</f>
        <v/>
      </c>
      <c r="L263" s="8">
        <f>J263+K263</f>
        <v/>
      </c>
      <c r="M263" s="9">
        <f>IF(C263=0,0,L263/C263*100)</f>
        <v/>
      </c>
    </row>
    <row r="264">
      <c r="A264" s="7" t="n">
        <v>8</v>
      </c>
      <c r="B264" s="8">
        <f>B12</f>
        <v/>
      </c>
      <c r="C264" s="8">
        <f>C12</f>
        <v/>
      </c>
      <c r="D264" s="14" t="n"/>
      <c r="E264" s="14" t="n"/>
      <c r="F264" s="8">
        <f>D264+E264</f>
        <v/>
      </c>
      <c r="G264" s="14" t="n"/>
      <c r="H264" s="14" t="n"/>
      <c r="I264" s="8">
        <f>G264+H264</f>
        <v/>
      </c>
      <c r="J264" s="8">
        <f>D264+G264</f>
        <v/>
      </c>
      <c r="K264" s="8">
        <f>E264+H264</f>
        <v/>
      </c>
      <c r="L264" s="8">
        <f>J264+K264</f>
        <v/>
      </c>
      <c r="M264" s="9">
        <f>IF(C264=0,0,L264/C264*100)</f>
        <v/>
      </c>
    </row>
    <row r="265">
      <c r="A265" s="7" t="n">
        <v>9</v>
      </c>
      <c r="B265" s="8">
        <f>B13</f>
        <v/>
      </c>
      <c r="C265" s="8">
        <f>C13</f>
        <v/>
      </c>
      <c r="D265" s="14" t="n"/>
      <c r="E265" s="14" t="n"/>
      <c r="F265" s="8">
        <f>D265+E265</f>
        <v/>
      </c>
      <c r="G265" s="14" t="n"/>
      <c r="H265" s="14" t="n"/>
      <c r="I265" s="8">
        <f>G265+H265</f>
        <v/>
      </c>
      <c r="J265" s="8">
        <f>D265+G265</f>
        <v/>
      </c>
      <c r="K265" s="8">
        <f>E265+H265</f>
        <v/>
      </c>
      <c r="L265" s="8">
        <f>J265+K265</f>
        <v/>
      </c>
      <c r="M265" s="9">
        <f>IF(C265=0,0,L265/C265*100)</f>
        <v/>
      </c>
    </row>
    <row r="266">
      <c r="A266" s="7" t="n">
        <v>10</v>
      </c>
      <c r="B266" s="8">
        <f>B14</f>
        <v/>
      </c>
      <c r="C266" s="8">
        <f>C14</f>
        <v/>
      </c>
      <c r="D266" s="14" t="n"/>
      <c r="E266" s="14" t="n"/>
      <c r="F266" s="8">
        <f>D266+E266</f>
        <v/>
      </c>
      <c r="G266" s="14" t="n"/>
      <c r="H266" s="14" t="n"/>
      <c r="I266" s="8">
        <f>G266+H266</f>
        <v/>
      </c>
      <c r="J266" s="8">
        <f>D266+G266</f>
        <v/>
      </c>
      <c r="K266" s="8">
        <f>E266+H266</f>
        <v/>
      </c>
      <c r="L266" s="8">
        <f>J266+K266</f>
        <v/>
      </c>
      <c r="M266" s="9">
        <f>IF(C266=0,0,L266/C266*100)</f>
        <v/>
      </c>
    </row>
    <row r="267">
      <c r="A267" s="7" t="n">
        <v>11</v>
      </c>
      <c r="B267" s="8">
        <f>B15</f>
        <v/>
      </c>
      <c r="C267" s="8">
        <f>C15</f>
        <v/>
      </c>
      <c r="D267" s="14" t="n"/>
      <c r="E267" s="14" t="n"/>
      <c r="F267" s="8">
        <f>D267+E267</f>
        <v/>
      </c>
      <c r="G267" s="14" t="n"/>
      <c r="H267" s="14" t="n"/>
      <c r="I267" s="8">
        <f>G267+H267</f>
        <v/>
      </c>
      <c r="J267" s="8">
        <f>D267+G267</f>
        <v/>
      </c>
      <c r="K267" s="8">
        <f>E267+H267</f>
        <v/>
      </c>
      <c r="L267" s="8">
        <f>J267+K267</f>
        <v/>
      </c>
      <c r="M267" s="9">
        <f>IF(C267=0,0,L267/C267*100)</f>
        <v/>
      </c>
    </row>
    <row r="268">
      <c r="A268" s="7" t="n">
        <v>12</v>
      </c>
      <c r="B268" s="8">
        <f>B16</f>
        <v/>
      </c>
      <c r="C268" s="8">
        <f>C16</f>
        <v/>
      </c>
      <c r="D268" s="14" t="n"/>
      <c r="E268" s="14" t="n"/>
      <c r="F268" s="8">
        <f>D268+E268</f>
        <v/>
      </c>
      <c r="G268" s="14" t="n"/>
      <c r="H268" s="14" t="n"/>
      <c r="I268" s="8">
        <f>G268+H268</f>
        <v/>
      </c>
      <c r="J268" s="8">
        <f>D268+G268</f>
        <v/>
      </c>
      <c r="K268" s="8">
        <f>E268+H268</f>
        <v/>
      </c>
      <c r="L268" s="8">
        <f>J268+K268</f>
        <v/>
      </c>
      <c r="M268" s="9">
        <f>IF(C268=0,0,L268/C268*100)</f>
        <v/>
      </c>
    </row>
    <row r="269">
      <c r="A269" s="7" t="n">
        <v>13</v>
      </c>
      <c r="B269" s="8">
        <f>B17</f>
        <v/>
      </c>
      <c r="C269" s="8">
        <f>C17</f>
        <v/>
      </c>
      <c r="D269" s="14" t="n"/>
      <c r="E269" s="14" t="n"/>
      <c r="F269" s="8">
        <f>D269+E269</f>
        <v/>
      </c>
      <c r="G269" s="14" t="n"/>
      <c r="H269" s="14" t="n"/>
      <c r="I269" s="8">
        <f>G269+H269</f>
        <v/>
      </c>
      <c r="J269" s="8">
        <f>D269+G269</f>
        <v/>
      </c>
      <c r="K269" s="8">
        <f>E269+H269</f>
        <v/>
      </c>
      <c r="L269" s="8">
        <f>J269+K269</f>
        <v/>
      </c>
      <c r="M269" s="9">
        <f>IF(C269=0,0,L269/C269*100)</f>
        <v/>
      </c>
    </row>
    <row r="270">
      <c r="A270" s="7" t="n">
        <v>14</v>
      </c>
      <c r="B270" s="8">
        <f>B18</f>
        <v/>
      </c>
      <c r="C270" s="8">
        <f>C18</f>
        <v/>
      </c>
      <c r="D270" s="14" t="n"/>
      <c r="E270" s="14" t="n"/>
      <c r="F270" s="8">
        <f>D270+E270</f>
        <v/>
      </c>
      <c r="G270" s="14" t="n"/>
      <c r="H270" s="14" t="n"/>
      <c r="I270" s="8">
        <f>G270+H270</f>
        <v/>
      </c>
      <c r="J270" s="8">
        <f>D270+G270</f>
        <v/>
      </c>
      <c r="K270" s="8">
        <f>E270+H270</f>
        <v/>
      </c>
      <c r="L270" s="8">
        <f>J270+K270</f>
        <v/>
      </c>
      <c r="M270" s="9">
        <f>IF(C270=0,0,L270/C270*100)</f>
        <v/>
      </c>
    </row>
    <row r="271">
      <c r="A271" s="7" t="n">
        <v>15</v>
      </c>
      <c r="B271" s="8">
        <f>B19</f>
        <v/>
      </c>
      <c r="C271" s="8">
        <f>C19</f>
        <v/>
      </c>
      <c r="D271" s="14" t="n"/>
      <c r="E271" s="14" t="n"/>
      <c r="F271" s="8">
        <f>D271+E271</f>
        <v/>
      </c>
      <c r="G271" s="14" t="n"/>
      <c r="H271" s="14" t="n"/>
      <c r="I271" s="8">
        <f>G271+H271</f>
        <v/>
      </c>
      <c r="J271" s="8">
        <f>D271+G271</f>
        <v/>
      </c>
      <c r="K271" s="8">
        <f>E271+H271</f>
        <v/>
      </c>
      <c r="L271" s="8">
        <f>J271+K271</f>
        <v/>
      </c>
      <c r="M271" s="9">
        <f>IF(C271=0,0,L271/C271*100)</f>
        <v/>
      </c>
    </row>
    <row r="272">
      <c r="A272" s="10" t="inlineStr">
        <is>
          <t>Total</t>
        </is>
      </c>
      <c r="B272" s="11">
        <f>SUM(B257:B271)</f>
        <v/>
      </c>
      <c r="C272" s="11">
        <f>SUM(C257:C271)</f>
        <v/>
      </c>
      <c r="D272" s="11">
        <f>SUM(D257:D271)</f>
        <v/>
      </c>
      <c r="E272" s="11">
        <f>SUM(E257:E271)</f>
        <v/>
      </c>
      <c r="F272" s="11">
        <f>D272+E272</f>
        <v/>
      </c>
      <c r="G272" s="11">
        <f>SUM(G257:G271)</f>
        <v/>
      </c>
      <c r="H272" s="11">
        <f>SUM(H257:H271)</f>
        <v/>
      </c>
      <c r="I272" s="11">
        <f>G272+H272</f>
        <v/>
      </c>
      <c r="J272" s="11">
        <f>D272+G272</f>
        <v/>
      </c>
      <c r="K272" s="11">
        <f>E272+H272</f>
        <v/>
      </c>
      <c r="L272" s="11">
        <f>J272+K272</f>
        <v/>
      </c>
      <c r="M272" s="12">
        <f>IF(C272=0,0,L272/C272*100)</f>
        <v/>
      </c>
    </row>
    <row r="274">
      <c r="A274" s="13" t="inlineStr">
        <is>
          <t>Day 13 - 2026-10-17 (Sat 31 Aswin 2083)</t>
        </is>
      </c>
    </row>
    <row r="275">
      <c r="A275" s="6" t="inlineStr">
        <is>
          <t>Ward no.</t>
        </is>
      </c>
      <c r="B275" s="6" t="inlineStr">
        <is>
          <t>Total population</t>
        </is>
      </c>
      <c r="C275" s="6" t="inlineStr">
        <is>
          <t>JE target population</t>
        </is>
      </c>
      <c r="D275" s="6" t="inlineStr">
        <is>
          <t>Vaccinated</t>
        </is>
      </c>
      <c r="E275" s="6" t="n"/>
      <c r="F275" s="6" t="n"/>
      <c r="G275" s="6" t="n"/>
      <c r="H275" s="6" t="n"/>
      <c r="I275" s="6" t="n"/>
      <c r="J275" s="6" t="n"/>
      <c r="K275" s="6" t="n"/>
      <c r="L275" s="6" t="n"/>
      <c r="M275" s="6" t="inlineStr">
        <is>
          <t>Progress %</t>
        </is>
      </c>
    </row>
    <row r="276">
      <c r="A276" s="6" t="n"/>
      <c r="B276" s="6" t="n"/>
      <c r="C276" s="6" t="n"/>
      <c r="D276" s="6" t="inlineStr">
        <is>
          <t>Age 30-60 yrs</t>
        </is>
      </c>
      <c r="E276" s="6" t="n"/>
      <c r="F276" s="6" t="n"/>
      <c r="G276" s="6" t="inlineStr">
        <is>
          <t>Age 60 above</t>
        </is>
      </c>
      <c r="H276" s="6" t="n"/>
      <c r="I276" s="6" t="n"/>
      <c r="J276" s="6" t="inlineStr">
        <is>
          <t>Total</t>
        </is>
      </c>
      <c r="K276" s="6" t="n"/>
      <c r="L276" s="6" t="inlineStr">
        <is>
          <t>Grand Total</t>
        </is>
      </c>
      <c r="M276" s="6" t="n"/>
    </row>
    <row r="277">
      <c r="A277" s="6" t="n"/>
      <c r="B277" s="6" t="n"/>
      <c r="C277" s="6" t="n"/>
      <c r="D277" s="6" t="inlineStr">
        <is>
          <t>F</t>
        </is>
      </c>
      <c r="E277" s="6" t="inlineStr">
        <is>
          <t>M</t>
        </is>
      </c>
      <c r="F277" s="6" t="inlineStr">
        <is>
          <t>Total</t>
        </is>
      </c>
      <c r="G277" s="6" t="inlineStr">
        <is>
          <t>F</t>
        </is>
      </c>
      <c r="H277" s="6" t="inlineStr">
        <is>
          <t>M</t>
        </is>
      </c>
      <c r="I277" s="6" t="inlineStr">
        <is>
          <t>Total</t>
        </is>
      </c>
      <c r="J277" s="6" t="inlineStr">
        <is>
          <t>F</t>
        </is>
      </c>
      <c r="K277" s="6" t="inlineStr">
        <is>
          <t>M</t>
        </is>
      </c>
      <c r="L277" s="6" t="n"/>
      <c r="M277" s="6" t="n"/>
    </row>
    <row r="278">
      <c r="A278" s="7" t="n">
        <v>1</v>
      </c>
      <c r="B278" s="8">
        <f>B5</f>
        <v/>
      </c>
      <c r="C278" s="8">
        <f>C5</f>
        <v/>
      </c>
      <c r="D278" s="14" t="n"/>
      <c r="E278" s="14" t="n"/>
      <c r="F278" s="8">
        <f>D278+E278</f>
        <v/>
      </c>
      <c r="G278" s="14" t="n"/>
      <c r="H278" s="14" t="n"/>
      <c r="I278" s="8">
        <f>G278+H278</f>
        <v/>
      </c>
      <c r="J278" s="8">
        <f>D278+G278</f>
        <v/>
      </c>
      <c r="K278" s="8">
        <f>E278+H278</f>
        <v/>
      </c>
      <c r="L278" s="8">
        <f>J278+K278</f>
        <v/>
      </c>
      <c r="M278" s="9">
        <f>IF(C278=0,0,L278/C278*100)</f>
        <v/>
      </c>
    </row>
    <row r="279">
      <c r="A279" s="7" t="n">
        <v>2</v>
      </c>
      <c r="B279" s="8">
        <f>B6</f>
        <v/>
      </c>
      <c r="C279" s="8">
        <f>C6</f>
        <v/>
      </c>
      <c r="D279" s="14" t="n"/>
      <c r="E279" s="14" t="n"/>
      <c r="F279" s="8">
        <f>D279+E279</f>
        <v/>
      </c>
      <c r="G279" s="14" t="n"/>
      <c r="H279" s="14" t="n"/>
      <c r="I279" s="8">
        <f>G279+H279</f>
        <v/>
      </c>
      <c r="J279" s="8">
        <f>D279+G279</f>
        <v/>
      </c>
      <c r="K279" s="8">
        <f>E279+H279</f>
        <v/>
      </c>
      <c r="L279" s="8">
        <f>J279+K279</f>
        <v/>
      </c>
      <c r="M279" s="9">
        <f>IF(C279=0,0,L279/C279*100)</f>
        <v/>
      </c>
    </row>
    <row r="280">
      <c r="A280" s="7" t="n">
        <v>3</v>
      </c>
      <c r="B280" s="8">
        <f>B7</f>
        <v/>
      </c>
      <c r="C280" s="8">
        <f>C7</f>
        <v/>
      </c>
      <c r="D280" s="14" t="n"/>
      <c r="E280" s="14" t="n"/>
      <c r="F280" s="8">
        <f>D280+E280</f>
        <v/>
      </c>
      <c r="G280" s="14" t="n"/>
      <c r="H280" s="14" t="n"/>
      <c r="I280" s="8">
        <f>G280+H280</f>
        <v/>
      </c>
      <c r="J280" s="8">
        <f>D280+G280</f>
        <v/>
      </c>
      <c r="K280" s="8">
        <f>E280+H280</f>
        <v/>
      </c>
      <c r="L280" s="8">
        <f>J280+K280</f>
        <v/>
      </c>
      <c r="M280" s="9">
        <f>IF(C280=0,0,L280/C280*100)</f>
        <v/>
      </c>
    </row>
    <row r="281">
      <c r="A281" s="7" t="n">
        <v>4</v>
      </c>
      <c r="B281" s="8">
        <f>B8</f>
        <v/>
      </c>
      <c r="C281" s="8">
        <f>C8</f>
        <v/>
      </c>
      <c r="D281" s="14" t="n"/>
      <c r="E281" s="14" t="n"/>
      <c r="F281" s="8">
        <f>D281+E281</f>
        <v/>
      </c>
      <c r="G281" s="14" t="n"/>
      <c r="H281" s="14" t="n"/>
      <c r="I281" s="8">
        <f>G281+H281</f>
        <v/>
      </c>
      <c r="J281" s="8">
        <f>D281+G281</f>
        <v/>
      </c>
      <c r="K281" s="8">
        <f>E281+H281</f>
        <v/>
      </c>
      <c r="L281" s="8">
        <f>J281+K281</f>
        <v/>
      </c>
      <c r="M281" s="9">
        <f>IF(C281=0,0,L281/C281*100)</f>
        <v/>
      </c>
    </row>
    <row r="282">
      <c r="A282" s="7" t="n">
        <v>5</v>
      </c>
      <c r="B282" s="8">
        <f>B9</f>
        <v/>
      </c>
      <c r="C282" s="8">
        <f>C9</f>
        <v/>
      </c>
      <c r="D282" s="14" t="n"/>
      <c r="E282" s="14" t="n"/>
      <c r="F282" s="8">
        <f>D282+E282</f>
        <v/>
      </c>
      <c r="G282" s="14" t="n"/>
      <c r="H282" s="14" t="n"/>
      <c r="I282" s="8">
        <f>G282+H282</f>
        <v/>
      </c>
      <c r="J282" s="8">
        <f>D282+G282</f>
        <v/>
      </c>
      <c r="K282" s="8">
        <f>E282+H282</f>
        <v/>
      </c>
      <c r="L282" s="8">
        <f>J282+K282</f>
        <v/>
      </c>
      <c r="M282" s="9">
        <f>IF(C282=0,0,L282/C282*100)</f>
        <v/>
      </c>
    </row>
    <row r="283">
      <c r="A283" s="7" t="n">
        <v>6</v>
      </c>
      <c r="B283" s="8">
        <f>B10</f>
        <v/>
      </c>
      <c r="C283" s="8">
        <f>C10</f>
        <v/>
      </c>
      <c r="D283" s="14" t="n"/>
      <c r="E283" s="14" t="n"/>
      <c r="F283" s="8">
        <f>D283+E283</f>
        <v/>
      </c>
      <c r="G283" s="14" t="n"/>
      <c r="H283" s="14" t="n"/>
      <c r="I283" s="8">
        <f>G283+H283</f>
        <v/>
      </c>
      <c r="J283" s="8">
        <f>D283+G283</f>
        <v/>
      </c>
      <c r="K283" s="8">
        <f>E283+H283</f>
        <v/>
      </c>
      <c r="L283" s="8">
        <f>J283+K283</f>
        <v/>
      </c>
      <c r="M283" s="9">
        <f>IF(C283=0,0,L283/C283*100)</f>
        <v/>
      </c>
    </row>
    <row r="284">
      <c r="A284" s="7" t="n">
        <v>7</v>
      </c>
      <c r="B284" s="8">
        <f>B11</f>
        <v/>
      </c>
      <c r="C284" s="8">
        <f>C11</f>
        <v/>
      </c>
      <c r="D284" s="14" t="n"/>
      <c r="E284" s="14" t="n"/>
      <c r="F284" s="8">
        <f>D284+E284</f>
        <v/>
      </c>
      <c r="G284" s="14" t="n"/>
      <c r="H284" s="14" t="n"/>
      <c r="I284" s="8">
        <f>G284+H284</f>
        <v/>
      </c>
      <c r="J284" s="8">
        <f>D284+G284</f>
        <v/>
      </c>
      <c r="K284" s="8">
        <f>E284+H284</f>
        <v/>
      </c>
      <c r="L284" s="8">
        <f>J284+K284</f>
        <v/>
      </c>
      <c r="M284" s="9">
        <f>IF(C284=0,0,L284/C284*100)</f>
        <v/>
      </c>
    </row>
    <row r="285">
      <c r="A285" s="7" t="n">
        <v>8</v>
      </c>
      <c r="B285" s="8">
        <f>B12</f>
        <v/>
      </c>
      <c r="C285" s="8">
        <f>C12</f>
        <v/>
      </c>
      <c r="D285" s="14" t="n"/>
      <c r="E285" s="14" t="n"/>
      <c r="F285" s="8">
        <f>D285+E285</f>
        <v/>
      </c>
      <c r="G285" s="14" t="n"/>
      <c r="H285" s="14" t="n"/>
      <c r="I285" s="8">
        <f>G285+H285</f>
        <v/>
      </c>
      <c r="J285" s="8">
        <f>D285+G285</f>
        <v/>
      </c>
      <c r="K285" s="8">
        <f>E285+H285</f>
        <v/>
      </c>
      <c r="L285" s="8">
        <f>J285+K285</f>
        <v/>
      </c>
      <c r="M285" s="9">
        <f>IF(C285=0,0,L285/C285*100)</f>
        <v/>
      </c>
    </row>
    <row r="286">
      <c r="A286" s="7" t="n">
        <v>9</v>
      </c>
      <c r="B286" s="8">
        <f>B13</f>
        <v/>
      </c>
      <c r="C286" s="8">
        <f>C13</f>
        <v/>
      </c>
      <c r="D286" s="14" t="n"/>
      <c r="E286" s="14" t="n"/>
      <c r="F286" s="8">
        <f>D286+E286</f>
        <v/>
      </c>
      <c r="G286" s="14" t="n"/>
      <c r="H286" s="14" t="n"/>
      <c r="I286" s="8">
        <f>G286+H286</f>
        <v/>
      </c>
      <c r="J286" s="8">
        <f>D286+G286</f>
        <v/>
      </c>
      <c r="K286" s="8">
        <f>E286+H286</f>
        <v/>
      </c>
      <c r="L286" s="8">
        <f>J286+K286</f>
        <v/>
      </c>
      <c r="M286" s="9">
        <f>IF(C286=0,0,L286/C286*100)</f>
        <v/>
      </c>
    </row>
    <row r="287">
      <c r="A287" s="7" t="n">
        <v>10</v>
      </c>
      <c r="B287" s="8">
        <f>B14</f>
        <v/>
      </c>
      <c r="C287" s="8">
        <f>C14</f>
        <v/>
      </c>
      <c r="D287" s="14" t="n"/>
      <c r="E287" s="14" t="n"/>
      <c r="F287" s="8">
        <f>D287+E287</f>
        <v/>
      </c>
      <c r="G287" s="14" t="n"/>
      <c r="H287" s="14" t="n"/>
      <c r="I287" s="8">
        <f>G287+H287</f>
        <v/>
      </c>
      <c r="J287" s="8">
        <f>D287+G287</f>
        <v/>
      </c>
      <c r="K287" s="8">
        <f>E287+H287</f>
        <v/>
      </c>
      <c r="L287" s="8">
        <f>J287+K287</f>
        <v/>
      </c>
      <c r="M287" s="9">
        <f>IF(C287=0,0,L287/C287*100)</f>
        <v/>
      </c>
    </row>
    <row r="288">
      <c r="A288" s="7" t="n">
        <v>11</v>
      </c>
      <c r="B288" s="8">
        <f>B15</f>
        <v/>
      </c>
      <c r="C288" s="8">
        <f>C15</f>
        <v/>
      </c>
      <c r="D288" s="14" t="n"/>
      <c r="E288" s="14" t="n"/>
      <c r="F288" s="8">
        <f>D288+E288</f>
        <v/>
      </c>
      <c r="G288" s="14" t="n"/>
      <c r="H288" s="14" t="n"/>
      <c r="I288" s="8">
        <f>G288+H288</f>
        <v/>
      </c>
      <c r="J288" s="8">
        <f>D288+G288</f>
        <v/>
      </c>
      <c r="K288" s="8">
        <f>E288+H288</f>
        <v/>
      </c>
      <c r="L288" s="8">
        <f>J288+K288</f>
        <v/>
      </c>
      <c r="M288" s="9">
        <f>IF(C288=0,0,L288/C288*100)</f>
        <v/>
      </c>
    </row>
    <row r="289">
      <c r="A289" s="7" t="n">
        <v>12</v>
      </c>
      <c r="B289" s="8">
        <f>B16</f>
        <v/>
      </c>
      <c r="C289" s="8">
        <f>C16</f>
        <v/>
      </c>
      <c r="D289" s="14" t="n"/>
      <c r="E289" s="14" t="n"/>
      <c r="F289" s="8">
        <f>D289+E289</f>
        <v/>
      </c>
      <c r="G289" s="14" t="n"/>
      <c r="H289" s="14" t="n"/>
      <c r="I289" s="8">
        <f>G289+H289</f>
        <v/>
      </c>
      <c r="J289" s="8">
        <f>D289+G289</f>
        <v/>
      </c>
      <c r="K289" s="8">
        <f>E289+H289</f>
        <v/>
      </c>
      <c r="L289" s="8">
        <f>J289+K289</f>
        <v/>
      </c>
      <c r="M289" s="9">
        <f>IF(C289=0,0,L289/C289*100)</f>
        <v/>
      </c>
    </row>
    <row r="290">
      <c r="A290" s="7" t="n">
        <v>13</v>
      </c>
      <c r="B290" s="8">
        <f>B17</f>
        <v/>
      </c>
      <c r="C290" s="8">
        <f>C17</f>
        <v/>
      </c>
      <c r="D290" s="14" t="n"/>
      <c r="E290" s="14" t="n"/>
      <c r="F290" s="8">
        <f>D290+E290</f>
        <v/>
      </c>
      <c r="G290" s="14" t="n"/>
      <c r="H290" s="14" t="n"/>
      <c r="I290" s="8">
        <f>G290+H290</f>
        <v/>
      </c>
      <c r="J290" s="8">
        <f>D290+G290</f>
        <v/>
      </c>
      <c r="K290" s="8">
        <f>E290+H290</f>
        <v/>
      </c>
      <c r="L290" s="8">
        <f>J290+K290</f>
        <v/>
      </c>
      <c r="M290" s="9">
        <f>IF(C290=0,0,L290/C290*100)</f>
        <v/>
      </c>
    </row>
    <row r="291">
      <c r="A291" s="7" t="n">
        <v>14</v>
      </c>
      <c r="B291" s="8">
        <f>B18</f>
        <v/>
      </c>
      <c r="C291" s="8">
        <f>C18</f>
        <v/>
      </c>
      <c r="D291" s="14" t="n"/>
      <c r="E291" s="14" t="n"/>
      <c r="F291" s="8">
        <f>D291+E291</f>
        <v/>
      </c>
      <c r="G291" s="14" t="n"/>
      <c r="H291" s="14" t="n"/>
      <c r="I291" s="8">
        <f>G291+H291</f>
        <v/>
      </c>
      <c r="J291" s="8">
        <f>D291+G291</f>
        <v/>
      </c>
      <c r="K291" s="8">
        <f>E291+H291</f>
        <v/>
      </c>
      <c r="L291" s="8">
        <f>J291+K291</f>
        <v/>
      </c>
      <c r="M291" s="9">
        <f>IF(C291=0,0,L291/C291*100)</f>
        <v/>
      </c>
    </row>
    <row r="292">
      <c r="A292" s="7" t="n">
        <v>15</v>
      </c>
      <c r="B292" s="8">
        <f>B19</f>
        <v/>
      </c>
      <c r="C292" s="8">
        <f>C19</f>
        <v/>
      </c>
      <c r="D292" s="14" t="n"/>
      <c r="E292" s="14" t="n"/>
      <c r="F292" s="8">
        <f>D292+E292</f>
        <v/>
      </c>
      <c r="G292" s="14" t="n"/>
      <c r="H292" s="14" t="n"/>
      <c r="I292" s="8">
        <f>G292+H292</f>
        <v/>
      </c>
      <c r="J292" s="8">
        <f>D292+G292</f>
        <v/>
      </c>
      <c r="K292" s="8">
        <f>E292+H292</f>
        <v/>
      </c>
      <c r="L292" s="8">
        <f>J292+K292</f>
        <v/>
      </c>
      <c r="M292" s="9">
        <f>IF(C292=0,0,L292/C292*100)</f>
        <v/>
      </c>
    </row>
    <row r="293">
      <c r="A293" s="10" t="inlineStr">
        <is>
          <t>Total</t>
        </is>
      </c>
      <c r="B293" s="11">
        <f>SUM(B278:B292)</f>
        <v/>
      </c>
      <c r="C293" s="11">
        <f>SUM(C278:C292)</f>
        <v/>
      </c>
      <c r="D293" s="11">
        <f>SUM(D278:D292)</f>
        <v/>
      </c>
      <c r="E293" s="11">
        <f>SUM(E278:E292)</f>
        <v/>
      </c>
      <c r="F293" s="11">
        <f>D293+E293</f>
        <v/>
      </c>
      <c r="G293" s="11">
        <f>SUM(G278:G292)</f>
        <v/>
      </c>
      <c r="H293" s="11">
        <f>SUM(H278:H292)</f>
        <v/>
      </c>
      <c r="I293" s="11">
        <f>G293+H293</f>
        <v/>
      </c>
      <c r="J293" s="11">
        <f>D293+G293</f>
        <v/>
      </c>
      <c r="K293" s="11">
        <f>E293+H293</f>
        <v/>
      </c>
      <c r="L293" s="11">
        <f>J293+K293</f>
        <v/>
      </c>
      <c r="M293" s="12">
        <f>IF(C293=0,0,L293/C293*100)</f>
        <v/>
      </c>
    </row>
    <row r="295">
      <c r="A295" s="13" t="inlineStr">
        <is>
          <t>Day 14 - 2026-10-18 (Sun 01 Kartik 2083)</t>
        </is>
      </c>
    </row>
    <row r="296">
      <c r="A296" s="6" t="inlineStr">
        <is>
          <t>Ward no.</t>
        </is>
      </c>
      <c r="B296" s="6" t="inlineStr">
        <is>
          <t>Total population</t>
        </is>
      </c>
      <c r="C296" s="6" t="inlineStr">
        <is>
          <t>JE target population</t>
        </is>
      </c>
      <c r="D296" s="6" t="inlineStr">
        <is>
          <t>Vaccinated</t>
        </is>
      </c>
      <c r="E296" s="6" t="n"/>
      <c r="F296" s="6" t="n"/>
      <c r="G296" s="6" t="n"/>
      <c r="H296" s="6" t="n"/>
      <c r="I296" s="6" t="n"/>
      <c r="J296" s="6" t="n"/>
      <c r="K296" s="6" t="n"/>
      <c r="L296" s="6" t="n"/>
      <c r="M296" s="6" t="inlineStr">
        <is>
          <t>Progress %</t>
        </is>
      </c>
    </row>
    <row r="297">
      <c r="A297" s="6" t="n"/>
      <c r="B297" s="6" t="n"/>
      <c r="C297" s="6" t="n"/>
      <c r="D297" s="6" t="inlineStr">
        <is>
          <t>Age 30-60 yrs</t>
        </is>
      </c>
      <c r="E297" s="6" t="n"/>
      <c r="F297" s="6" t="n"/>
      <c r="G297" s="6" t="inlineStr">
        <is>
          <t>Age 60 above</t>
        </is>
      </c>
      <c r="H297" s="6" t="n"/>
      <c r="I297" s="6" t="n"/>
      <c r="J297" s="6" t="inlineStr">
        <is>
          <t>Total</t>
        </is>
      </c>
      <c r="K297" s="6" t="n"/>
      <c r="L297" s="6" t="inlineStr">
        <is>
          <t>Grand Total</t>
        </is>
      </c>
      <c r="M297" s="6" t="n"/>
    </row>
    <row r="298">
      <c r="A298" s="6" t="n"/>
      <c r="B298" s="6" t="n"/>
      <c r="C298" s="6" t="n"/>
      <c r="D298" s="6" t="inlineStr">
        <is>
          <t>F</t>
        </is>
      </c>
      <c r="E298" s="6" t="inlineStr">
        <is>
          <t>M</t>
        </is>
      </c>
      <c r="F298" s="6" t="inlineStr">
        <is>
          <t>Total</t>
        </is>
      </c>
      <c r="G298" s="6" t="inlineStr">
        <is>
          <t>F</t>
        </is>
      </c>
      <c r="H298" s="6" t="inlineStr">
        <is>
          <t>M</t>
        </is>
      </c>
      <c r="I298" s="6" t="inlineStr">
        <is>
          <t>Total</t>
        </is>
      </c>
      <c r="J298" s="6" t="inlineStr">
        <is>
          <t>F</t>
        </is>
      </c>
      <c r="K298" s="6" t="inlineStr">
        <is>
          <t>M</t>
        </is>
      </c>
      <c r="L298" s="6" t="n"/>
      <c r="M298" s="6" t="n"/>
    </row>
    <row r="299">
      <c r="A299" s="7" t="n">
        <v>1</v>
      </c>
      <c r="B299" s="8">
        <f>B5</f>
        <v/>
      </c>
      <c r="C299" s="8">
        <f>C5</f>
        <v/>
      </c>
      <c r="D299" s="14" t="n"/>
      <c r="E299" s="14" t="n"/>
      <c r="F299" s="8">
        <f>D299+E299</f>
        <v/>
      </c>
      <c r="G299" s="14" t="n"/>
      <c r="H299" s="14" t="n"/>
      <c r="I299" s="8">
        <f>G299+H299</f>
        <v/>
      </c>
      <c r="J299" s="8">
        <f>D299+G299</f>
        <v/>
      </c>
      <c r="K299" s="8">
        <f>E299+H299</f>
        <v/>
      </c>
      <c r="L299" s="8">
        <f>J299+K299</f>
        <v/>
      </c>
      <c r="M299" s="9">
        <f>IF(C299=0,0,L299/C299*100)</f>
        <v/>
      </c>
    </row>
    <row r="300">
      <c r="A300" s="7" t="n">
        <v>2</v>
      </c>
      <c r="B300" s="8">
        <f>B6</f>
        <v/>
      </c>
      <c r="C300" s="8">
        <f>C6</f>
        <v/>
      </c>
      <c r="D300" s="14" t="n"/>
      <c r="E300" s="14" t="n"/>
      <c r="F300" s="8">
        <f>D300+E300</f>
        <v/>
      </c>
      <c r="G300" s="14" t="n"/>
      <c r="H300" s="14" t="n"/>
      <c r="I300" s="8">
        <f>G300+H300</f>
        <v/>
      </c>
      <c r="J300" s="8">
        <f>D300+G300</f>
        <v/>
      </c>
      <c r="K300" s="8">
        <f>E300+H300</f>
        <v/>
      </c>
      <c r="L300" s="8">
        <f>J300+K300</f>
        <v/>
      </c>
      <c r="M300" s="9">
        <f>IF(C300=0,0,L300/C300*100)</f>
        <v/>
      </c>
    </row>
    <row r="301">
      <c r="A301" s="7" t="n">
        <v>3</v>
      </c>
      <c r="B301" s="8">
        <f>B7</f>
        <v/>
      </c>
      <c r="C301" s="8">
        <f>C7</f>
        <v/>
      </c>
      <c r="D301" s="14" t="n"/>
      <c r="E301" s="14" t="n"/>
      <c r="F301" s="8">
        <f>D301+E301</f>
        <v/>
      </c>
      <c r="G301" s="14" t="n"/>
      <c r="H301" s="14" t="n"/>
      <c r="I301" s="8">
        <f>G301+H301</f>
        <v/>
      </c>
      <c r="J301" s="8">
        <f>D301+G301</f>
        <v/>
      </c>
      <c r="K301" s="8">
        <f>E301+H301</f>
        <v/>
      </c>
      <c r="L301" s="8">
        <f>J301+K301</f>
        <v/>
      </c>
      <c r="M301" s="9">
        <f>IF(C301=0,0,L301/C301*100)</f>
        <v/>
      </c>
    </row>
    <row r="302">
      <c r="A302" s="7" t="n">
        <v>4</v>
      </c>
      <c r="B302" s="8">
        <f>B8</f>
        <v/>
      </c>
      <c r="C302" s="8">
        <f>C8</f>
        <v/>
      </c>
      <c r="D302" s="14" t="n"/>
      <c r="E302" s="14" t="n"/>
      <c r="F302" s="8">
        <f>D302+E302</f>
        <v/>
      </c>
      <c r="G302" s="14" t="n"/>
      <c r="H302" s="14" t="n"/>
      <c r="I302" s="8">
        <f>G302+H302</f>
        <v/>
      </c>
      <c r="J302" s="8">
        <f>D302+G302</f>
        <v/>
      </c>
      <c r="K302" s="8">
        <f>E302+H302</f>
        <v/>
      </c>
      <c r="L302" s="8">
        <f>J302+K302</f>
        <v/>
      </c>
      <c r="M302" s="9">
        <f>IF(C302=0,0,L302/C302*100)</f>
        <v/>
      </c>
    </row>
    <row r="303">
      <c r="A303" s="7" t="n">
        <v>5</v>
      </c>
      <c r="B303" s="8">
        <f>B9</f>
        <v/>
      </c>
      <c r="C303" s="8">
        <f>C9</f>
        <v/>
      </c>
      <c r="D303" s="14" t="n"/>
      <c r="E303" s="14" t="n"/>
      <c r="F303" s="8">
        <f>D303+E303</f>
        <v/>
      </c>
      <c r="G303" s="14" t="n"/>
      <c r="H303" s="14" t="n"/>
      <c r="I303" s="8">
        <f>G303+H303</f>
        <v/>
      </c>
      <c r="J303" s="8">
        <f>D303+G303</f>
        <v/>
      </c>
      <c r="K303" s="8">
        <f>E303+H303</f>
        <v/>
      </c>
      <c r="L303" s="8">
        <f>J303+K303</f>
        <v/>
      </c>
      <c r="M303" s="9">
        <f>IF(C303=0,0,L303/C303*100)</f>
        <v/>
      </c>
    </row>
    <row r="304">
      <c r="A304" s="7" t="n">
        <v>6</v>
      </c>
      <c r="B304" s="8">
        <f>B10</f>
        <v/>
      </c>
      <c r="C304" s="8">
        <f>C10</f>
        <v/>
      </c>
      <c r="D304" s="14" t="n"/>
      <c r="E304" s="14" t="n"/>
      <c r="F304" s="8">
        <f>D304+E304</f>
        <v/>
      </c>
      <c r="G304" s="14" t="n"/>
      <c r="H304" s="14" t="n"/>
      <c r="I304" s="8">
        <f>G304+H304</f>
        <v/>
      </c>
      <c r="J304" s="8">
        <f>D304+G304</f>
        <v/>
      </c>
      <c r="K304" s="8">
        <f>E304+H304</f>
        <v/>
      </c>
      <c r="L304" s="8">
        <f>J304+K304</f>
        <v/>
      </c>
      <c r="M304" s="9">
        <f>IF(C304=0,0,L304/C304*100)</f>
        <v/>
      </c>
    </row>
    <row r="305">
      <c r="A305" s="7" t="n">
        <v>7</v>
      </c>
      <c r="B305" s="8">
        <f>B11</f>
        <v/>
      </c>
      <c r="C305" s="8">
        <f>C11</f>
        <v/>
      </c>
      <c r="D305" s="14" t="n"/>
      <c r="E305" s="14" t="n"/>
      <c r="F305" s="8">
        <f>D305+E305</f>
        <v/>
      </c>
      <c r="G305" s="14" t="n"/>
      <c r="H305" s="14" t="n"/>
      <c r="I305" s="8">
        <f>G305+H305</f>
        <v/>
      </c>
      <c r="J305" s="8">
        <f>D305+G305</f>
        <v/>
      </c>
      <c r="K305" s="8">
        <f>E305+H305</f>
        <v/>
      </c>
      <c r="L305" s="8">
        <f>J305+K305</f>
        <v/>
      </c>
      <c r="M305" s="9">
        <f>IF(C305=0,0,L305/C305*100)</f>
        <v/>
      </c>
    </row>
    <row r="306">
      <c r="A306" s="7" t="n">
        <v>8</v>
      </c>
      <c r="B306" s="8">
        <f>B12</f>
        <v/>
      </c>
      <c r="C306" s="8">
        <f>C12</f>
        <v/>
      </c>
      <c r="D306" s="14" t="n"/>
      <c r="E306" s="14" t="n"/>
      <c r="F306" s="8">
        <f>D306+E306</f>
        <v/>
      </c>
      <c r="G306" s="14" t="n"/>
      <c r="H306" s="14" t="n"/>
      <c r="I306" s="8">
        <f>G306+H306</f>
        <v/>
      </c>
      <c r="J306" s="8">
        <f>D306+G306</f>
        <v/>
      </c>
      <c r="K306" s="8">
        <f>E306+H306</f>
        <v/>
      </c>
      <c r="L306" s="8">
        <f>J306+K306</f>
        <v/>
      </c>
      <c r="M306" s="9">
        <f>IF(C306=0,0,L306/C306*100)</f>
        <v/>
      </c>
    </row>
    <row r="307">
      <c r="A307" s="7" t="n">
        <v>9</v>
      </c>
      <c r="B307" s="8">
        <f>B13</f>
        <v/>
      </c>
      <c r="C307" s="8">
        <f>C13</f>
        <v/>
      </c>
      <c r="D307" s="14" t="n"/>
      <c r="E307" s="14" t="n"/>
      <c r="F307" s="8">
        <f>D307+E307</f>
        <v/>
      </c>
      <c r="G307" s="14" t="n"/>
      <c r="H307" s="14" t="n"/>
      <c r="I307" s="8">
        <f>G307+H307</f>
        <v/>
      </c>
      <c r="J307" s="8">
        <f>D307+G307</f>
        <v/>
      </c>
      <c r="K307" s="8">
        <f>E307+H307</f>
        <v/>
      </c>
      <c r="L307" s="8">
        <f>J307+K307</f>
        <v/>
      </c>
      <c r="M307" s="9">
        <f>IF(C307=0,0,L307/C307*100)</f>
        <v/>
      </c>
    </row>
    <row r="308">
      <c r="A308" s="7" t="n">
        <v>10</v>
      </c>
      <c r="B308" s="8">
        <f>B14</f>
        <v/>
      </c>
      <c r="C308" s="8">
        <f>C14</f>
        <v/>
      </c>
      <c r="D308" s="14" t="n"/>
      <c r="E308" s="14" t="n"/>
      <c r="F308" s="8">
        <f>D308+E308</f>
        <v/>
      </c>
      <c r="G308" s="14" t="n"/>
      <c r="H308" s="14" t="n"/>
      <c r="I308" s="8">
        <f>G308+H308</f>
        <v/>
      </c>
      <c r="J308" s="8">
        <f>D308+G308</f>
        <v/>
      </c>
      <c r="K308" s="8">
        <f>E308+H308</f>
        <v/>
      </c>
      <c r="L308" s="8">
        <f>J308+K308</f>
        <v/>
      </c>
      <c r="M308" s="9">
        <f>IF(C308=0,0,L308/C308*100)</f>
        <v/>
      </c>
    </row>
    <row r="309">
      <c r="A309" s="7" t="n">
        <v>11</v>
      </c>
      <c r="B309" s="8">
        <f>B15</f>
        <v/>
      </c>
      <c r="C309" s="8">
        <f>C15</f>
        <v/>
      </c>
      <c r="D309" s="14" t="n"/>
      <c r="E309" s="14" t="n"/>
      <c r="F309" s="8">
        <f>D309+E309</f>
        <v/>
      </c>
      <c r="G309" s="14" t="n"/>
      <c r="H309" s="14" t="n"/>
      <c r="I309" s="8">
        <f>G309+H309</f>
        <v/>
      </c>
      <c r="J309" s="8">
        <f>D309+G309</f>
        <v/>
      </c>
      <c r="K309" s="8">
        <f>E309+H309</f>
        <v/>
      </c>
      <c r="L309" s="8">
        <f>J309+K309</f>
        <v/>
      </c>
      <c r="M309" s="9">
        <f>IF(C309=0,0,L309/C309*100)</f>
        <v/>
      </c>
    </row>
    <row r="310">
      <c r="A310" s="7" t="n">
        <v>12</v>
      </c>
      <c r="B310" s="8">
        <f>B16</f>
        <v/>
      </c>
      <c r="C310" s="8">
        <f>C16</f>
        <v/>
      </c>
      <c r="D310" s="14" t="n"/>
      <c r="E310" s="14" t="n"/>
      <c r="F310" s="8">
        <f>D310+E310</f>
        <v/>
      </c>
      <c r="G310" s="14" t="n"/>
      <c r="H310" s="14" t="n"/>
      <c r="I310" s="8">
        <f>G310+H310</f>
        <v/>
      </c>
      <c r="J310" s="8">
        <f>D310+G310</f>
        <v/>
      </c>
      <c r="K310" s="8">
        <f>E310+H310</f>
        <v/>
      </c>
      <c r="L310" s="8">
        <f>J310+K310</f>
        <v/>
      </c>
      <c r="M310" s="9">
        <f>IF(C310=0,0,L310/C310*100)</f>
        <v/>
      </c>
    </row>
    <row r="311">
      <c r="A311" s="7" t="n">
        <v>13</v>
      </c>
      <c r="B311" s="8">
        <f>B17</f>
        <v/>
      </c>
      <c r="C311" s="8">
        <f>C17</f>
        <v/>
      </c>
      <c r="D311" s="14" t="n"/>
      <c r="E311" s="14" t="n"/>
      <c r="F311" s="8">
        <f>D311+E311</f>
        <v/>
      </c>
      <c r="G311" s="14" t="n"/>
      <c r="H311" s="14" t="n"/>
      <c r="I311" s="8">
        <f>G311+H311</f>
        <v/>
      </c>
      <c r="J311" s="8">
        <f>D311+G311</f>
        <v/>
      </c>
      <c r="K311" s="8">
        <f>E311+H311</f>
        <v/>
      </c>
      <c r="L311" s="8">
        <f>J311+K311</f>
        <v/>
      </c>
      <c r="M311" s="9">
        <f>IF(C311=0,0,L311/C311*100)</f>
        <v/>
      </c>
    </row>
    <row r="312">
      <c r="A312" s="7" t="n">
        <v>14</v>
      </c>
      <c r="B312" s="8">
        <f>B18</f>
        <v/>
      </c>
      <c r="C312" s="8">
        <f>C18</f>
        <v/>
      </c>
      <c r="D312" s="14" t="n"/>
      <c r="E312" s="14" t="n"/>
      <c r="F312" s="8">
        <f>D312+E312</f>
        <v/>
      </c>
      <c r="G312" s="14" t="n"/>
      <c r="H312" s="14" t="n"/>
      <c r="I312" s="8">
        <f>G312+H312</f>
        <v/>
      </c>
      <c r="J312" s="8">
        <f>D312+G312</f>
        <v/>
      </c>
      <c r="K312" s="8">
        <f>E312+H312</f>
        <v/>
      </c>
      <c r="L312" s="8">
        <f>J312+K312</f>
        <v/>
      </c>
      <c r="M312" s="9">
        <f>IF(C312=0,0,L312/C312*100)</f>
        <v/>
      </c>
    </row>
    <row r="313">
      <c r="A313" s="7" t="n">
        <v>15</v>
      </c>
      <c r="B313" s="8">
        <f>B19</f>
        <v/>
      </c>
      <c r="C313" s="8">
        <f>C19</f>
        <v/>
      </c>
      <c r="D313" s="14" t="n"/>
      <c r="E313" s="14" t="n"/>
      <c r="F313" s="8">
        <f>D313+E313</f>
        <v/>
      </c>
      <c r="G313" s="14" t="n"/>
      <c r="H313" s="14" t="n"/>
      <c r="I313" s="8">
        <f>G313+H313</f>
        <v/>
      </c>
      <c r="J313" s="8">
        <f>D313+G313</f>
        <v/>
      </c>
      <c r="K313" s="8">
        <f>E313+H313</f>
        <v/>
      </c>
      <c r="L313" s="8">
        <f>J313+K313</f>
        <v/>
      </c>
      <c r="M313" s="9">
        <f>IF(C313=0,0,L313/C313*100)</f>
        <v/>
      </c>
    </row>
    <row r="314">
      <c r="A314" s="10" t="inlineStr">
        <is>
          <t>Total</t>
        </is>
      </c>
      <c r="B314" s="11">
        <f>SUM(B299:B313)</f>
        <v/>
      </c>
      <c r="C314" s="11">
        <f>SUM(C299:C313)</f>
        <v/>
      </c>
      <c r="D314" s="11">
        <f>SUM(D299:D313)</f>
        <v/>
      </c>
      <c r="E314" s="11">
        <f>SUM(E299:E313)</f>
        <v/>
      </c>
      <c r="F314" s="11">
        <f>D314+E314</f>
        <v/>
      </c>
      <c r="G314" s="11">
        <f>SUM(G299:G313)</f>
        <v/>
      </c>
      <c r="H314" s="11">
        <f>SUM(H299:H313)</f>
        <v/>
      </c>
      <c r="I314" s="11">
        <f>G314+H314</f>
        <v/>
      </c>
      <c r="J314" s="11">
        <f>D314+G314</f>
        <v/>
      </c>
      <c r="K314" s="11">
        <f>E314+H314</f>
        <v/>
      </c>
      <c r="L314" s="11">
        <f>J314+K314</f>
        <v/>
      </c>
      <c r="M314" s="12">
        <f>IF(C314=0,0,L314/C314*100)</f>
        <v/>
      </c>
    </row>
    <row r="316">
      <c r="A316" s="13" t="inlineStr">
        <is>
          <t>Day 15 - 2026-10-19 (Mon 02 Kartik 2083)</t>
        </is>
      </c>
    </row>
    <row r="317">
      <c r="A317" s="6" t="inlineStr">
        <is>
          <t>Ward no.</t>
        </is>
      </c>
      <c r="B317" s="6" t="inlineStr">
        <is>
          <t>Total population</t>
        </is>
      </c>
      <c r="C317" s="6" t="inlineStr">
        <is>
          <t>JE target population</t>
        </is>
      </c>
      <c r="D317" s="6" t="inlineStr">
        <is>
          <t>Vaccinated</t>
        </is>
      </c>
      <c r="E317" s="6" t="n"/>
      <c r="F317" s="6" t="n"/>
      <c r="G317" s="6" t="n"/>
      <c r="H317" s="6" t="n"/>
      <c r="I317" s="6" t="n"/>
      <c r="J317" s="6" t="n"/>
      <c r="K317" s="6" t="n"/>
      <c r="L317" s="6" t="n"/>
      <c r="M317" s="6" t="inlineStr">
        <is>
          <t>Progress %</t>
        </is>
      </c>
    </row>
    <row r="318">
      <c r="A318" s="6" t="n"/>
      <c r="B318" s="6" t="n"/>
      <c r="C318" s="6" t="n"/>
      <c r="D318" s="6" t="inlineStr">
        <is>
          <t>Age 30-60 yrs</t>
        </is>
      </c>
      <c r="E318" s="6" t="n"/>
      <c r="F318" s="6" t="n"/>
      <c r="G318" s="6" t="inlineStr">
        <is>
          <t>Age 60 above</t>
        </is>
      </c>
      <c r="H318" s="6" t="n"/>
      <c r="I318" s="6" t="n"/>
      <c r="J318" s="6" t="inlineStr">
        <is>
          <t>Total</t>
        </is>
      </c>
      <c r="K318" s="6" t="n"/>
      <c r="L318" s="6" t="inlineStr">
        <is>
          <t>Grand Total</t>
        </is>
      </c>
      <c r="M318" s="6" t="n"/>
    </row>
    <row r="319">
      <c r="A319" s="6" t="n"/>
      <c r="B319" s="6" t="n"/>
      <c r="C319" s="6" t="n"/>
      <c r="D319" s="6" t="inlineStr">
        <is>
          <t>F</t>
        </is>
      </c>
      <c r="E319" s="6" t="inlineStr">
        <is>
          <t>M</t>
        </is>
      </c>
      <c r="F319" s="6" t="inlineStr">
        <is>
          <t>Total</t>
        </is>
      </c>
      <c r="G319" s="6" t="inlineStr">
        <is>
          <t>F</t>
        </is>
      </c>
      <c r="H319" s="6" t="inlineStr">
        <is>
          <t>M</t>
        </is>
      </c>
      <c r="I319" s="6" t="inlineStr">
        <is>
          <t>Total</t>
        </is>
      </c>
      <c r="J319" s="6" t="inlineStr">
        <is>
          <t>F</t>
        </is>
      </c>
      <c r="K319" s="6" t="inlineStr">
        <is>
          <t>M</t>
        </is>
      </c>
      <c r="L319" s="6" t="n"/>
      <c r="M319" s="6" t="n"/>
    </row>
    <row r="320">
      <c r="A320" s="7" t="n">
        <v>1</v>
      </c>
      <c r="B320" s="8">
        <f>B5</f>
        <v/>
      </c>
      <c r="C320" s="8">
        <f>C5</f>
        <v/>
      </c>
      <c r="D320" s="14" t="n"/>
      <c r="E320" s="14" t="n"/>
      <c r="F320" s="8">
        <f>D320+E320</f>
        <v/>
      </c>
      <c r="G320" s="14" t="n"/>
      <c r="H320" s="14" t="n"/>
      <c r="I320" s="8">
        <f>G320+H320</f>
        <v/>
      </c>
      <c r="J320" s="8">
        <f>D320+G320</f>
        <v/>
      </c>
      <c r="K320" s="8">
        <f>E320+H320</f>
        <v/>
      </c>
      <c r="L320" s="8">
        <f>J320+K320</f>
        <v/>
      </c>
      <c r="M320" s="9">
        <f>IF(C320=0,0,L320/C320*100)</f>
        <v/>
      </c>
    </row>
    <row r="321">
      <c r="A321" s="7" t="n">
        <v>2</v>
      </c>
      <c r="B321" s="8">
        <f>B6</f>
        <v/>
      </c>
      <c r="C321" s="8">
        <f>C6</f>
        <v/>
      </c>
      <c r="D321" s="14" t="n"/>
      <c r="E321" s="14" t="n"/>
      <c r="F321" s="8">
        <f>D321+E321</f>
        <v/>
      </c>
      <c r="G321" s="14" t="n"/>
      <c r="H321" s="14" t="n"/>
      <c r="I321" s="8">
        <f>G321+H321</f>
        <v/>
      </c>
      <c r="J321" s="8">
        <f>D321+G321</f>
        <v/>
      </c>
      <c r="K321" s="8">
        <f>E321+H321</f>
        <v/>
      </c>
      <c r="L321" s="8">
        <f>J321+K321</f>
        <v/>
      </c>
      <c r="M321" s="9">
        <f>IF(C321=0,0,L321/C321*100)</f>
        <v/>
      </c>
    </row>
    <row r="322">
      <c r="A322" s="7" t="n">
        <v>3</v>
      </c>
      <c r="B322" s="8">
        <f>B7</f>
        <v/>
      </c>
      <c r="C322" s="8">
        <f>C7</f>
        <v/>
      </c>
      <c r="D322" s="14" t="n"/>
      <c r="E322" s="14" t="n"/>
      <c r="F322" s="8">
        <f>D322+E322</f>
        <v/>
      </c>
      <c r="G322" s="14" t="n"/>
      <c r="H322" s="14" t="n"/>
      <c r="I322" s="8">
        <f>G322+H322</f>
        <v/>
      </c>
      <c r="J322" s="8">
        <f>D322+G322</f>
        <v/>
      </c>
      <c r="K322" s="8">
        <f>E322+H322</f>
        <v/>
      </c>
      <c r="L322" s="8">
        <f>J322+K322</f>
        <v/>
      </c>
      <c r="M322" s="9">
        <f>IF(C322=0,0,L322/C322*100)</f>
        <v/>
      </c>
    </row>
    <row r="323">
      <c r="A323" s="7" t="n">
        <v>4</v>
      </c>
      <c r="B323" s="8">
        <f>B8</f>
        <v/>
      </c>
      <c r="C323" s="8">
        <f>C8</f>
        <v/>
      </c>
      <c r="D323" s="14" t="n"/>
      <c r="E323" s="14" t="n"/>
      <c r="F323" s="8">
        <f>D323+E323</f>
        <v/>
      </c>
      <c r="G323" s="14" t="n"/>
      <c r="H323" s="14" t="n"/>
      <c r="I323" s="8">
        <f>G323+H323</f>
        <v/>
      </c>
      <c r="J323" s="8">
        <f>D323+G323</f>
        <v/>
      </c>
      <c r="K323" s="8">
        <f>E323+H323</f>
        <v/>
      </c>
      <c r="L323" s="8">
        <f>J323+K323</f>
        <v/>
      </c>
      <c r="M323" s="9">
        <f>IF(C323=0,0,L323/C323*100)</f>
        <v/>
      </c>
    </row>
    <row r="324">
      <c r="A324" s="7" t="n">
        <v>5</v>
      </c>
      <c r="B324" s="8">
        <f>B9</f>
        <v/>
      </c>
      <c r="C324" s="8">
        <f>C9</f>
        <v/>
      </c>
      <c r="D324" s="14" t="n"/>
      <c r="E324" s="14" t="n"/>
      <c r="F324" s="8">
        <f>D324+E324</f>
        <v/>
      </c>
      <c r="G324" s="14" t="n"/>
      <c r="H324" s="14" t="n"/>
      <c r="I324" s="8">
        <f>G324+H324</f>
        <v/>
      </c>
      <c r="J324" s="8">
        <f>D324+G324</f>
        <v/>
      </c>
      <c r="K324" s="8">
        <f>E324+H324</f>
        <v/>
      </c>
      <c r="L324" s="8">
        <f>J324+K324</f>
        <v/>
      </c>
      <c r="M324" s="9">
        <f>IF(C324=0,0,L324/C324*100)</f>
        <v/>
      </c>
    </row>
    <row r="325">
      <c r="A325" s="7" t="n">
        <v>6</v>
      </c>
      <c r="B325" s="8">
        <f>B10</f>
        <v/>
      </c>
      <c r="C325" s="8">
        <f>C10</f>
        <v/>
      </c>
      <c r="D325" s="14" t="n"/>
      <c r="E325" s="14" t="n"/>
      <c r="F325" s="8">
        <f>D325+E325</f>
        <v/>
      </c>
      <c r="G325" s="14" t="n"/>
      <c r="H325" s="14" t="n"/>
      <c r="I325" s="8">
        <f>G325+H325</f>
        <v/>
      </c>
      <c r="J325" s="8">
        <f>D325+G325</f>
        <v/>
      </c>
      <c r="K325" s="8">
        <f>E325+H325</f>
        <v/>
      </c>
      <c r="L325" s="8">
        <f>J325+K325</f>
        <v/>
      </c>
      <c r="M325" s="9">
        <f>IF(C325=0,0,L325/C325*100)</f>
        <v/>
      </c>
    </row>
    <row r="326">
      <c r="A326" s="7" t="n">
        <v>7</v>
      </c>
      <c r="B326" s="8">
        <f>B11</f>
        <v/>
      </c>
      <c r="C326" s="8">
        <f>C11</f>
        <v/>
      </c>
      <c r="D326" s="14" t="n"/>
      <c r="E326" s="14" t="n"/>
      <c r="F326" s="8">
        <f>D326+E326</f>
        <v/>
      </c>
      <c r="G326" s="14" t="n"/>
      <c r="H326" s="14" t="n"/>
      <c r="I326" s="8">
        <f>G326+H326</f>
        <v/>
      </c>
      <c r="J326" s="8">
        <f>D326+G326</f>
        <v/>
      </c>
      <c r="K326" s="8">
        <f>E326+H326</f>
        <v/>
      </c>
      <c r="L326" s="8">
        <f>J326+K326</f>
        <v/>
      </c>
      <c r="M326" s="9">
        <f>IF(C326=0,0,L326/C326*100)</f>
        <v/>
      </c>
    </row>
    <row r="327">
      <c r="A327" s="7" t="n">
        <v>8</v>
      </c>
      <c r="B327" s="8">
        <f>B12</f>
        <v/>
      </c>
      <c r="C327" s="8">
        <f>C12</f>
        <v/>
      </c>
      <c r="D327" s="14" t="n"/>
      <c r="E327" s="14" t="n"/>
      <c r="F327" s="8">
        <f>D327+E327</f>
        <v/>
      </c>
      <c r="G327" s="14" t="n"/>
      <c r="H327" s="14" t="n"/>
      <c r="I327" s="8">
        <f>G327+H327</f>
        <v/>
      </c>
      <c r="J327" s="8">
        <f>D327+G327</f>
        <v/>
      </c>
      <c r="K327" s="8">
        <f>E327+H327</f>
        <v/>
      </c>
      <c r="L327" s="8">
        <f>J327+K327</f>
        <v/>
      </c>
      <c r="M327" s="9">
        <f>IF(C327=0,0,L327/C327*100)</f>
        <v/>
      </c>
    </row>
    <row r="328">
      <c r="A328" s="7" t="n">
        <v>9</v>
      </c>
      <c r="B328" s="8">
        <f>B13</f>
        <v/>
      </c>
      <c r="C328" s="8">
        <f>C13</f>
        <v/>
      </c>
      <c r="D328" s="14" t="n"/>
      <c r="E328" s="14" t="n"/>
      <c r="F328" s="8">
        <f>D328+E328</f>
        <v/>
      </c>
      <c r="G328" s="14" t="n"/>
      <c r="H328" s="14" t="n"/>
      <c r="I328" s="8">
        <f>G328+H328</f>
        <v/>
      </c>
      <c r="J328" s="8">
        <f>D328+G328</f>
        <v/>
      </c>
      <c r="K328" s="8">
        <f>E328+H328</f>
        <v/>
      </c>
      <c r="L328" s="8">
        <f>J328+K328</f>
        <v/>
      </c>
      <c r="M328" s="9">
        <f>IF(C328=0,0,L328/C328*100)</f>
        <v/>
      </c>
    </row>
    <row r="329">
      <c r="A329" s="7" t="n">
        <v>10</v>
      </c>
      <c r="B329" s="8">
        <f>B14</f>
        <v/>
      </c>
      <c r="C329" s="8">
        <f>C14</f>
        <v/>
      </c>
      <c r="D329" s="14" t="n"/>
      <c r="E329" s="14" t="n"/>
      <c r="F329" s="8">
        <f>D329+E329</f>
        <v/>
      </c>
      <c r="G329" s="14" t="n"/>
      <c r="H329" s="14" t="n"/>
      <c r="I329" s="8">
        <f>G329+H329</f>
        <v/>
      </c>
      <c r="J329" s="8">
        <f>D329+G329</f>
        <v/>
      </c>
      <c r="K329" s="8">
        <f>E329+H329</f>
        <v/>
      </c>
      <c r="L329" s="8">
        <f>J329+K329</f>
        <v/>
      </c>
      <c r="M329" s="9">
        <f>IF(C329=0,0,L329/C329*100)</f>
        <v/>
      </c>
    </row>
    <row r="330">
      <c r="A330" s="7" t="n">
        <v>11</v>
      </c>
      <c r="B330" s="8">
        <f>B15</f>
        <v/>
      </c>
      <c r="C330" s="8">
        <f>C15</f>
        <v/>
      </c>
      <c r="D330" s="14" t="n"/>
      <c r="E330" s="14" t="n"/>
      <c r="F330" s="8">
        <f>D330+E330</f>
        <v/>
      </c>
      <c r="G330" s="14" t="n"/>
      <c r="H330" s="14" t="n"/>
      <c r="I330" s="8">
        <f>G330+H330</f>
        <v/>
      </c>
      <c r="J330" s="8">
        <f>D330+G330</f>
        <v/>
      </c>
      <c r="K330" s="8">
        <f>E330+H330</f>
        <v/>
      </c>
      <c r="L330" s="8">
        <f>J330+K330</f>
        <v/>
      </c>
      <c r="M330" s="9">
        <f>IF(C330=0,0,L330/C330*100)</f>
        <v/>
      </c>
    </row>
    <row r="331">
      <c r="A331" s="7" t="n">
        <v>12</v>
      </c>
      <c r="B331" s="8">
        <f>B16</f>
        <v/>
      </c>
      <c r="C331" s="8">
        <f>C16</f>
        <v/>
      </c>
      <c r="D331" s="14" t="n"/>
      <c r="E331" s="14" t="n"/>
      <c r="F331" s="8">
        <f>D331+E331</f>
        <v/>
      </c>
      <c r="G331" s="14" t="n"/>
      <c r="H331" s="14" t="n"/>
      <c r="I331" s="8">
        <f>G331+H331</f>
        <v/>
      </c>
      <c r="J331" s="8">
        <f>D331+G331</f>
        <v/>
      </c>
      <c r="K331" s="8">
        <f>E331+H331</f>
        <v/>
      </c>
      <c r="L331" s="8">
        <f>J331+K331</f>
        <v/>
      </c>
      <c r="M331" s="9">
        <f>IF(C331=0,0,L331/C331*100)</f>
        <v/>
      </c>
    </row>
    <row r="332">
      <c r="A332" s="7" t="n">
        <v>13</v>
      </c>
      <c r="B332" s="8">
        <f>B17</f>
        <v/>
      </c>
      <c r="C332" s="8">
        <f>C17</f>
        <v/>
      </c>
      <c r="D332" s="14" t="n"/>
      <c r="E332" s="14" t="n"/>
      <c r="F332" s="8">
        <f>D332+E332</f>
        <v/>
      </c>
      <c r="G332" s="14" t="n"/>
      <c r="H332" s="14" t="n"/>
      <c r="I332" s="8">
        <f>G332+H332</f>
        <v/>
      </c>
      <c r="J332" s="8">
        <f>D332+G332</f>
        <v/>
      </c>
      <c r="K332" s="8">
        <f>E332+H332</f>
        <v/>
      </c>
      <c r="L332" s="8">
        <f>J332+K332</f>
        <v/>
      </c>
      <c r="M332" s="9">
        <f>IF(C332=0,0,L332/C332*100)</f>
        <v/>
      </c>
    </row>
    <row r="333">
      <c r="A333" s="7" t="n">
        <v>14</v>
      </c>
      <c r="B333" s="8">
        <f>B18</f>
        <v/>
      </c>
      <c r="C333" s="8">
        <f>C18</f>
        <v/>
      </c>
      <c r="D333" s="14" t="n"/>
      <c r="E333" s="14" t="n"/>
      <c r="F333" s="8">
        <f>D333+E333</f>
        <v/>
      </c>
      <c r="G333" s="14" t="n"/>
      <c r="H333" s="14" t="n"/>
      <c r="I333" s="8">
        <f>G333+H333</f>
        <v/>
      </c>
      <c r="J333" s="8">
        <f>D333+G333</f>
        <v/>
      </c>
      <c r="K333" s="8">
        <f>E333+H333</f>
        <v/>
      </c>
      <c r="L333" s="8">
        <f>J333+K333</f>
        <v/>
      </c>
      <c r="M333" s="9">
        <f>IF(C333=0,0,L333/C333*100)</f>
        <v/>
      </c>
    </row>
    <row r="334">
      <c r="A334" s="7" t="n">
        <v>15</v>
      </c>
      <c r="B334" s="8">
        <f>B19</f>
        <v/>
      </c>
      <c r="C334" s="8">
        <f>C19</f>
        <v/>
      </c>
      <c r="D334" s="14" t="n"/>
      <c r="E334" s="14" t="n"/>
      <c r="F334" s="8">
        <f>D334+E334</f>
        <v/>
      </c>
      <c r="G334" s="14" t="n"/>
      <c r="H334" s="14" t="n"/>
      <c r="I334" s="8">
        <f>G334+H334</f>
        <v/>
      </c>
      <c r="J334" s="8">
        <f>D334+G334</f>
        <v/>
      </c>
      <c r="K334" s="8">
        <f>E334+H334</f>
        <v/>
      </c>
      <c r="L334" s="8">
        <f>J334+K334</f>
        <v/>
      </c>
      <c r="M334" s="9">
        <f>IF(C334=0,0,L334/C334*100)</f>
        <v/>
      </c>
    </row>
    <row r="335">
      <c r="A335" s="10" t="inlineStr">
        <is>
          <t>Total</t>
        </is>
      </c>
      <c r="B335" s="11">
        <f>SUM(B320:B334)</f>
        <v/>
      </c>
      <c r="C335" s="11">
        <f>SUM(C320:C334)</f>
        <v/>
      </c>
      <c r="D335" s="11">
        <f>SUM(D320:D334)</f>
        <v/>
      </c>
      <c r="E335" s="11">
        <f>SUM(E320:E334)</f>
        <v/>
      </c>
      <c r="F335" s="11">
        <f>D335+E335</f>
        <v/>
      </c>
      <c r="G335" s="11">
        <f>SUM(G320:G334)</f>
        <v/>
      </c>
      <c r="H335" s="11">
        <f>SUM(H320:H334)</f>
        <v/>
      </c>
      <c r="I335" s="11">
        <f>G335+H335</f>
        <v/>
      </c>
      <c r="J335" s="11">
        <f>D335+G335</f>
        <v/>
      </c>
      <c r="K335" s="11">
        <f>E335+H335</f>
        <v/>
      </c>
      <c r="L335" s="11">
        <f>J335+K335</f>
        <v/>
      </c>
      <c r="M335" s="12">
        <f>IF(C335=0,0,L335/C335*100)</f>
        <v/>
      </c>
    </row>
  </sheetData>
  <sheetProtection selectLockedCells="0" selectUnlockedCells="0" sheet="1" objects="0" insertRows="1" insertHyperlinks="1" autoFilter="1" scenarios="0" formatColumns="0" deleteColumns="1" insertColumns="1" pivotTables="1" deleteRows="1" formatCells="0" formatRows="0" sort="1"/>
  <mergeCells count="160">
    <mergeCell ref="D86:L86"/>
    <mergeCell ref="L3:L4"/>
    <mergeCell ref="D254:L254"/>
    <mergeCell ref="D66:F66"/>
    <mergeCell ref="G87:I87"/>
    <mergeCell ref="A23:A25"/>
    <mergeCell ref="C23:C25"/>
    <mergeCell ref="M23:M25"/>
    <mergeCell ref="A274:M274"/>
    <mergeCell ref="G24:I24"/>
    <mergeCell ref="G192:I192"/>
    <mergeCell ref="M170:M172"/>
    <mergeCell ref="J45:K45"/>
    <mergeCell ref="A64:M64"/>
    <mergeCell ref="A107:A109"/>
    <mergeCell ref="L45:L46"/>
    <mergeCell ref="C107:C109"/>
    <mergeCell ref="G129:I129"/>
    <mergeCell ref="J108:K108"/>
    <mergeCell ref="B233:B235"/>
    <mergeCell ref="A275:A277"/>
    <mergeCell ref="C275:C277"/>
    <mergeCell ref="D129:F129"/>
    <mergeCell ref="L192:L193"/>
    <mergeCell ref="M275:M277"/>
    <mergeCell ref="G276:I276"/>
    <mergeCell ref="J255:K255"/>
    <mergeCell ref="A212:A214"/>
    <mergeCell ref="C212:C214"/>
    <mergeCell ref="C44:C46"/>
    <mergeCell ref="B23:B25"/>
    <mergeCell ref="J192:K192"/>
    <mergeCell ref="A149:A151"/>
    <mergeCell ref="L297:L298"/>
    <mergeCell ref="A254:A256"/>
    <mergeCell ref="B191:B193"/>
    <mergeCell ref="J129:K129"/>
    <mergeCell ref="B107:B109"/>
    <mergeCell ref="A317:A319"/>
    <mergeCell ref="A85:M85"/>
    <mergeCell ref="B128:B130"/>
    <mergeCell ref="D2:L2"/>
    <mergeCell ref="M317:M319"/>
    <mergeCell ref="L66:L67"/>
    <mergeCell ref="J171:K171"/>
    <mergeCell ref="B254:B256"/>
    <mergeCell ref="M86:M88"/>
    <mergeCell ref="A22:M22"/>
    <mergeCell ref="D296:L296"/>
    <mergeCell ref="D234:F234"/>
    <mergeCell ref="C296:C298"/>
    <mergeCell ref="M254:M256"/>
    <mergeCell ref="A190:M190"/>
    <mergeCell ref="D171:F171"/>
    <mergeCell ref="C233:C235"/>
    <mergeCell ref="A127:M127"/>
    <mergeCell ref="G234:I234"/>
    <mergeCell ref="L213:L214"/>
    <mergeCell ref="A170:A172"/>
    <mergeCell ref="D3:F3"/>
    <mergeCell ref="C170:C172"/>
    <mergeCell ref="A232:M232"/>
    <mergeCell ref="L318:L319"/>
    <mergeCell ref="B296:B298"/>
    <mergeCell ref="A169:M169"/>
    <mergeCell ref="B149:B151"/>
    <mergeCell ref="D23:L23"/>
    <mergeCell ref="L255:L256"/>
    <mergeCell ref="M107:M109"/>
    <mergeCell ref="L108:L109"/>
    <mergeCell ref="J3:K3"/>
    <mergeCell ref="D128:L128"/>
    <mergeCell ref="J297:K297"/>
    <mergeCell ref="M212:M214"/>
    <mergeCell ref="D65:L65"/>
    <mergeCell ref="D108:F108"/>
    <mergeCell ref="D297:F297"/>
    <mergeCell ref="D170:L170"/>
    <mergeCell ref="M149:M151"/>
    <mergeCell ref="G66:I66"/>
    <mergeCell ref="A2:A4"/>
    <mergeCell ref="B65:B67"/>
    <mergeCell ref="D150:F150"/>
    <mergeCell ref="C2:C4"/>
    <mergeCell ref="D107:L107"/>
    <mergeCell ref="A253:M253"/>
    <mergeCell ref="G3:I3"/>
    <mergeCell ref="D87:F87"/>
    <mergeCell ref="G108:I108"/>
    <mergeCell ref="L87:L88"/>
    <mergeCell ref="A44:A46"/>
    <mergeCell ref="B275:B277"/>
    <mergeCell ref="J24:K24"/>
    <mergeCell ref="M44:M46"/>
    <mergeCell ref="D212:L212"/>
    <mergeCell ref="G45:I45"/>
    <mergeCell ref="D255:F255"/>
    <mergeCell ref="A295:M295"/>
    <mergeCell ref="C86:C88"/>
    <mergeCell ref="D317:L317"/>
    <mergeCell ref="L129:L130"/>
    <mergeCell ref="B212:B214"/>
    <mergeCell ref="D192:F192"/>
    <mergeCell ref="G213:I213"/>
    <mergeCell ref="C254:C256"/>
    <mergeCell ref="L171:L172"/>
    <mergeCell ref="A128:A130"/>
    <mergeCell ref="A1:M1"/>
    <mergeCell ref="C128:C130"/>
    <mergeCell ref="J234:K234"/>
    <mergeCell ref="G150:I150"/>
    <mergeCell ref="G255:I255"/>
    <mergeCell ref="A191:A193"/>
    <mergeCell ref="A65:A67"/>
    <mergeCell ref="B2:B4"/>
    <mergeCell ref="M191:M193"/>
    <mergeCell ref="J66:K66"/>
    <mergeCell ref="M296:M298"/>
    <mergeCell ref="D318:F318"/>
    <mergeCell ref="D191:L191"/>
    <mergeCell ref="G297:I297"/>
    <mergeCell ref="A316:M316"/>
    <mergeCell ref="A233:A235"/>
    <mergeCell ref="B86:B88"/>
    <mergeCell ref="B44:B46"/>
    <mergeCell ref="J213:K213"/>
    <mergeCell ref="D233:L233"/>
    <mergeCell ref="D45:F45"/>
    <mergeCell ref="B317:B319"/>
    <mergeCell ref="J150:K150"/>
    <mergeCell ref="D275:L275"/>
    <mergeCell ref="D213:F213"/>
    <mergeCell ref="A106:M106"/>
    <mergeCell ref="J318:K318"/>
    <mergeCell ref="G171:I171"/>
    <mergeCell ref="L150:L151"/>
    <mergeCell ref="A43:M43"/>
    <mergeCell ref="L24:L25"/>
    <mergeCell ref="J87:K87"/>
    <mergeCell ref="A211:M211"/>
    <mergeCell ref="C149:C151"/>
    <mergeCell ref="A148:M148"/>
    <mergeCell ref="C317:C319"/>
    <mergeCell ref="L234:L235"/>
    <mergeCell ref="D24:F24"/>
    <mergeCell ref="C191:C193"/>
    <mergeCell ref="G318:I318"/>
    <mergeCell ref="L276:L277"/>
    <mergeCell ref="B170:B172"/>
    <mergeCell ref="D44:L44"/>
    <mergeCell ref="M2:M4"/>
    <mergeCell ref="A296:A298"/>
    <mergeCell ref="J276:K276"/>
    <mergeCell ref="C65:C67"/>
    <mergeCell ref="M65:M67"/>
    <mergeCell ref="A86:A88"/>
    <mergeCell ref="D149:L149"/>
    <mergeCell ref="D276:F276"/>
    <mergeCell ref="M128:M130"/>
    <mergeCell ref="M233:M235"/>
  </mergeCells>
  <dataValidations count="1">
    <dataValidation sqref="D26 D27 D28 D29 D30 D31 D32 D33 D34 D35 D36 D37 D38 D39 D40 D47 D48 D49 D50 D51 D52 D53 D54 D55 D56 D57 D58 D59 D60 D61 D68 D69 D70 D71 D72 D73 D74 D75 D76 D77 D78 D79 D80 D81 D82 D89 D90 D91 D92 D93 D94 D95 D96 D97 D98 D99 D100 D101 D102 D103 D110 D111 D112 D113 D114 D115 D116 D117 D118 D119 D120 D121 D122 D123 D124 D131 D132 D133 D134 D135 D136 D137 D138 D139 D140 D141 D142 D143 D144 D145 D152 D153 D154 D155 D156 D157 D158 D159 D160 D161 D162 D163 D164 D165 D166 D173 D174 D175 D176 D177 D178 D179 D180 D181 D182 D183 D184 D185 D186 D187 D194 D195 D196 D197 D198 D199 D200 D201 D202 D203 D204 D205 D206 D207 D208 D215 D216 D217 D218 D219 D220 D221 D222 D223 D224 D225 D226 D227 D228 D229 D236 D237 D238 D239 D240 D241 D242 D243 D244 D245 D246 D247 D248 D249 D250 D257 D258 D259 D260 D261 D262 D263 D264 D265 D266 D267 D268 D269 D270 D271 D278 D279 D280 D281 D282 D283 D284 D285 D286 D287 D288 D289 D290 D291 D292 D299 D300 D301 D302 D303 D304 D305 D306 D307 D308 D309 D310 D311 D312 D313 D320 D321 D322 D323 D324 D325 D326 D327 D328 D329 D330 D331 D332 D333 D334 E26 E27 E28 E29 E30 E31 E32 E33 E34 E35 E36 E37 E38 E39 E40 E47 E48 E49 E50 E51 E52 E53 E54 E55 E56 E57 E58 E59 E60 E61 E68 E69 E70 E71 E72 E73 E74 E75 E76 E77 E78 E79 E80 E81 E82 E89 E90 E91 E92 E93 E94 E95 E96 E97 E98 E99 E100 E101 E102 E103 E110 E111 E112 E113 E114 E115 E116 E117 E118 E119 E120 E121 E122 E123 E124 E131 E132 E133 E134 E135 E136 E137 E138 E139 E140 E141 E142 E143 E144 E145 E152 E153 E154 E155 E156 E157 E158 E159 E160 E161 E162 E163 E164 E165 E166 E173 E174 E175 E176 E177 E178 E179 E180 E181 E182 E183 E184 E185 E186 E187 E194 E195 E196 E197 E198 E199 E200 E201 E202 E203 E204 E205 E206 E207 E208 E215 E216 E217 E218 E219 E220 E221 E222 E223 E224 E225 E226 E227 E228 E229 E236 E237 E238 E239 E240 E241 E242 E243 E244 E245 E246 E247 E248 E249 E250 E257 E258 E259 E260 E261 E262 E263 E264 E265 E266 E267 E268 E269 E270 E271 E278 E279 E280 E281 E282 E283 E284 E285 E286 E287 E288 E289 E290 E291 E292 E299 E300 E301 E302 E303 E304 E305 E306 E307 E308 E309 E310 E311 E312 E313 E320 E321 E322 E323 E324 E325 E326 E327 E328 E329 E330 E331 E332 E333 E334 G26 G27 G28 G29 G30 G31 G32 G33 G34 G35 G36 G37 G38 G39 G40 G47 G48 G49 G50 G51 G52 G53 G54 G55 G56 G57 G58 G59 G60 G61 G68 G69 G70 G71 G72 G73 G74 G75 G76 G77 G78 G79 G80 G81 G82 G89 G90 G91 G92 G93 G94 G95 G96 G97 G98 G99 G100 G101 G102 G103 G110 G111 G112 G113 G114 G115 G116 G117 G118 G119 G120 G121 G122 G123 G124 G131 G132 G133 G134 G135 G136 G137 G138 G139 G140 G141 G142 G143 G144 G145 G152 G153 G154 G155 G156 G157 G158 G159 G160 G161 G162 G163 G164 G165 G166 G173 G174 G175 G176 G177 G178 G179 G180 G181 G182 G183 G184 G185 G186 G187 G194 G195 G196 G197 G198 G199 G200 G201 G202 G203 G204 G205 G206 G207 G208 G215 G216 G217 G218 G219 G220 G221 G222 G223 G224 G225 G226 G227 G228 G229 G236 G237 G238 G239 G240 G241 G242 G243 G244 G245 G246 G247 G248 G249 G250 G257 G258 G259 G260 G261 G262 G263 G264 G265 G266 G267 G268 G269 G270 G271 G278 G279 G280 G281 G282 G283 G284 G285 G286 G287 G288 G289 G290 G291 G292 G299 G300 G301 G302 G303 G304 G305 G306 G307 G308 G309 G310 G311 G312 G313 G320 G321 G322 G323 G324 G325 G326 G327 G328 G329 G330 G331 G332 G333 G334 H26 H27 H28 H29 H30 H31 H32 H33 H34 H35 H36 H37 H38 H39 H40 H47 H48 H49 H50 H51 H52 H53 H54 H55 H56 H57 H58 H59 H60 H61 H68 H69 H70 H71 H72 H73 H74 H75 H76 H77 H78 H79 H80 H81 H82 H89 H90 H91 H92 H93 H94 H95 H96 H97 H98 H99 H100 H101 H102 H103 H110 H111 H112 H113 H114 H115 H116 H117 H118 H119 H120 H121 H122 H123 H124 H131 H132 H133 H134 H135 H136 H137 H138 H139 H140 H141 H142 H143 H144 H145 H152 H153 H154 H155 H156 H157 H158 H159 H160 H161 H162 H163 H164 H165 H166 H173 H174 H175 H176 H177 H178 H179 H180 H181 H182 H183 H184 H185 H186 H187 H194 H195 H196 H197 H198 H199 H200 H201 H202 H203 H204 H205 H206 H207 H208 H215 H216 H217 H218 H219 H220 H221 H222 H223 H224 H225 H226 H227 H228 H229 H236 H237 H238 H239 H240 H241 H242 H243 H244 H245 H246 H247 H248 H249 H250 H257 H258 H259 H260 H261 H262 H263 H264 H265 H266 H267 H268 H269 H270 H271 H278 H279 H280 H281 H282 H283 H284 H285 H286 H287 H288 H289 H290 H291 H292 H299 H300 H301 H302 H303 H304 H305 H306 H307 H308 H309 H310 H311 H312 H313 H320 H321 H322 H323 H324 H325 H326 H327 H328 H329 H330 H331 H332 H333 H334" showDropDown="0" showInputMessage="0" showErrorMessage="1" allowBlank="0" errorTitle="Whole number only" error="Enter a whole number of 0 or more." type="whole"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07"/>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13"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10" customWidth="1" min="12" max="12"/>
    <col width="9" customWidth="1" min="13" max="13"/>
  </cols>
  <sheetData>
    <row r="1">
      <c r="A1" s="5" t="inlineStr">
        <is>
          <t>Buddhashanti Gaunpalika - Campaign Total (5-19 Oct 2026)</t>
        </is>
      </c>
    </row>
    <row r="2">
      <c r="A2" s="6" t="inlineStr">
        <is>
          <t>Ward no.</t>
        </is>
      </c>
      <c r="B2" s="6" t="inlineStr">
        <is>
          <t>Total population</t>
        </is>
      </c>
      <c r="C2" s="6" t="inlineStr">
        <is>
          <t>JE target population</t>
        </is>
      </c>
      <c r="D2" s="6" t="inlineStr">
        <is>
          <t>Vaccinated</t>
        </is>
      </c>
      <c r="E2" s="6" t="n"/>
      <c r="F2" s="6" t="n"/>
      <c r="G2" s="6" t="n"/>
      <c r="H2" s="6" t="n"/>
      <c r="I2" s="6" t="n"/>
      <c r="J2" s="6" t="n"/>
      <c r="K2" s="6" t="n"/>
      <c r="L2" s="6" t="n"/>
      <c r="M2" s="6" t="inlineStr">
        <is>
          <t>Progress %</t>
        </is>
      </c>
    </row>
    <row r="3">
      <c r="A3" s="6" t="n"/>
      <c r="B3" s="6" t="n"/>
      <c r="C3" s="6" t="n"/>
      <c r="D3" s="6" t="inlineStr">
        <is>
          <t>Age 30-60 yrs</t>
        </is>
      </c>
      <c r="E3" s="6" t="n"/>
      <c r="F3" s="6" t="n"/>
      <c r="G3" s="6" t="inlineStr">
        <is>
          <t>Age 60 above</t>
        </is>
      </c>
      <c r="H3" s="6" t="n"/>
      <c r="I3" s="6" t="n"/>
      <c r="J3" s="6" t="inlineStr">
        <is>
          <t>Total</t>
        </is>
      </c>
      <c r="K3" s="6" t="n"/>
      <c r="L3" s="6" t="inlineStr">
        <is>
          <t>Grand Total</t>
        </is>
      </c>
      <c r="M3" s="6" t="n"/>
    </row>
    <row r="4">
      <c r="A4" s="6" t="n"/>
      <c r="B4" s="6" t="n"/>
      <c r="C4" s="6" t="n"/>
      <c r="D4" s="6" t="inlineStr">
        <is>
          <t>F</t>
        </is>
      </c>
      <c r="E4" s="6" t="inlineStr">
        <is>
          <t>M</t>
        </is>
      </c>
      <c r="F4" s="6" t="inlineStr">
        <is>
          <t>Total</t>
        </is>
      </c>
      <c r="G4" s="6" t="inlineStr">
        <is>
          <t>F</t>
        </is>
      </c>
      <c r="H4" s="6" t="inlineStr">
        <is>
          <t>M</t>
        </is>
      </c>
      <c r="I4" s="6" t="inlineStr">
        <is>
          <t>Total</t>
        </is>
      </c>
      <c r="J4" s="6" t="inlineStr">
        <is>
          <t>F</t>
        </is>
      </c>
      <c r="K4" s="6" t="inlineStr">
        <is>
          <t>M</t>
        </is>
      </c>
      <c r="L4" s="6" t="n"/>
      <c r="M4" s="6" t="n"/>
    </row>
    <row r="5">
      <c r="A5" s="7" t="n">
        <v>1</v>
      </c>
      <c r="B5" s="8" t="n">
        <v>10670</v>
      </c>
      <c r="C5" s="8" t="n">
        <v>5121.599999999999</v>
      </c>
      <c r="D5" s="8">
        <f>D18+D31+D44+D57+D70+D83+D96+D109+D122+D135+D148+D161+D174+D187+D200</f>
        <v/>
      </c>
      <c r="E5" s="8">
        <f>E18+E31+E44+E57+E70+E83+E96+E109+E122+E135+E148+E161+E174+E187+E200</f>
        <v/>
      </c>
      <c r="F5" s="8">
        <f>D5+E5</f>
        <v/>
      </c>
      <c r="G5" s="8">
        <f>G18+G31+G44+G57+G70+G83+G96+G109+G122+G135+G148+G161+G174+G187+G200</f>
        <v/>
      </c>
      <c r="H5" s="8">
        <f>H18+H31+H44+H57+H70+H83+H96+H109+H122+H135+H148+H161+H174+H187+H200</f>
        <v/>
      </c>
      <c r="I5" s="8">
        <f>G5+H5</f>
        <v/>
      </c>
      <c r="J5" s="8">
        <f>D5+G5</f>
        <v/>
      </c>
      <c r="K5" s="8">
        <f>E5+H5</f>
        <v/>
      </c>
      <c r="L5" s="8">
        <f>J5+K5</f>
        <v/>
      </c>
      <c r="M5" s="9">
        <f>IF(C5=0,0,L5/C5*100)</f>
        <v/>
      </c>
    </row>
    <row r="6">
      <c r="A6" s="7" t="n">
        <v>2</v>
      </c>
      <c r="B6" s="8" t="n">
        <v>9393</v>
      </c>
      <c r="C6" s="8" t="n">
        <v>4508.639999999999</v>
      </c>
      <c r="D6" s="8">
        <f>D19+D32+D45+D58+D71+D84+D97+D110+D123+D136+D149+D162+D175+D188+D201</f>
        <v/>
      </c>
      <c r="E6" s="8">
        <f>E19+E32+E45+E58+E71+E84+E97+E110+E123+E136+E149+E162+E175+E188+E201</f>
        <v/>
      </c>
      <c r="F6" s="8">
        <f>D6+E6</f>
        <v/>
      </c>
      <c r="G6" s="8">
        <f>G19+G32+G45+G58+G71+G84+G97+G110+G123+G136+G149+G162+G175+G188+G201</f>
        <v/>
      </c>
      <c r="H6" s="8">
        <f>H19+H32+H45+H58+H71+H84+H97+H110+H123+H136+H149+H162+H175+H188+H201</f>
        <v/>
      </c>
      <c r="I6" s="8">
        <f>G6+H6</f>
        <v/>
      </c>
      <c r="J6" s="8">
        <f>D6+G6</f>
        <v/>
      </c>
      <c r="K6" s="8">
        <f>E6+H6</f>
        <v/>
      </c>
      <c r="L6" s="8">
        <f>J6+K6</f>
        <v/>
      </c>
      <c r="M6" s="9">
        <f>IF(C6=0,0,L6/C6*100)</f>
        <v/>
      </c>
    </row>
    <row r="7">
      <c r="A7" s="7" t="n">
        <v>3</v>
      </c>
      <c r="B7" s="8" t="n">
        <v>12660</v>
      </c>
      <c r="C7" s="8" t="n">
        <v>6076.8</v>
      </c>
      <c r="D7" s="8">
        <f>D20+D33+D46+D59+D72+D85+D98+D111+D124+D137+D150+D163+D176+D189+D202</f>
        <v/>
      </c>
      <c r="E7" s="8">
        <f>E20+E33+E46+E59+E72+E85+E98+E111+E124+E137+E150+E163+E176+E189+E202</f>
        <v/>
      </c>
      <c r="F7" s="8">
        <f>D7+E7</f>
        <v/>
      </c>
      <c r="G7" s="8">
        <f>G20+G33+G46+G59+G72+G85+G98+G111+G124+G137+G150+G163+G176+G189+G202</f>
        <v/>
      </c>
      <c r="H7" s="8">
        <f>H20+H33+H46+H59+H72+H85+H98+H111+H124+H137+H150+H163+H176+H189+H202</f>
        <v/>
      </c>
      <c r="I7" s="8">
        <f>G7+H7</f>
        <v/>
      </c>
      <c r="J7" s="8">
        <f>D7+G7</f>
        <v/>
      </c>
      <c r="K7" s="8">
        <f>E7+H7</f>
        <v/>
      </c>
      <c r="L7" s="8">
        <f>J7+K7</f>
        <v/>
      </c>
      <c r="M7" s="9">
        <f>IF(C7=0,0,L7/C7*100)</f>
        <v/>
      </c>
    </row>
    <row r="8">
      <c r="A8" s="7" t="n">
        <v>4</v>
      </c>
      <c r="B8" s="8" t="n">
        <v>12054</v>
      </c>
      <c r="C8" s="8" t="n">
        <v>5785.92</v>
      </c>
      <c r="D8" s="8">
        <f>D21+D34+D47+D60+D73+D86+D99+D112+D125+D138+D151+D164+D177+D190+D203</f>
        <v/>
      </c>
      <c r="E8" s="8">
        <f>E21+E34+E47+E60+E73+E86+E99+E112+E125+E138+E151+E164+E177+E190+E203</f>
        <v/>
      </c>
      <c r="F8" s="8">
        <f>D8+E8</f>
        <v/>
      </c>
      <c r="G8" s="8">
        <f>G21+G34+G47+G60+G73+G86+G99+G112+G125+G138+G151+G164+G177+G190+G203</f>
        <v/>
      </c>
      <c r="H8" s="8">
        <f>H21+H34+H47+H60+H73+H86+H99+H112+H125+H138+H151+H164+H177+H190+H203</f>
        <v/>
      </c>
      <c r="I8" s="8">
        <f>G8+H8</f>
        <v/>
      </c>
      <c r="J8" s="8">
        <f>D8+G8</f>
        <v/>
      </c>
      <c r="K8" s="8">
        <f>E8+H8</f>
        <v/>
      </c>
      <c r="L8" s="8">
        <f>J8+K8</f>
        <v/>
      </c>
      <c r="M8" s="9">
        <f>IF(C8=0,0,L8/C8*100)</f>
        <v/>
      </c>
    </row>
    <row r="9">
      <c r="A9" s="7" t="n">
        <v>5</v>
      </c>
      <c r="B9" s="8" t="n">
        <v>4123</v>
      </c>
      <c r="C9" s="8" t="n">
        <v>1979.04</v>
      </c>
      <c r="D9" s="8">
        <f>D22+D35+D48+D61+D74+D87+D100+D113+D126+D139+D152+D165+D178+D191+D204</f>
        <v/>
      </c>
      <c r="E9" s="8">
        <f>E22+E35+E48+E61+E74+E87+E100+E113+E126+E139+E152+E165+E178+E191+E204</f>
        <v/>
      </c>
      <c r="F9" s="8">
        <f>D9+E9</f>
        <v/>
      </c>
      <c r="G9" s="8">
        <f>G22+G35+G48+G61+G74+G87+G100+G113+G126+G139+G152+G165+G178+G191+G204</f>
        <v/>
      </c>
      <c r="H9" s="8">
        <f>H22+H35+H48+H61+H74+H87+H100+H113+H126+H139+H152+H165+H178+H191+H204</f>
        <v/>
      </c>
      <c r="I9" s="8">
        <f>G9+H9</f>
        <v/>
      </c>
      <c r="J9" s="8">
        <f>D9+G9</f>
        <v/>
      </c>
      <c r="K9" s="8">
        <f>E9+H9</f>
        <v/>
      </c>
      <c r="L9" s="8">
        <f>J9+K9</f>
        <v/>
      </c>
      <c r="M9" s="9">
        <f>IF(C9=0,0,L9/C9*100)</f>
        <v/>
      </c>
    </row>
    <row r="10">
      <c r="A10" s="7" t="n">
        <v>6</v>
      </c>
      <c r="B10" s="8" t="n">
        <v>3304</v>
      </c>
      <c r="C10" s="8" t="n">
        <v>1585.92</v>
      </c>
      <c r="D10" s="8">
        <f>D23+D36+D49+D62+D75+D88+D101+D114+D127+D140+D153+D166+D179+D192+D205</f>
        <v/>
      </c>
      <c r="E10" s="8">
        <f>E23+E36+E49+E62+E75+E88+E101+E114+E127+E140+E153+E166+E179+E192+E205</f>
        <v/>
      </c>
      <c r="F10" s="8">
        <f>D10+E10</f>
        <v/>
      </c>
      <c r="G10" s="8">
        <f>G23+G36+G49+G62+G75+G88+G101+G114+G127+G140+G153+G166+G179+G192+G205</f>
        <v/>
      </c>
      <c r="H10" s="8">
        <f>H23+H36+H49+H62+H75+H88+H101+H114+H127+H140+H153+H166+H179+H192+H205</f>
        <v/>
      </c>
      <c r="I10" s="8">
        <f>G10+H10</f>
        <v/>
      </c>
      <c r="J10" s="8">
        <f>D10+G10</f>
        <v/>
      </c>
      <c r="K10" s="8">
        <f>E10+H10</f>
        <v/>
      </c>
      <c r="L10" s="8">
        <f>J10+K10</f>
        <v/>
      </c>
      <c r="M10" s="9">
        <f>IF(C10=0,0,L10/C10*100)</f>
        <v/>
      </c>
    </row>
    <row r="11">
      <c r="A11" s="7" t="n">
        <v>7</v>
      </c>
      <c r="B11" s="8" t="n">
        <v>2349</v>
      </c>
      <c r="C11" s="8" t="n">
        <v>1127.52</v>
      </c>
      <c r="D11" s="8">
        <f>D24+D37+D50+D63+D76+D89+D102+D115+D128+D141+D154+D167+D180+D193+D206</f>
        <v/>
      </c>
      <c r="E11" s="8">
        <f>E24+E37+E50+E63+E76+E89+E102+E115+E128+E141+E154+E167+E180+E193+E206</f>
        <v/>
      </c>
      <c r="F11" s="8">
        <f>D11+E11</f>
        <v/>
      </c>
      <c r="G11" s="8">
        <f>G24+G37+G50+G63+G76+G89+G102+G115+G128+G141+G154+G167+G180+G193+G206</f>
        <v/>
      </c>
      <c r="H11" s="8">
        <f>H24+H37+H50+H63+H76+H89+H102+H115+H128+H141+H154+H167+H180+H193+H206</f>
        <v/>
      </c>
      <c r="I11" s="8">
        <f>G11+H11</f>
        <v/>
      </c>
      <c r="J11" s="8">
        <f>D11+G11</f>
        <v/>
      </c>
      <c r="K11" s="8">
        <f>E11+H11</f>
        <v/>
      </c>
      <c r="L11" s="8">
        <f>J11+K11</f>
        <v/>
      </c>
      <c r="M11" s="9">
        <f>IF(C11=0,0,L11/C11*100)</f>
        <v/>
      </c>
    </row>
    <row r="12">
      <c r="A12" s="10" t="inlineStr">
        <is>
          <t>Total</t>
        </is>
      </c>
      <c r="B12" s="11">
        <f>SUM(B5:B11)</f>
        <v/>
      </c>
      <c r="C12" s="11">
        <f>SUM(C5:C11)</f>
        <v/>
      </c>
      <c r="D12" s="11">
        <f>SUM(D5:D11)</f>
        <v/>
      </c>
      <c r="E12" s="11">
        <f>SUM(E5:E11)</f>
        <v/>
      </c>
      <c r="F12" s="11">
        <f>D12+E12</f>
        <v/>
      </c>
      <c r="G12" s="11">
        <f>SUM(G5:G11)</f>
        <v/>
      </c>
      <c r="H12" s="11">
        <f>SUM(H5:H11)</f>
        <v/>
      </c>
      <c r="I12" s="11">
        <f>G12+H12</f>
        <v/>
      </c>
      <c r="J12" s="11">
        <f>D12+G12</f>
        <v/>
      </c>
      <c r="K12" s="11">
        <f>E12+H12</f>
        <v/>
      </c>
      <c r="L12" s="11">
        <f>J12+K12</f>
        <v/>
      </c>
      <c r="M12" s="12">
        <f>IF(C12=0,0,L12/C12*100)</f>
        <v/>
      </c>
    </row>
    <row r="14">
      <c r="A14" s="13" t="inlineStr">
        <is>
          <t>Day 1 - 2026-10-05 (Mon 19 Aswin 2083)</t>
        </is>
      </c>
    </row>
    <row r="15">
      <c r="A15" s="6" t="inlineStr">
        <is>
          <t>Ward no.</t>
        </is>
      </c>
      <c r="B15" s="6" t="inlineStr">
        <is>
          <t>Total population</t>
        </is>
      </c>
      <c r="C15" s="6" t="inlineStr">
        <is>
          <t>JE target population</t>
        </is>
      </c>
      <c r="D15" s="6" t="inlineStr">
        <is>
          <t>Vaccinated</t>
        </is>
      </c>
      <c r="E15" s="6" t="n"/>
      <c r="F15" s="6" t="n"/>
      <c r="G15" s="6" t="n"/>
      <c r="H15" s="6" t="n"/>
      <c r="I15" s="6" t="n"/>
      <c r="J15" s="6" t="n"/>
      <c r="K15" s="6" t="n"/>
      <c r="L15" s="6" t="n"/>
      <c r="M15" s="6" t="inlineStr">
        <is>
          <t>Progress %</t>
        </is>
      </c>
    </row>
    <row r="16">
      <c r="A16" s="6" t="n"/>
      <c r="B16" s="6" t="n"/>
      <c r="C16" s="6" t="n"/>
      <c r="D16" s="6" t="inlineStr">
        <is>
          <t>Age 30-60 yrs</t>
        </is>
      </c>
      <c r="E16" s="6" t="n"/>
      <c r="F16" s="6" t="n"/>
      <c r="G16" s="6" t="inlineStr">
        <is>
          <t>Age 60 above</t>
        </is>
      </c>
      <c r="H16" s="6" t="n"/>
      <c r="I16" s="6" t="n"/>
      <c r="J16" s="6" t="inlineStr">
        <is>
          <t>Total</t>
        </is>
      </c>
      <c r="K16" s="6" t="n"/>
      <c r="L16" s="6" t="inlineStr">
        <is>
          <t>Grand Total</t>
        </is>
      </c>
      <c r="M16" s="6" t="n"/>
    </row>
    <row r="17">
      <c r="A17" s="6" t="n"/>
      <c r="B17" s="6" t="n"/>
      <c r="C17" s="6" t="n"/>
      <c r="D17" s="6" t="inlineStr">
        <is>
          <t>F</t>
        </is>
      </c>
      <c r="E17" s="6" t="inlineStr">
        <is>
          <t>M</t>
        </is>
      </c>
      <c r="F17" s="6" t="inlineStr">
        <is>
          <t>Total</t>
        </is>
      </c>
      <c r="G17" s="6" t="inlineStr">
        <is>
          <t>F</t>
        </is>
      </c>
      <c r="H17" s="6" t="inlineStr">
        <is>
          <t>M</t>
        </is>
      </c>
      <c r="I17" s="6" t="inlineStr">
        <is>
          <t>Total</t>
        </is>
      </c>
      <c r="J17" s="6" t="inlineStr">
        <is>
          <t>F</t>
        </is>
      </c>
      <c r="K17" s="6" t="inlineStr">
        <is>
          <t>M</t>
        </is>
      </c>
      <c r="L17" s="6" t="n"/>
      <c r="M17" s="6" t="n"/>
    </row>
    <row r="18">
      <c r="A18" s="7" t="n">
        <v>1</v>
      </c>
      <c r="B18" s="8">
        <f>B5</f>
        <v/>
      </c>
      <c r="C18" s="8">
        <f>C5</f>
        <v/>
      </c>
      <c r="D18" s="14" t="n"/>
      <c r="E18" s="14" t="n"/>
      <c r="F18" s="8">
        <f>D18+E18</f>
        <v/>
      </c>
      <c r="G18" s="14" t="n"/>
      <c r="H18" s="14" t="n"/>
      <c r="I18" s="8">
        <f>G18+H18</f>
        <v/>
      </c>
      <c r="J18" s="8">
        <f>D18+G18</f>
        <v/>
      </c>
      <c r="K18" s="8">
        <f>E18+H18</f>
        <v/>
      </c>
      <c r="L18" s="8">
        <f>J18+K18</f>
        <v/>
      </c>
      <c r="M18" s="9">
        <f>IF(C18=0,0,L18/C18*100)</f>
        <v/>
      </c>
    </row>
    <row r="19">
      <c r="A19" s="7" t="n">
        <v>2</v>
      </c>
      <c r="B19" s="8">
        <f>B6</f>
        <v/>
      </c>
      <c r="C19" s="8">
        <f>C6</f>
        <v/>
      </c>
      <c r="D19" s="14" t="n"/>
      <c r="E19" s="14" t="n"/>
      <c r="F19" s="8">
        <f>D19+E19</f>
        <v/>
      </c>
      <c r="G19" s="14" t="n"/>
      <c r="H19" s="14" t="n"/>
      <c r="I19" s="8">
        <f>G19+H19</f>
        <v/>
      </c>
      <c r="J19" s="8">
        <f>D19+G19</f>
        <v/>
      </c>
      <c r="K19" s="8">
        <f>E19+H19</f>
        <v/>
      </c>
      <c r="L19" s="8">
        <f>J19+K19</f>
        <v/>
      </c>
      <c r="M19" s="9">
        <f>IF(C19=0,0,L19/C19*100)</f>
        <v/>
      </c>
    </row>
    <row r="20">
      <c r="A20" s="7" t="n">
        <v>3</v>
      </c>
      <c r="B20" s="8">
        <f>B7</f>
        <v/>
      </c>
      <c r="C20" s="8">
        <f>C7</f>
        <v/>
      </c>
      <c r="D20" s="14" t="n"/>
      <c r="E20" s="14" t="n"/>
      <c r="F20" s="8">
        <f>D20+E20</f>
        <v/>
      </c>
      <c r="G20" s="14" t="n"/>
      <c r="H20" s="14" t="n"/>
      <c r="I20" s="8">
        <f>G20+H20</f>
        <v/>
      </c>
      <c r="J20" s="8">
        <f>D20+G20</f>
        <v/>
      </c>
      <c r="K20" s="8">
        <f>E20+H20</f>
        <v/>
      </c>
      <c r="L20" s="8">
        <f>J20+K20</f>
        <v/>
      </c>
      <c r="M20" s="9">
        <f>IF(C20=0,0,L20/C20*100)</f>
        <v/>
      </c>
    </row>
    <row r="21">
      <c r="A21" s="7" t="n">
        <v>4</v>
      </c>
      <c r="B21" s="8">
        <f>B8</f>
        <v/>
      </c>
      <c r="C21" s="8">
        <f>C8</f>
        <v/>
      </c>
      <c r="D21" s="14" t="n"/>
      <c r="E21" s="14" t="n"/>
      <c r="F21" s="8">
        <f>D21+E21</f>
        <v/>
      </c>
      <c r="G21" s="14" t="n"/>
      <c r="H21" s="14" t="n"/>
      <c r="I21" s="8">
        <f>G21+H21</f>
        <v/>
      </c>
      <c r="J21" s="8">
        <f>D21+G21</f>
        <v/>
      </c>
      <c r="K21" s="8">
        <f>E21+H21</f>
        <v/>
      </c>
      <c r="L21" s="8">
        <f>J21+K21</f>
        <v/>
      </c>
      <c r="M21" s="9">
        <f>IF(C21=0,0,L21/C21*100)</f>
        <v/>
      </c>
    </row>
    <row r="22">
      <c r="A22" s="7" t="n">
        <v>5</v>
      </c>
      <c r="B22" s="8">
        <f>B9</f>
        <v/>
      </c>
      <c r="C22" s="8">
        <f>C9</f>
        <v/>
      </c>
      <c r="D22" s="14" t="n"/>
      <c r="E22" s="14" t="n"/>
      <c r="F22" s="8">
        <f>D22+E22</f>
        <v/>
      </c>
      <c r="G22" s="14" t="n"/>
      <c r="H22" s="14" t="n"/>
      <c r="I22" s="8">
        <f>G22+H22</f>
        <v/>
      </c>
      <c r="J22" s="8">
        <f>D22+G22</f>
        <v/>
      </c>
      <c r="K22" s="8">
        <f>E22+H22</f>
        <v/>
      </c>
      <c r="L22" s="8">
        <f>J22+K22</f>
        <v/>
      </c>
      <c r="M22" s="9">
        <f>IF(C22=0,0,L22/C22*100)</f>
        <v/>
      </c>
    </row>
    <row r="23">
      <c r="A23" s="7" t="n">
        <v>6</v>
      </c>
      <c r="B23" s="8">
        <f>B10</f>
        <v/>
      </c>
      <c r="C23" s="8">
        <f>C10</f>
        <v/>
      </c>
      <c r="D23" s="14" t="n"/>
      <c r="E23" s="14" t="n"/>
      <c r="F23" s="8">
        <f>D23+E23</f>
        <v/>
      </c>
      <c r="G23" s="14" t="n"/>
      <c r="H23" s="14" t="n"/>
      <c r="I23" s="8">
        <f>G23+H23</f>
        <v/>
      </c>
      <c r="J23" s="8">
        <f>D23+G23</f>
        <v/>
      </c>
      <c r="K23" s="8">
        <f>E23+H23</f>
        <v/>
      </c>
      <c r="L23" s="8">
        <f>J23+K23</f>
        <v/>
      </c>
      <c r="M23" s="9">
        <f>IF(C23=0,0,L23/C23*100)</f>
        <v/>
      </c>
    </row>
    <row r="24">
      <c r="A24" s="7" t="n">
        <v>7</v>
      </c>
      <c r="B24" s="8">
        <f>B11</f>
        <v/>
      </c>
      <c r="C24" s="8">
        <f>C11</f>
        <v/>
      </c>
      <c r="D24" s="14" t="n"/>
      <c r="E24" s="14" t="n"/>
      <c r="F24" s="8">
        <f>D24+E24</f>
        <v/>
      </c>
      <c r="G24" s="14" t="n"/>
      <c r="H24" s="14" t="n"/>
      <c r="I24" s="8">
        <f>G24+H24</f>
        <v/>
      </c>
      <c r="J24" s="8">
        <f>D24+G24</f>
        <v/>
      </c>
      <c r="K24" s="8">
        <f>E24+H24</f>
        <v/>
      </c>
      <c r="L24" s="8">
        <f>J24+K24</f>
        <v/>
      </c>
      <c r="M24" s="9">
        <f>IF(C24=0,0,L24/C24*100)</f>
        <v/>
      </c>
    </row>
    <row r="25">
      <c r="A25" s="10" t="inlineStr">
        <is>
          <t>Total</t>
        </is>
      </c>
      <c r="B25" s="11">
        <f>SUM(B18:B24)</f>
        <v/>
      </c>
      <c r="C25" s="11">
        <f>SUM(C18:C24)</f>
        <v/>
      </c>
      <c r="D25" s="11">
        <f>SUM(D18:D24)</f>
        <v/>
      </c>
      <c r="E25" s="11">
        <f>SUM(E18:E24)</f>
        <v/>
      </c>
      <c r="F25" s="11">
        <f>D25+E25</f>
        <v/>
      </c>
      <c r="G25" s="11">
        <f>SUM(G18:G24)</f>
        <v/>
      </c>
      <c r="H25" s="11">
        <f>SUM(H18:H24)</f>
        <v/>
      </c>
      <c r="I25" s="11">
        <f>G25+H25</f>
        <v/>
      </c>
      <c r="J25" s="11">
        <f>D25+G25</f>
        <v/>
      </c>
      <c r="K25" s="11">
        <f>E25+H25</f>
        <v/>
      </c>
      <c r="L25" s="11">
        <f>J25+K25</f>
        <v/>
      </c>
      <c r="M25" s="12">
        <f>IF(C25=0,0,L25/C25*100)</f>
        <v/>
      </c>
    </row>
    <row r="27">
      <c r="A27" s="13" t="inlineStr">
        <is>
          <t>Day 2 - 2026-10-06 (Tue 20 Aswin 2083)</t>
        </is>
      </c>
    </row>
    <row r="28">
      <c r="A28" s="6" t="inlineStr">
        <is>
          <t>Ward no.</t>
        </is>
      </c>
      <c r="B28" s="6" t="inlineStr">
        <is>
          <t>Total population</t>
        </is>
      </c>
      <c r="C28" s="6" t="inlineStr">
        <is>
          <t>JE target population</t>
        </is>
      </c>
      <c r="D28" s="6" t="inlineStr">
        <is>
          <t>Vaccinated</t>
        </is>
      </c>
      <c r="E28" s="6" t="n"/>
      <c r="F28" s="6" t="n"/>
      <c r="G28" s="6" t="n"/>
      <c r="H28" s="6" t="n"/>
      <c r="I28" s="6" t="n"/>
      <c r="J28" s="6" t="n"/>
      <c r="K28" s="6" t="n"/>
      <c r="L28" s="6" t="n"/>
      <c r="M28" s="6" t="inlineStr">
        <is>
          <t>Progress %</t>
        </is>
      </c>
    </row>
    <row r="29">
      <c r="A29" s="6" t="n"/>
      <c r="B29" s="6" t="n"/>
      <c r="C29" s="6" t="n"/>
      <c r="D29" s="6" t="inlineStr">
        <is>
          <t>Age 30-60 yrs</t>
        </is>
      </c>
      <c r="E29" s="6" t="n"/>
      <c r="F29" s="6" t="n"/>
      <c r="G29" s="6" t="inlineStr">
        <is>
          <t>Age 60 above</t>
        </is>
      </c>
      <c r="H29" s="6" t="n"/>
      <c r="I29" s="6" t="n"/>
      <c r="J29" s="6" t="inlineStr">
        <is>
          <t>Total</t>
        </is>
      </c>
      <c r="K29" s="6" t="n"/>
      <c r="L29" s="6" t="inlineStr">
        <is>
          <t>Grand Total</t>
        </is>
      </c>
      <c r="M29" s="6" t="n"/>
    </row>
    <row r="30">
      <c r="A30" s="6" t="n"/>
      <c r="B30" s="6" t="n"/>
      <c r="C30" s="6" t="n"/>
      <c r="D30" s="6" t="inlineStr">
        <is>
          <t>F</t>
        </is>
      </c>
      <c r="E30" s="6" t="inlineStr">
        <is>
          <t>M</t>
        </is>
      </c>
      <c r="F30" s="6" t="inlineStr">
        <is>
          <t>Total</t>
        </is>
      </c>
      <c r="G30" s="6" t="inlineStr">
        <is>
          <t>F</t>
        </is>
      </c>
      <c r="H30" s="6" t="inlineStr">
        <is>
          <t>M</t>
        </is>
      </c>
      <c r="I30" s="6" t="inlineStr">
        <is>
          <t>Total</t>
        </is>
      </c>
      <c r="J30" s="6" t="inlineStr">
        <is>
          <t>F</t>
        </is>
      </c>
      <c r="K30" s="6" t="inlineStr">
        <is>
          <t>M</t>
        </is>
      </c>
      <c r="L30" s="6" t="n"/>
      <c r="M30" s="6" t="n"/>
    </row>
    <row r="31">
      <c r="A31" s="7" t="n">
        <v>1</v>
      </c>
      <c r="B31" s="8">
        <f>B5</f>
        <v/>
      </c>
      <c r="C31" s="8">
        <f>C5</f>
        <v/>
      </c>
      <c r="D31" s="14" t="n"/>
      <c r="E31" s="14" t="n"/>
      <c r="F31" s="8">
        <f>D31+E31</f>
        <v/>
      </c>
      <c r="G31" s="14" t="n"/>
      <c r="H31" s="14" t="n"/>
      <c r="I31" s="8">
        <f>G31+H31</f>
        <v/>
      </c>
      <c r="J31" s="8">
        <f>D31+G31</f>
        <v/>
      </c>
      <c r="K31" s="8">
        <f>E31+H31</f>
        <v/>
      </c>
      <c r="L31" s="8">
        <f>J31+K31</f>
        <v/>
      </c>
      <c r="M31" s="9">
        <f>IF(C31=0,0,L31/C31*100)</f>
        <v/>
      </c>
    </row>
    <row r="32">
      <c r="A32" s="7" t="n">
        <v>2</v>
      </c>
      <c r="B32" s="8">
        <f>B6</f>
        <v/>
      </c>
      <c r="C32" s="8">
        <f>C6</f>
        <v/>
      </c>
      <c r="D32" s="14" t="n"/>
      <c r="E32" s="14" t="n"/>
      <c r="F32" s="8">
        <f>D32+E32</f>
        <v/>
      </c>
      <c r="G32" s="14" t="n"/>
      <c r="H32" s="14" t="n"/>
      <c r="I32" s="8">
        <f>G32+H32</f>
        <v/>
      </c>
      <c r="J32" s="8">
        <f>D32+G32</f>
        <v/>
      </c>
      <c r="K32" s="8">
        <f>E32+H32</f>
        <v/>
      </c>
      <c r="L32" s="8">
        <f>J32+K32</f>
        <v/>
      </c>
      <c r="M32" s="9">
        <f>IF(C32=0,0,L32/C32*100)</f>
        <v/>
      </c>
    </row>
    <row r="33">
      <c r="A33" s="7" t="n">
        <v>3</v>
      </c>
      <c r="B33" s="8">
        <f>B7</f>
        <v/>
      </c>
      <c r="C33" s="8">
        <f>C7</f>
        <v/>
      </c>
      <c r="D33" s="14" t="n"/>
      <c r="E33" s="14" t="n"/>
      <c r="F33" s="8">
        <f>D33+E33</f>
        <v/>
      </c>
      <c r="G33" s="14" t="n"/>
      <c r="H33" s="14" t="n"/>
      <c r="I33" s="8">
        <f>G33+H33</f>
        <v/>
      </c>
      <c r="J33" s="8">
        <f>D33+G33</f>
        <v/>
      </c>
      <c r="K33" s="8">
        <f>E33+H33</f>
        <v/>
      </c>
      <c r="L33" s="8">
        <f>J33+K33</f>
        <v/>
      </c>
      <c r="M33" s="9">
        <f>IF(C33=0,0,L33/C33*100)</f>
        <v/>
      </c>
    </row>
    <row r="34">
      <c r="A34" s="7" t="n">
        <v>4</v>
      </c>
      <c r="B34" s="8">
        <f>B8</f>
        <v/>
      </c>
      <c r="C34" s="8">
        <f>C8</f>
        <v/>
      </c>
      <c r="D34" s="14" t="n"/>
      <c r="E34" s="14" t="n"/>
      <c r="F34" s="8">
        <f>D34+E34</f>
        <v/>
      </c>
      <c r="G34" s="14" t="n"/>
      <c r="H34" s="14" t="n"/>
      <c r="I34" s="8">
        <f>G34+H34</f>
        <v/>
      </c>
      <c r="J34" s="8">
        <f>D34+G34</f>
        <v/>
      </c>
      <c r="K34" s="8">
        <f>E34+H34</f>
        <v/>
      </c>
      <c r="L34" s="8">
        <f>J34+K34</f>
        <v/>
      </c>
      <c r="M34" s="9">
        <f>IF(C34=0,0,L34/C34*100)</f>
        <v/>
      </c>
    </row>
    <row r="35">
      <c r="A35" s="7" t="n">
        <v>5</v>
      </c>
      <c r="B35" s="8">
        <f>B9</f>
        <v/>
      </c>
      <c r="C35" s="8">
        <f>C9</f>
        <v/>
      </c>
      <c r="D35" s="14" t="n"/>
      <c r="E35" s="14" t="n"/>
      <c r="F35" s="8">
        <f>D35+E35</f>
        <v/>
      </c>
      <c r="G35" s="14" t="n"/>
      <c r="H35" s="14" t="n"/>
      <c r="I35" s="8">
        <f>G35+H35</f>
        <v/>
      </c>
      <c r="J35" s="8">
        <f>D35+G35</f>
        <v/>
      </c>
      <c r="K35" s="8">
        <f>E35+H35</f>
        <v/>
      </c>
      <c r="L35" s="8">
        <f>J35+K35</f>
        <v/>
      </c>
      <c r="M35" s="9">
        <f>IF(C35=0,0,L35/C35*100)</f>
        <v/>
      </c>
    </row>
    <row r="36">
      <c r="A36" s="7" t="n">
        <v>6</v>
      </c>
      <c r="B36" s="8">
        <f>B10</f>
        <v/>
      </c>
      <c r="C36" s="8">
        <f>C10</f>
        <v/>
      </c>
      <c r="D36" s="14" t="n"/>
      <c r="E36" s="14" t="n"/>
      <c r="F36" s="8">
        <f>D36+E36</f>
        <v/>
      </c>
      <c r="G36" s="14" t="n"/>
      <c r="H36" s="14" t="n"/>
      <c r="I36" s="8">
        <f>G36+H36</f>
        <v/>
      </c>
      <c r="J36" s="8">
        <f>D36+G36</f>
        <v/>
      </c>
      <c r="K36" s="8">
        <f>E36+H36</f>
        <v/>
      </c>
      <c r="L36" s="8">
        <f>J36+K36</f>
        <v/>
      </c>
      <c r="M36" s="9">
        <f>IF(C36=0,0,L36/C36*100)</f>
        <v/>
      </c>
    </row>
    <row r="37">
      <c r="A37" s="7" t="n">
        <v>7</v>
      </c>
      <c r="B37" s="8">
        <f>B11</f>
        <v/>
      </c>
      <c r="C37" s="8">
        <f>C11</f>
        <v/>
      </c>
      <c r="D37" s="14" t="n"/>
      <c r="E37" s="14" t="n"/>
      <c r="F37" s="8">
        <f>D37+E37</f>
        <v/>
      </c>
      <c r="G37" s="14" t="n"/>
      <c r="H37" s="14" t="n"/>
      <c r="I37" s="8">
        <f>G37+H37</f>
        <v/>
      </c>
      <c r="J37" s="8">
        <f>D37+G37</f>
        <v/>
      </c>
      <c r="K37" s="8">
        <f>E37+H37</f>
        <v/>
      </c>
      <c r="L37" s="8">
        <f>J37+K37</f>
        <v/>
      </c>
      <c r="M37" s="9">
        <f>IF(C37=0,0,L37/C37*100)</f>
        <v/>
      </c>
    </row>
    <row r="38">
      <c r="A38" s="10" t="inlineStr">
        <is>
          <t>Total</t>
        </is>
      </c>
      <c r="B38" s="11">
        <f>SUM(B31:B37)</f>
        <v/>
      </c>
      <c r="C38" s="11">
        <f>SUM(C31:C37)</f>
        <v/>
      </c>
      <c r="D38" s="11">
        <f>SUM(D31:D37)</f>
        <v/>
      </c>
      <c r="E38" s="11">
        <f>SUM(E31:E37)</f>
        <v/>
      </c>
      <c r="F38" s="11">
        <f>D38+E38</f>
        <v/>
      </c>
      <c r="G38" s="11">
        <f>SUM(G31:G37)</f>
        <v/>
      </c>
      <c r="H38" s="11">
        <f>SUM(H31:H37)</f>
        <v/>
      </c>
      <c r="I38" s="11">
        <f>G38+H38</f>
        <v/>
      </c>
      <c r="J38" s="11">
        <f>D38+G38</f>
        <v/>
      </c>
      <c r="K38" s="11">
        <f>E38+H38</f>
        <v/>
      </c>
      <c r="L38" s="11">
        <f>J38+K38</f>
        <v/>
      </c>
      <c r="M38" s="12">
        <f>IF(C38=0,0,L38/C38*100)</f>
        <v/>
      </c>
    </row>
    <row r="40">
      <c r="A40" s="13" t="inlineStr">
        <is>
          <t>Day 3 - 2026-10-07 (Wed 21 Aswin 2083)</t>
        </is>
      </c>
    </row>
    <row r="41">
      <c r="A41" s="6" t="inlineStr">
        <is>
          <t>Ward no.</t>
        </is>
      </c>
      <c r="B41" s="6" t="inlineStr">
        <is>
          <t>Total population</t>
        </is>
      </c>
      <c r="C41" s="6" t="inlineStr">
        <is>
          <t>JE target population</t>
        </is>
      </c>
      <c r="D41" s="6" t="inlineStr">
        <is>
          <t>Vaccinated</t>
        </is>
      </c>
      <c r="E41" s="6" t="n"/>
      <c r="F41" s="6" t="n"/>
      <c r="G41" s="6" t="n"/>
      <c r="H41" s="6" t="n"/>
      <c r="I41" s="6" t="n"/>
      <c r="J41" s="6" t="n"/>
      <c r="K41" s="6" t="n"/>
      <c r="L41" s="6" t="n"/>
      <c r="M41" s="6" t="inlineStr">
        <is>
          <t>Progress %</t>
        </is>
      </c>
    </row>
    <row r="42">
      <c r="A42" s="6" t="n"/>
      <c r="B42" s="6" t="n"/>
      <c r="C42" s="6" t="n"/>
      <c r="D42" s="6" t="inlineStr">
        <is>
          <t>Age 30-60 yrs</t>
        </is>
      </c>
      <c r="E42" s="6" t="n"/>
      <c r="F42" s="6" t="n"/>
      <c r="G42" s="6" t="inlineStr">
        <is>
          <t>Age 60 above</t>
        </is>
      </c>
      <c r="H42" s="6" t="n"/>
      <c r="I42" s="6" t="n"/>
      <c r="J42" s="6" t="inlineStr">
        <is>
          <t>Total</t>
        </is>
      </c>
      <c r="K42" s="6" t="n"/>
      <c r="L42" s="6" t="inlineStr">
        <is>
          <t>Grand Total</t>
        </is>
      </c>
      <c r="M42" s="6" t="n"/>
    </row>
    <row r="43">
      <c r="A43" s="6" t="n"/>
      <c r="B43" s="6" t="n"/>
      <c r="C43" s="6" t="n"/>
      <c r="D43" s="6" t="inlineStr">
        <is>
          <t>F</t>
        </is>
      </c>
      <c r="E43" s="6" t="inlineStr">
        <is>
          <t>M</t>
        </is>
      </c>
      <c r="F43" s="6" t="inlineStr">
        <is>
          <t>Total</t>
        </is>
      </c>
      <c r="G43" s="6" t="inlineStr">
        <is>
          <t>F</t>
        </is>
      </c>
      <c r="H43" s="6" t="inlineStr">
        <is>
          <t>M</t>
        </is>
      </c>
      <c r="I43" s="6" t="inlineStr">
        <is>
          <t>Total</t>
        </is>
      </c>
      <c r="J43" s="6" t="inlineStr">
        <is>
          <t>F</t>
        </is>
      </c>
      <c r="K43" s="6" t="inlineStr">
        <is>
          <t>M</t>
        </is>
      </c>
      <c r="L43" s="6" t="n"/>
      <c r="M43" s="6" t="n"/>
    </row>
    <row r="44">
      <c r="A44" s="7" t="n">
        <v>1</v>
      </c>
      <c r="B44" s="8">
        <f>B5</f>
        <v/>
      </c>
      <c r="C44" s="8">
        <f>C5</f>
        <v/>
      </c>
      <c r="D44" s="14" t="n"/>
      <c r="E44" s="14" t="n"/>
      <c r="F44" s="8">
        <f>D44+E44</f>
        <v/>
      </c>
      <c r="G44" s="14" t="n"/>
      <c r="H44" s="14" t="n"/>
      <c r="I44" s="8">
        <f>G44+H44</f>
        <v/>
      </c>
      <c r="J44" s="8">
        <f>D44+G44</f>
        <v/>
      </c>
      <c r="K44" s="8">
        <f>E44+H44</f>
        <v/>
      </c>
      <c r="L44" s="8">
        <f>J44+K44</f>
        <v/>
      </c>
      <c r="M44" s="9">
        <f>IF(C44=0,0,L44/C44*100)</f>
        <v/>
      </c>
    </row>
    <row r="45">
      <c r="A45" s="7" t="n">
        <v>2</v>
      </c>
      <c r="B45" s="8">
        <f>B6</f>
        <v/>
      </c>
      <c r="C45" s="8">
        <f>C6</f>
        <v/>
      </c>
      <c r="D45" s="14" t="n"/>
      <c r="E45" s="14" t="n"/>
      <c r="F45" s="8">
        <f>D45+E45</f>
        <v/>
      </c>
      <c r="G45" s="14" t="n"/>
      <c r="H45" s="14" t="n"/>
      <c r="I45" s="8">
        <f>G45+H45</f>
        <v/>
      </c>
      <c r="J45" s="8">
        <f>D45+G45</f>
        <v/>
      </c>
      <c r="K45" s="8">
        <f>E45+H45</f>
        <v/>
      </c>
      <c r="L45" s="8">
        <f>J45+K45</f>
        <v/>
      </c>
      <c r="M45" s="9">
        <f>IF(C45=0,0,L45/C45*100)</f>
        <v/>
      </c>
    </row>
    <row r="46">
      <c r="A46" s="7" t="n">
        <v>3</v>
      </c>
      <c r="B46" s="8">
        <f>B7</f>
        <v/>
      </c>
      <c r="C46" s="8">
        <f>C7</f>
        <v/>
      </c>
      <c r="D46" s="14" t="n"/>
      <c r="E46" s="14" t="n"/>
      <c r="F46" s="8">
        <f>D46+E46</f>
        <v/>
      </c>
      <c r="G46" s="14" t="n"/>
      <c r="H46" s="14" t="n"/>
      <c r="I46" s="8">
        <f>G46+H46</f>
        <v/>
      </c>
      <c r="J46" s="8">
        <f>D46+G46</f>
        <v/>
      </c>
      <c r="K46" s="8">
        <f>E46+H46</f>
        <v/>
      </c>
      <c r="L46" s="8">
        <f>J46+K46</f>
        <v/>
      </c>
      <c r="M46" s="9">
        <f>IF(C46=0,0,L46/C46*100)</f>
        <v/>
      </c>
    </row>
    <row r="47">
      <c r="A47" s="7" t="n">
        <v>4</v>
      </c>
      <c r="B47" s="8">
        <f>B8</f>
        <v/>
      </c>
      <c r="C47" s="8">
        <f>C8</f>
        <v/>
      </c>
      <c r="D47" s="14" t="n"/>
      <c r="E47" s="14" t="n"/>
      <c r="F47" s="8">
        <f>D47+E47</f>
        <v/>
      </c>
      <c r="G47" s="14" t="n"/>
      <c r="H47" s="14" t="n"/>
      <c r="I47" s="8">
        <f>G47+H47</f>
        <v/>
      </c>
      <c r="J47" s="8">
        <f>D47+G47</f>
        <v/>
      </c>
      <c r="K47" s="8">
        <f>E47+H47</f>
        <v/>
      </c>
      <c r="L47" s="8">
        <f>J47+K47</f>
        <v/>
      </c>
      <c r="M47" s="9">
        <f>IF(C47=0,0,L47/C47*100)</f>
        <v/>
      </c>
    </row>
    <row r="48">
      <c r="A48" s="7" t="n">
        <v>5</v>
      </c>
      <c r="B48" s="8">
        <f>B9</f>
        <v/>
      </c>
      <c r="C48" s="8">
        <f>C9</f>
        <v/>
      </c>
      <c r="D48" s="14" t="n"/>
      <c r="E48" s="14" t="n"/>
      <c r="F48" s="8">
        <f>D48+E48</f>
        <v/>
      </c>
      <c r="G48" s="14" t="n"/>
      <c r="H48" s="14" t="n"/>
      <c r="I48" s="8">
        <f>G48+H48</f>
        <v/>
      </c>
      <c r="J48" s="8">
        <f>D48+G48</f>
        <v/>
      </c>
      <c r="K48" s="8">
        <f>E48+H48</f>
        <v/>
      </c>
      <c r="L48" s="8">
        <f>J48+K48</f>
        <v/>
      </c>
      <c r="M48" s="9">
        <f>IF(C48=0,0,L48/C48*100)</f>
        <v/>
      </c>
    </row>
    <row r="49">
      <c r="A49" s="7" t="n">
        <v>6</v>
      </c>
      <c r="B49" s="8">
        <f>B10</f>
        <v/>
      </c>
      <c r="C49" s="8">
        <f>C10</f>
        <v/>
      </c>
      <c r="D49" s="14" t="n"/>
      <c r="E49" s="14" t="n"/>
      <c r="F49" s="8">
        <f>D49+E49</f>
        <v/>
      </c>
      <c r="G49" s="14" t="n"/>
      <c r="H49" s="14" t="n"/>
      <c r="I49" s="8">
        <f>G49+H49</f>
        <v/>
      </c>
      <c r="J49" s="8">
        <f>D49+G49</f>
        <v/>
      </c>
      <c r="K49" s="8">
        <f>E49+H49</f>
        <v/>
      </c>
      <c r="L49" s="8">
        <f>J49+K49</f>
        <v/>
      </c>
      <c r="M49" s="9">
        <f>IF(C49=0,0,L49/C49*100)</f>
        <v/>
      </c>
    </row>
    <row r="50">
      <c r="A50" s="7" t="n">
        <v>7</v>
      </c>
      <c r="B50" s="8">
        <f>B11</f>
        <v/>
      </c>
      <c r="C50" s="8">
        <f>C11</f>
        <v/>
      </c>
      <c r="D50" s="14" t="n"/>
      <c r="E50" s="14" t="n"/>
      <c r="F50" s="8">
        <f>D50+E50</f>
        <v/>
      </c>
      <c r="G50" s="14" t="n"/>
      <c r="H50" s="14" t="n"/>
      <c r="I50" s="8">
        <f>G50+H50</f>
        <v/>
      </c>
      <c r="J50" s="8">
        <f>D50+G50</f>
        <v/>
      </c>
      <c r="K50" s="8">
        <f>E50+H50</f>
        <v/>
      </c>
      <c r="L50" s="8">
        <f>J50+K50</f>
        <v/>
      </c>
      <c r="M50" s="9">
        <f>IF(C50=0,0,L50/C50*100)</f>
        <v/>
      </c>
    </row>
    <row r="51">
      <c r="A51" s="10" t="inlineStr">
        <is>
          <t>Total</t>
        </is>
      </c>
      <c r="B51" s="11">
        <f>SUM(B44:B50)</f>
        <v/>
      </c>
      <c r="C51" s="11">
        <f>SUM(C44:C50)</f>
        <v/>
      </c>
      <c r="D51" s="11">
        <f>SUM(D44:D50)</f>
        <v/>
      </c>
      <c r="E51" s="11">
        <f>SUM(E44:E50)</f>
        <v/>
      </c>
      <c r="F51" s="11">
        <f>D51+E51</f>
        <v/>
      </c>
      <c r="G51" s="11">
        <f>SUM(G44:G50)</f>
        <v/>
      </c>
      <c r="H51" s="11">
        <f>SUM(H44:H50)</f>
        <v/>
      </c>
      <c r="I51" s="11">
        <f>G51+H51</f>
        <v/>
      </c>
      <c r="J51" s="11">
        <f>D51+G51</f>
        <v/>
      </c>
      <c r="K51" s="11">
        <f>E51+H51</f>
        <v/>
      </c>
      <c r="L51" s="11">
        <f>J51+K51</f>
        <v/>
      </c>
      <c r="M51" s="12">
        <f>IF(C51=0,0,L51/C51*100)</f>
        <v/>
      </c>
    </row>
    <row r="53">
      <c r="A53" s="13" t="inlineStr">
        <is>
          <t>Day 4 - 2026-10-08 (Thu 22 Aswin 2083)</t>
        </is>
      </c>
    </row>
    <row r="54">
      <c r="A54" s="6" t="inlineStr">
        <is>
          <t>Ward no.</t>
        </is>
      </c>
      <c r="B54" s="6" t="inlineStr">
        <is>
          <t>Total population</t>
        </is>
      </c>
      <c r="C54" s="6" t="inlineStr">
        <is>
          <t>JE target population</t>
        </is>
      </c>
      <c r="D54" s="6" t="inlineStr">
        <is>
          <t>Vaccinated</t>
        </is>
      </c>
      <c r="E54" s="6" t="n"/>
      <c r="F54" s="6" t="n"/>
      <c r="G54" s="6" t="n"/>
      <c r="H54" s="6" t="n"/>
      <c r="I54" s="6" t="n"/>
      <c r="J54" s="6" t="n"/>
      <c r="K54" s="6" t="n"/>
      <c r="L54" s="6" t="n"/>
      <c r="M54" s="6" t="inlineStr">
        <is>
          <t>Progress %</t>
        </is>
      </c>
    </row>
    <row r="55">
      <c r="A55" s="6" t="n"/>
      <c r="B55" s="6" t="n"/>
      <c r="C55" s="6" t="n"/>
      <c r="D55" s="6" t="inlineStr">
        <is>
          <t>Age 30-60 yrs</t>
        </is>
      </c>
      <c r="E55" s="6" t="n"/>
      <c r="F55" s="6" t="n"/>
      <c r="G55" s="6" t="inlineStr">
        <is>
          <t>Age 60 above</t>
        </is>
      </c>
      <c r="H55" s="6" t="n"/>
      <c r="I55" s="6" t="n"/>
      <c r="J55" s="6" t="inlineStr">
        <is>
          <t>Total</t>
        </is>
      </c>
      <c r="K55" s="6" t="n"/>
      <c r="L55" s="6" t="inlineStr">
        <is>
          <t>Grand Total</t>
        </is>
      </c>
      <c r="M55" s="6" t="n"/>
    </row>
    <row r="56">
      <c r="A56" s="6" t="n"/>
      <c r="B56" s="6" t="n"/>
      <c r="C56" s="6" t="n"/>
      <c r="D56" s="6" t="inlineStr">
        <is>
          <t>F</t>
        </is>
      </c>
      <c r="E56" s="6" t="inlineStr">
        <is>
          <t>M</t>
        </is>
      </c>
      <c r="F56" s="6" t="inlineStr">
        <is>
          <t>Total</t>
        </is>
      </c>
      <c r="G56" s="6" t="inlineStr">
        <is>
          <t>F</t>
        </is>
      </c>
      <c r="H56" s="6" t="inlineStr">
        <is>
          <t>M</t>
        </is>
      </c>
      <c r="I56" s="6" t="inlineStr">
        <is>
          <t>Total</t>
        </is>
      </c>
      <c r="J56" s="6" t="inlineStr">
        <is>
          <t>F</t>
        </is>
      </c>
      <c r="K56" s="6" t="inlineStr">
        <is>
          <t>M</t>
        </is>
      </c>
      <c r="L56" s="6" t="n"/>
      <c r="M56" s="6" t="n"/>
    </row>
    <row r="57">
      <c r="A57" s="7" t="n">
        <v>1</v>
      </c>
      <c r="B57" s="8">
        <f>B5</f>
        <v/>
      </c>
      <c r="C57" s="8">
        <f>C5</f>
        <v/>
      </c>
      <c r="D57" s="14" t="n"/>
      <c r="E57" s="14" t="n"/>
      <c r="F57" s="8">
        <f>D57+E57</f>
        <v/>
      </c>
      <c r="G57" s="14" t="n"/>
      <c r="H57" s="14" t="n"/>
      <c r="I57" s="8">
        <f>G57+H57</f>
        <v/>
      </c>
      <c r="J57" s="8">
        <f>D57+G57</f>
        <v/>
      </c>
      <c r="K57" s="8">
        <f>E57+H57</f>
        <v/>
      </c>
      <c r="L57" s="8">
        <f>J57+K57</f>
        <v/>
      </c>
      <c r="M57" s="9">
        <f>IF(C57=0,0,L57/C57*100)</f>
        <v/>
      </c>
    </row>
    <row r="58">
      <c r="A58" s="7" t="n">
        <v>2</v>
      </c>
      <c r="B58" s="8">
        <f>B6</f>
        <v/>
      </c>
      <c r="C58" s="8">
        <f>C6</f>
        <v/>
      </c>
      <c r="D58" s="14" t="n"/>
      <c r="E58" s="14" t="n"/>
      <c r="F58" s="8">
        <f>D58+E58</f>
        <v/>
      </c>
      <c r="G58" s="14" t="n"/>
      <c r="H58" s="14" t="n"/>
      <c r="I58" s="8">
        <f>G58+H58</f>
        <v/>
      </c>
      <c r="J58" s="8">
        <f>D58+G58</f>
        <v/>
      </c>
      <c r="K58" s="8">
        <f>E58+H58</f>
        <v/>
      </c>
      <c r="L58" s="8">
        <f>J58+K58</f>
        <v/>
      </c>
      <c r="M58" s="9">
        <f>IF(C58=0,0,L58/C58*100)</f>
        <v/>
      </c>
    </row>
    <row r="59">
      <c r="A59" s="7" t="n">
        <v>3</v>
      </c>
      <c r="B59" s="8">
        <f>B7</f>
        <v/>
      </c>
      <c r="C59" s="8">
        <f>C7</f>
        <v/>
      </c>
      <c r="D59" s="14" t="n"/>
      <c r="E59" s="14" t="n"/>
      <c r="F59" s="8">
        <f>D59+E59</f>
        <v/>
      </c>
      <c r="G59" s="14" t="n"/>
      <c r="H59" s="14" t="n"/>
      <c r="I59" s="8">
        <f>G59+H59</f>
        <v/>
      </c>
      <c r="J59" s="8">
        <f>D59+G59</f>
        <v/>
      </c>
      <c r="K59" s="8">
        <f>E59+H59</f>
        <v/>
      </c>
      <c r="L59" s="8">
        <f>J59+K59</f>
        <v/>
      </c>
      <c r="M59" s="9">
        <f>IF(C59=0,0,L59/C59*100)</f>
        <v/>
      </c>
    </row>
    <row r="60">
      <c r="A60" s="7" t="n">
        <v>4</v>
      </c>
      <c r="B60" s="8">
        <f>B8</f>
        <v/>
      </c>
      <c r="C60" s="8">
        <f>C8</f>
        <v/>
      </c>
      <c r="D60" s="14" t="n"/>
      <c r="E60" s="14" t="n"/>
      <c r="F60" s="8">
        <f>D60+E60</f>
        <v/>
      </c>
      <c r="G60" s="14" t="n"/>
      <c r="H60" s="14" t="n"/>
      <c r="I60" s="8">
        <f>G60+H60</f>
        <v/>
      </c>
      <c r="J60" s="8">
        <f>D60+G60</f>
        <v/>
      </c>
      <c r="K60" s="8">
        <f>E60+H60</f>
        <v/>
      </c>
      <c r="L60" s="8">
        <f>J60+K60</f>
        <v/>
      </c>
      <c r="M60" s="9">
        <f>IF(C60=0,0,L60/C60*100)</f>
        <v/>
      </c>
    </row>
    <row r="61">
      <c r="A61" s="7" t="n">
        <v>5</v>
      </c>
      <c r="B61" s="8">
        <f>B9</f>
        <v/>
      </c>
      <c r="C61" s="8">
        <f>C9</f>
        <v/>
      </c>
      <c r="D61" s="14" t="n"/>
      <c r="E61" s="14" t="n"/>
      <c r="F61" s="8">
        <f>D61+E61</f>
        <v/>
      </c>
      <c r="G61" s="14" t="n"/>
      <c r="H61" s="14" t="n"/>
      <c r="I61" s="8">
        <f>G61+H61</f>
        <v/>
      </c>
      <c r="J61" s="8">
        <f>D61+G61</f>
        <v/>
      </c>
      <c r="K61" s="8">
        <f>E61+H61</f>
        <v/>
      </c>
      <c r="L61" s="8">
        <f>J61+K61</f>
        <v/>
      </c>
      <c r="M61" s="9">
        <f>IF(C61=0,0,L61/C61*100)</f>
        <v/>
      </c>
    </row>
    <row r="62">
      <c r="A62" s="7" t="n">
        <v>6</v>
      </c>
      <c r="B62" s="8">
        <f>B10</f>
        <v/>
      </c>
      <c r="C62" s="8">
        <f>C10</f>
        <v/>
      </c>
      <c r="D62" s="14" t="n"/>
      <c r="E62" s="14" t="n"/>
      <c r="F62" s="8">
        <f>D62+E62</f>
        <v/>
      </c>
      <c r="G62" s="14" t="n"/>
      <c r="H62" s="14" t="n"/>
      <c r="I62" s="8">
        <f>G62+H62</f>
        <v/>
      </c>
      <c r="J62" s="8">
        <f>D62+G62</f>
        <v/>
      </c>
      <c r="K62" s="8">
        <f>E62+H62</f>
        <v/>
      </c>
      <c r="L62" s="8">
        <f>J62+K62</f>
        <v/>
      </c>
      <c r="M62" s="9">
        <f>IF(C62=0,0,L62/C62*100)</f>
        <v/>
      </c>
    </row>
    <row r="63">
      <c r="A63" s="7" t="n">
        <v>7</v>
      </c>
      <c r="B63" s="8">
        <f>B11</f>
        <v/>
      </c>
      <c r="C63" s="8">
        <f>C11</f>
        <v/>
      </c>
      <c r="D63" s="14" t="n"/>
      <c r="E63" s="14" t="n"/>
      <c r="F63" s="8">
        <f>D63+E63</f>
        <v/>
      </c>
      <c r="G63" s="14" t="n"/>
      <c r="H63" s="14" t="n"/>
      <c r="I63" s="8">
        <f>G63+H63</f>
        <v/>
      </c>
      <c r="J63" s="8">
        <f>D63+G63</f>
        <v/>
      </c>
      <c r="K63" s="8">
        <f>E63+H63</f>
        <v/>
      </c>
      <c r="L63" s="8">
        <f>J63+K63</f>
        <v/>
      </c>
      <c r="M63" s="9">
        <f>IF(C63=0,0,L63/C63*100)</f>
        <v/>
      </c>
    </row>
    <row r="64">
      <c r="A64" s="10" t="inlineStr">
        <is>
          <t>Total</t>
        </is>
      </c>
      <c r="B64" s="11">
        <f>SUM(B57:B63)</f>
        <v/>
      </c>
      <c r="C64" s="11">
        <f>SUM(C57:C63)</f>
        <v/>
      </c>
      <c r="D64" s="11">
        <f>SUM(D57:D63)</f>
        <v/>
      </c>
      <c r="E64" s="11">
        <f>SUM(E57:E63)</f>
        <v/>
      </c>
      <c r="F64" s="11">
        <f>D64+E64</f>
        <v/>
      </c>
      <c r="G64" s="11">
        <f>SUM(G57:G63)</f>
        <v/>
      </c>
      <c r="H64" s="11">
        <f>SUM(H57:H63)</f>
        <v/>
      </c>
      <c r="I64" s="11">
        <f>G64+H64</f>
        <v/>
      </c>
      <c r="J64" s="11">
        <f>D64+G64</f>
        <v/>
      </c>
      <c r="K64" s="11">
        <f>E64+H64</f>
        <v/>
      </c>
      <c r="L64" s="11">
        <f>J64+K64</f>
        <v/>
      </c>
      <c r="M64" s="12">
        <f>IF(C64=0,0,L64/C64*100)</f>
        <v/>
      </c>
    </row>
    <row r="66">
      <c r="A66" s="13" t="inlineStr">
        <is>
          <t>Day 5 - 2026-10-09 (Fri 23 Aswin 2083)</t>
        </is>
      </c>
    </row>
    <row r="67">
      <c r="A67" s="6" t="inlineStr">
        <is>
          <t>Ward no.</t>
        </is>
      </c>
      <c r="B67" s="6" t="inlineStr">
        <is>
          <t>Total population</t>
        </is>
      </c>
      <c r="C67" s="6" t="inlineStr">
        <is>
          <t>JE target population</t>
        </is>
      </c>
      <c r="D67" s="6" t="inlineStr">
        <is>
          <t>Vaccinated</t>
        </is>
      </c>
      <c r="E67" s="6" t="n"/>
      <c r="F67" s="6" t="n"/>
      <c r="G67" s="6" t="n"/>
      <c r="H67" s="6" t="n"/>
      <c r="I67" s="6" t="n"/>
      <c r="J67" s="6" t="n"/>
      <c r="K67" s="6" t="n"/>
      <c r="L67" s="6" t="n"/>
      <c r="M67" s="6" t="inlineStr">
        <is>
          <t>Progress %</t>
        </is>
      </c>
    </row>
    <row r="68">
      <c r="A68" s="6" t="n"/>
      <c r="B68" s="6" t="n"/>
      <c r="C68" s="6" t="n"/>
      <c r="D68" s="6" t="inlineStr">
        <is>
          <t>Age 30-60 yrs</t>
        </is>
      </c>
      <c r="E68" s="6" t="n"/>
      <c r="F68" s="6" t="n"/>
      <c r="G68" s="6" t="inlineStr">
        <is>
          <t>Age 60 above</t>
        </is>
      </c>
      <c r="H68" s="6" t="n"/>
      <c r="I68" s="6" t="n"/>
      <c r="J68" s="6" t="inlineStr">
        <is>
          <t>Total</t>
        </is>
      </c>
      <c r="K68" s="6" t="n"/>
      <c r="L68" s="6" t="inlineStr">
        <is>
          <t>Grand Total</t>
        </is>
      </c>
      <c r="M68" s="6" t="n"/>
    </row>
    <row r="69">
      <c r="A69" s="6" t="n"/>
      <c r="B69" s="6" t="n"/>
      <c r="C69" s="6" t="n"/>
      <c r="D69" s="6" t="inlineStr">
        <is>
          <t>F</t>
        </is>
      </c>
      <c r="E69" s="6" t="inlineStr">
        <is>
          <t>M</t>
        </is>
      </c>
      <c r="F69" s="6" t="inlineStr">
        <is>
          <t>Total</t>
        </is>
      </c>
      <c r="G69" s="6" t="inlineStr">
        <is>
          <t>F</t>
        </is>
      </c>
      <c r="H69" s="6" t="inlineStr">
        <is>
          <t>M</t>
        </is>
      </c>
      <c r="I69" s="6" t="inlineStr">
        <is>
          <t>Total</t>
        </is>
      </c>
      <c r="J69" s="6" t="inlineStr">
        <is>
          <t>F</t>
        </is>
      </c>
      <c r="K69" s="6" t="inlineStr">
        <is>
          <t>M</t>
        </is>
      </c>
      <c r="L69" s="6" t="n"/>
      <c r="M69" s="6" t="n"/>
    </row>
    <row r="70">
      <c r="A70" s="7" t="n">
        <v>1</v>
      </c>
      <c r="B70" s="8">
        <f>B5</f>
        <v/>
      </c>
      <c r="C70" s="8">
        <f>C5</f>
        <v/>
      </c>
      <c r="D70" s="14" t="n"/>
      <c r="E70" s="14" t="n"/>
      <c r="F70" s="8">
        <f>D70+E70</f>
        <v/>
      </c>
      <c r="G70" s="14" t="n"/>
      <c r="H70" s="14" t="n"/>
      <c r="I70" s="8">
        <f>G70+H70</f>
        <v/>
      </c>
      <c r="J70" s="8">
        <f>D70+G70</f>
        <v/>
      </c>
      <c r="K70" s="8">
        <f>E70+H70</f>
        <v/>
      </c>
      <c r="L70" s="8">
        <f>J70+K70</f>
        <v/>
      </c>
      <c r="M70" s="9">
        <f>IF(C70=0,0,L70/C70*100)</f>
        <v/>
      </c>
    </row>
    <row r="71">
      <c r="A71" s="7" t="n">
        <v>2</v>
      </c>
      <c r="B71" s="8">
        <f>B6</f>
        <v/>
      </c>
      <c r="C71" s="8">
        <f>C6</f>
        <v/>
      </c>
      <c r="D71" s="14" t="n"/>
      <c r="E71" s="14" t="n"/>
      <c r="F71" s="8">
        <f>D71+E71</f>
        <v/>
      </c>
      <c r="G71" s="14" t="n"/>
      <c r="H71" s="14" t="n"/>
      <c r="I71" s="8">
        <f>G71+H71</f>
        <v/>
      </c>
      <c r="J71" s="8">
        <f>D71+G71</f>
        <v/>
      </c>
      <c r="K71" s="8">
        <f>E71+H71</f>
        <v/>
      </c>
      <c r="L71" s="8">
        <f>J71+K71</f>
        <v/>
      </c>
      <c r="M71" s="9">
        <f>IF(C71=0,0,L71/C71*100)</f>
        <v/>
      </c>
    </row>
    <row r="72">
      <c r="A72" s="7" t="n">
        <v>3</v>
      </c>
      <c r="B72" s="8">
        <f>B7</f>
        <v/>
      </c>
      <c r="C72" s="8">
        <f>C7</f>
        <v/>
      </c>
      <c r="D72" s="14" t="n"/>
      <c r="E72" s="14" t="n"/>
      <c r="F72" s="8">
        <f>D72+E72</f>
        <v/>
      </c>
      <c r="G72" s="14" t="n"/>
      <c r="H72" s="14" t="n"/>
      <c r="I72" s="8">
        <f>G72+H72</f>
        <v/>
      </c>
      <c r="J72" s="8">
        <f>D72+G72</f>
        <v/>
      </c>
      <c r="K72" s="8">
        <f>E72+H72</f>
        <v/>
      </c>
      <c r="L72" s="8">
        <f>J72+K72</f>
        <v/>
      </c>
      <c r="M72" s="9">
        <f>IF(C72=0,0,L72/C72*100)</f>
        <v/>
      </c>
    </row>
    <row r="73">
      <c r="A73" s="7" t="n">
        <v>4</v>
      </c>
      <c r="B73" s="8">
        <f>B8</f>
        <v/>
      </c>
      <c r="C73" s="8">
        <f>C8</f>
        <v/>
      </c>
      <c r="D73" s="14" t="n"/>
      <c r="E73" s="14" t="n"/>
      <c r="F73" s="8">
        <f>D73+E73</f>
        <v/>
      </c>
      <c r="G73" s="14" t="n"/>
      <c r="H73" s="14" t="n"/>
      <c r="I73" s="8">
        <f>G73+H73</f>
        <v/>
      </c>
      <c r="J73" s="8">
        <f>D73+G73</f>
        <v/>
      </c>
      <c r="K73" s="8">
        <f>E73+H73</f>
        <v/>
      </c>
      <c r="L73" s="8">
        <f>J73+K73</f>
        <v/>
      </c>
      <c r="M73" s="9">
        <f>IF(C73=0,0,L73/C73*100)</f>
        <v/>
      </c>
    </row>
    <row r="74">
      <c r="A74" s="7" t="n">
        <v>5</v>
      </c>
      <c r="B74" s="8">
        <f>B9</f>
        <v/>
      </c>
      <c r="C74" s="8">
        <f>C9</f>
        <v/>
      </c>
      <c r="D74" s="14" t="n"/>
      <c r="E74" s="14" t="n"/>
      <c r="F74" s="8">
        <f>D74+E74</f>
        <v/>
      </c>
      <c r="G74" s="14" t="n"/>
      <c r="H74" s="14" t="n"/>
      <c r="I74" s="8">
        <f>G74+H74</f>
        <v/>
      </c>
      <c r="J74" s="8">
        <f>D74+G74</f>
        <v/>
      </c>
      <c r="K74" s="8">
        <f>E74+H74</f>
        <v/>
      </c>
      <c r="L74" s="8">
        <f>J74+K74</f>
        <v/>
      </c>
      <c r="M74" s="9">
        <f>IF(C74=0,0,L74/C74*100)</f>
        <v/>
      </c>
    </row>
    <row r="75">
      <c r="A75" s="7" t="n">
        <v>6</v>
      </c>
      <c r="B75" s="8">
        <f>B10</f>
        <v/>
      </c>
      <c r="C75" s="8">
        <f>C10</f>
        <v/>
      </c>
      <c r="D75" s="14" t="n"/>
      <c r="E75" s="14" t="n"/>
      <c r="F75" s="8">
        <f>D75+E75</f>
        <v/>
      </c>
      <c r="G75" s="14" t="n"/>
      <c r="H75" s="14" t="n"/>
      <c r="I75" s="8">
        <f>G75+H75</f>
        <v/>
      </c>
      <c r="J75" s="8">
        <f>D75+G75</f>
        <v/>
      </c>
      <c r="K75" s="8">
        <f>E75+H75</f>
        <v/>
      </c>
      <c r="L75" s="8">
        <f>J75+K75</f>
        <v/>
      </c>
      <c r="M75" s="9">
        <f>IF(C75=0,0,L75/C75*100)</f>
        <v/>
      </c>
    </row>
    <row r="76">
      <c r="A76" s="7" t="n">
        <v>7</v>
      </c>
      <c r="B76" s="8">
        <f>B11</f>
        <v/>
      </c>
      <c r="C76" s="8">
        <f>C11</f>
        <v/>
      </c>
      <c r="D76" s="14" t="n"/>
      <c r="E76" s="14" t="n"/>
      <c r="F76" s="8">
        <f>D76+E76</f>
        <v/>
      </c>
      <c r="G76" s="14" t="n"/>
      <c r="H76" s="14" t="n"/>
      <c r="I76" s="8">
        <f>G76+H76</f>
        <v/>
      </c>
      <c r="J76" s="8">
        <f>D76+G76</f>
        <v/>
      </c>
      <c r="K76" s="8">
        <f>E76+H76</f>
        <v/>
      </c>
      <c r="L76" s="8">
        <f>J76+K76</f>
        <v/>
      </c>
      <c r="M76" s="9">
        <f>IF(C76=0,0,L76/C76*100)</f>
        <v/>
      </c>
    </row>
    <row r="77">
      <c r="A77" s="10" t="inlineStr">
        <is>
          <t>Total</t>
        </is>
      </c>
      <c r="B77" s="11">
        <f>SUM(B70:B76)</f>
        <v/>
      </c>
      <c r="C77" s="11">
        <f>SUM(C70:C76)</f>
        <v/>
      </c>
      <c r="D77" s="11">
        <f>SUM(D70:D76)</f>
        <v/>
      </c>
      <c r="E77" s="11">
        <f>SUM(E70:E76)</f>
        <v/>
      </c>
      <c r="F77" s="11">
        <f>D77+E77</f>
        <v/>
      </c>
      <c r="G77" s="11">
        <f>SUM(G70:G76)</f>
        <v/>
      </c>
      <c r="H77" s="11">
        <f>SUM(H70:H76)</f>
        <v/>
      </c>
      <c r="I77" s="11">
        <f>G77+H77</f>
        <v/>
      </c>
      <c r="J77" s="11">
        <f>D77+G77</f>
        <v/>
      </c>
      <c r="K77" s="11">
        <f>E77+H77</f>
        <v/>
      </c>
      <c r="L77" s="11">
        <f>J77+K77</f>
        <v/>
      </c>
      <c r="M77" s="12">
        <f>IF(C77=0,0,L77/C77*100)</f>
        <v/>
      </c>
    </row>
    <row r="79">
      <c r="A79" s="13" t="inlineStr">
        <is>
          <t>Day 6 - 2026-10-10 (Sat 24 Aswin 2083)</t>
        </is>
      </c>
    </row>
    <row r="80">
      <c r="A80" s="6" t="inlineStr">
        <is>
          <t>Ward no.</t>
        </is>
      </c>
      <c r="B80" s="6" t="inlineStr">
        <is>
          <t>Total population</t>
        </is>
      </c>
      <c r="C80" s="6" t="inlineStr">
        <is>
          <t>JE target population</t>
        </is>
      </c>
      <c r="D80" s="6" t="inlineStr">
        <is>
          <t>Vaccinated</t>
        </is>
      </c>
      <c r="E80" s="6" t="n"/>
      <c r="F80" s="6" t="n"/>
      <c r="G80" s="6" t="n"/>
      <c r="H80" s="6" t="n"/>
      <c r="I80" s="6" t="n"/>
      <c r="J80" s="6" t="n"/>
      <c r="K80" s="6" t="n"/>
      <c r="L80" s="6" t="n"/>
      <c r="M80" s="6" t="inlineStr">
        <is>
          <t>Progress %</t>
        </is>
      </c>
    </row>
    <row r="81">
      <c r="A81" s="6" t="n"/>
      <c r="B81" s="6" t="n"/>
      <c r="C81" s="6" t="n"/>
      <c r="D81" s="6" t="inlineStr">
        <is>
          <t>Age 30-60 yrs</t>
        </is>
      </c>
      <c r="E81" s="6" t="n"/>
      <c r="F81" s="6" t="n"/>
      <c r="G81" s="6" t="inlineStr">
        <is>
          <t>Age 60 above</t>
        </is>
      </c>
      <c r="H81" s="6" t="n"/>
      <c r="I81" s="6" t="n"/>
      <c r="J81" s="6" t="inlineStr">
        <is>
          <t>Total</t>
        </is>
      </c>
      <c r="K81" s="6" t="n"/>
      <c r="L81" s="6" t="inlineStr">
        <is>
          <t>Grand Total</t>
        </is>
      </c>
      <c r="M81" s="6" t="n"/>
    </row>
    <row r="82">
      <c r="A82" s="6" t="n"/>
      <c r="B82" s="6" t="n"/>
      <c r="C82" s="6" t="n"/>
      <c r="D82" s="6" t="inlineStr">
        <is>
          <t>F</t>
        </is>
      </c>
      <c r="E82" s="6" t="inlineStr">
        <is>
          <t>M</t>
        </is>
      </c>
      <c r="F82" s="6" t="inlineStr">
        <is>
          <t>Total</t>
        </is>
      </c>
      <c r="G82" s="6" t="inlineStr">
        <is>
          <t>F</t>
        </is>
      </c>
      <c r="H82" s="6" t="inlineStr">
        <is>
          <t>M</t>
        </is>
      </c>
      <c r="I82" s="6" t="inlineStr">
        <is>
          <t>Total</t>
        </is>
      </c>
      <c r="J82" s="6" t="inlineStr">
        <is>
          <t>F</t>
        </is>
      </c>
      <c r="K82" s="6" t="inlineStr">
        <is>
          <t>M</t>
        </is>
      </c>
      <c r="L82" s="6" t="n"/>
      <c r="M82" s="6" t="n"/>
    </row>
    <row r="83">
      <c r="A83" s="7" t="n">
        <v>1</v>
      </c>
      <c r="B83" s="8">
        <f>B5</f>
        <v/>
      </c>
      <c r="C83" s="8">
        <f>C5</f>
        <v/>
      </c>
      <c r="D83" s="14" t="n"/>
      <c r="E83" s="14" t="n"/>
      <c r="F83" s="8">
        <f>D83+E83</f>
        <v/>
      </c>
      <c r="G83" s="14" t="n"/>
      <c r="H83" s="14" t="n"/>
      <c r="I83" s="8">
        <f>G83+H83</f>
        <v/>
      </c>
      <c r="J83" s="8">
        <f>D83+G83</f>
        <v/>
      </c>
      <c r="K83" s="8">
        <f>E83+H83</f>
        <v/>
      </c>
      <c r="L83" s="8">
        <f>J83+K83</f>
        <v/>
      </c>
      <c r="M83" s="9">
        <f>IF(C83=0,0,L83/C83*100)</f>
        <v/>
      </c>
    </row>
    <row r="84">
      <c r="A84" s="7" t="n">
        <v>2</v>
      </c>
      <c r="B84" s="8">
        <f>B6</f>
        <v/>
      </c>
      <c r="C84" s="8">
        <f>C6</f>
        <v/>
      </c>
      <c r="D84" s="14" t="n"/>
      <c r="E84" s="14" t="n"/>
      <c r="F84" s="8">
        <f>D84+E84</f>
        <v/>
      </c>
      <c r="G84" s="14" t="n"/>
      <c r="H84" s="14" t="n"/>
      <c r="I84" s="8">
        <f>G84+H84</f>
        <v/>
      </c>
      <c r="J84" s="8">
        <f>D84+G84</f>
        <v/>
      </c>
      <c r="K84" s="8">
        <f>E84+H84</f>
        <v/>
      </c>
      <c r="L84" s="8">
        <f>J84+K84</f>
        <v/>
      </c>
      <c r="M84" s="9">
        <f>IF(C84=0,0,L84/C84*100)</f>
        <v/>
      </c>
    </row>
    <row r="85">
      <c r="A85" s="7" t="n">
        <v>3</v>
      </c>
      <c r="B85" s="8">
        <f>B7</f>
        <v/>
      </c>
      <c r="C85" s="8">
        <f>C7</f>
        <v/>
      </c>
      <c r="D85" s="14" t="n"/>
      <c r="E85" s="14" t="n"/>
      <c r="F85" s="8">
        <f>D85+E85</f>
        <v/>
      </c>
      <c r="G85" s="14" t="n"/>
      <c r="H85" s="14" t="n"/>
      <c r="I85" s="8">
        <f>G85+H85</f>
        <v/>
      </c>
      <c r="J85" s="8">
        <f>D85+G85</f>
        <v/>
      </c>
      <c r="K85" s="8">
        <f>E85+H85</f>
        <v/>
      </c>
      <c r="L85" s="8">
        <f>J85+K85</f>
        <v/>
      </c>
      <c r="M85" s="9">
        <f>IF(C85=0,0,L85/C85*100)</f>
        <v/>
      </c>
    </row>
    <row r="86">
      <c r="A86" s="7" t="n">
        <v>4</v>
      </c>
      <c r="B86" s="8">
        <f>B8</f>
        <v/>
      </c>
      <c r="C86" s="8">
        <f>C8</f>
        <v/>
      </c>
      <c r="D86" s="14" t="n"/>
      <c r="E86" s="14" t="n"/>
      <c r="F86" s="8">
        <f>D86+E86</f>
        <v/>
      </c>
      <c r="G86" s="14" t="n"/>
      <c r="H86" s="14" t="n"/>
      <c r="I86" s="8">
        <f>G86+H86</f>
        <v/>
      </c>
      <c r="J86" s="8">
        <f>D86+G86</f>
        <v/>
      </c>
      <c r="K86" s="8">
        <f>E86+H86</f>
        <v/>
      </c>
      <c r="L86" s="8">
        <f>J86+K86</f>
        <v/>
      </c>
      <c r="M86" s="9">
        <f>IF(C86=0,0,L86/C86*100)</f>
        <v/>
      </c>
    </row>
    <row r="87">
      <c r="A87" s="7" t="n">
        <v>5</v>
      </c>
      <c r="B87" s="8">
        <f>B9</f>
        <v/>
      </c>
      <c r="C87" s="8">
        <f>C9</f>
        <v/>
      </c>
      <c r="D87" s="14" t="n"/>
      <c r="E87" s="14" t="n"/>
      <c r="F87" s="8">
        <f>D87+E87</f>
        <v/>
      </c>
      <c r="G87" s="14" t="n"/>
      <c r="H87" s="14" t="n"/>
      <c r="I87" s="8">
        <f>G87+H87</f>
        <v/>
      </c>
      <c r="J87" s="8">
        <f>D87+G87</f>
        <v/>
      </c>
      <c r="K87" s="8">
        <f>E87+H87</f>
        <v/>
      </c>
      <c r="L87" s="8">
        <f>J87+K87</f>
        <v/>
      </c>
      <c r="M87" s="9">
        <f>IF(C87=0,0,L87/C87*100)</f>
        <v/>
      </c>
    </row>
    <row r="88">
      <c r="A88" s="7" t="n">
        <v>6</v>
      </c>
      <c r="B88" s="8">
        <f>B10</f>
        <v/>
      </c>
      <c r="C88" s="8">
        <f>C10</f>
        <v/>
      </c>
      <c r="D88" s="14" t="n"/>
      <c r="E88" s="14" t="n"/>
      <c r="F88" s="8">
        <f>D88+E88</f>
        <v/>
      </c>
      <c r="G88" s="14" t="n"/>
      <c r="H88" s="14" t="n"/>
      <c r="I88" s="8">
        <f>G88+H88</f>
        <v/>
      </c>
      <c r="J88" s="8">
        <f>D88+G88</f>
        <v/>
      </c>
      <c r="K88" s="8">
        <f>E88+H88</f>
        <v/>
      </c>
      <c r="L88" s="8">
        <f>J88+K88</f>
        <v/>
      </c>
      <c r="M88" s="9">
        <f>IF(C88=0,0,L88/C88*100)</f>
        <v/>
      </c>
    </row>
    <row r="89">
      <c r="A89" s="7" t="n">
        <v>7</v>
      </c>
      <c r="B89" s="8">
        <f>B11</f>
        <v/>
      </c>
      <c r="C89" s="8">
        <f>C11</f>
        <v/>
      </c>
      <c r="D89" s="14" t="n"/>
      <c r="E89" s="14" t="n"/>
      <c r="F89" s="8">
        <f>D89+E89</f>
        <v/>
      </c>
      <c r="G89" s="14" t="n"/>
      <c r="H89" s="14" t="n"/>
      <c r="I89" s="8">
        <f>G89+H89</f>
        <v/>
      </c>
      <c r="J89" s="8">
        <f>D89+G89</f>
        <v/>
      </c>
      <c r="K89" s="8">
        <f>E89+H89</f>
        <v/>
      </c>
      <c r="L89" s="8">
        <f>J89+K89</f>
        <v/>
      </c>
      <c r="M89" s="9">
        <f>IF(C89=0,0,L89/C89*100)</f>
        <v/>
      </c>
    </row>
    <row r="90">
      <c r="A90" s="10" t="inlineStr">
        <is>
          <t>Total</t>
        </is>
      </c>
      <c r="B90" s="11">
        <f>SUM(B83:B89)</f>
        <v/>
      </c>
      <c r="C90" s="11">
        <f>SUM(C83:C89)</f>
        <v/>
      </c>
      <c r="D90" s="11">
        <f>SUM(D83:D89)</f>
        <v/>
      </c>
      <c r="E90" s="11">
        <f>SUM(E83:E89)</f>
        <v/>
      </c>
      <c r="F90" s="11">
        <f>D90+E90</f>
        <v/>
      </c>
      <c r="G90" s="11">
        <f>SUM(G83:G89)</f>
        <v/>
      </c>
      <c r="H90" s="11">
        <f>SUM(H83:H89)</f>
        <v/>
      </c>
      <c r="I90" s="11">
        <f>G90+H90</f>
        <v/>
      </c>
      <c r="J90" s="11">
        <f>D90+G90</f>
        <v/>
      </c>
      <c r="K90" s="11">
        <f>E90+H90</f>
        <v/>
      </c>
      <c r="L90" s="11">
        <f>J90+K90</f>
        <v/>
      </c>
      <c r="M90" s="12">
        <f>IF(C90=0,0,L90/C90*100)</f>
        <v/>
      </c>
    </row>
    <row r="92">
      <c r="A92" s="13" t="inlineStr">
        <is>
          <t>Day 7 - 2026-10-11 (Sun 25 Aswin 2083)</t>
        </is>
      </c>
    </row>
    <row r="93">
      <c r="A93" s="6" t="inlineStr">
        <is>
          <t>Ward no.</t>
        </is>
      </c>
      <c r="B93" s="6" t="inlineStr">
        <is>
          <t>Total population</t>
        </is>
      </c>
      <c r="C93" s="6" t="inlineStr">
        <is>
          <t>JE target population</t>
        </is>
      </c>
      <c r="D93" s="6" t="inlineStr">
        <is>
          <t>Vaccinated</t>
        </is>
      </c>
      <c r="E93" s="6" t="n"/>
      <c r="F93" s="6" t="n"/>
      <c r="G93" s="6" t="n"/>
      <c r="H93" s="6" t="n"/>
      <c r="I93" s="6" t="n"/>
      <c r="J93" s="6" t="n"/>
      <c r="K93" s="6" t="n"/>
      <c r="L93" s="6" t="n"/>
      <c r="M93" s="6" t="inlineStr">
        <is>
          <t>Progress %</t>
        </is>
      </c>
    </row>
    <row r="94">
      <c r="A94" s="6" t="n"/>
      <c r="B94" s="6" t="n"/>
      <c r="C94" s="6" t="n"/>
      <c r="D94" s="6" t="inlineStr">
        <is>
          <t>Age 30-60 yrs</t>
        </is>
      </c>
      <c r="E94" s="6" t="n"/>
      <c r="F94" s="6" t="n"/>
      <c r="G94" s="6" t="inlineStr">
        <is>
          <t>Age 60 above</t>
        </is>
      </c>
      <c r="H94" s="6" t="n"/>
      <c r="I94" s="6" t="n"/>
      <c r="J94" s="6" t="inlineStr">
        <is>
          <t>Total</t>
        </is>
      </c>
      <c r="K94" s="6" t="n"/>
      <c r="L94" s="6" t="inlineStr">
        <is>
          <t>Grand Total</t>
        </is>
      </c>
      <c r="M94" s="6" t="n"/>
    </row>
    <row r="95">
      <c r="A95" s="6" t="n"/>
      <c r="B95" s="6" t="n"/>
      <c r="C95" s="6" t="n"/>
      <c r="D95" s="6" t="inlineStr">
        <is>
          <t>F</t>
        </is>
      </c>
      <c r="E95" s="6" t="inlineStr">
        <is>
          <t>M</t>
        </is>
      </c>
      <c r="F95" s="6" t="inlineStr">
        <is>
          <t>Total</t>
        </is>
      </c>
      <c r="G95" s="6" t="inlineStr">
        <is>
          <t>F</t>
        </is>
      </c>
      <c r="H95" s="6" t="inlineStr">
        <is>
          <t>M</t>
        </is>
      </c>
      <c r="I95" s="6" t="inlineStr">
        <is>
          <t>Total</t>
        </is>
      </c>
      <c r="J95" s="6" t="inlineStr">
        <is>
          <t>F</t>
        </is>
      </c>
      <c r="K95" s="6" t="inlineStr">
        <is>
          <t>M</t>
        </is>
      </c>
      <c r="L95" s="6" t="n"/>
      <c r="M95" s="6" t="n"/>
    </row>
    <row r="96">
      <c r="A96" s="7" t="n">
        <v>1</v>
      </c>
      <c r="B96" s="8">
        <f>B5</f>
        <v/>
      </c>
      <c r="C96" s="8">
        <f>C5</f>
        <v/>
      </c>
      <c r="D96" s="14" t="n"/>
      <c r="E96" s="14" t="n"/>
      <c r="F96" s="8">
        <f>D96+E96</f>
        <v/>
      </c>
      <c r="G96" s="14" t="n"/>
      <c r="H96" s="14" t="n"/>
      <c r="I96" s="8">
        <f>G96+H96</f>
        <v/>
      </c>
      <c r="J96" s="8">
        <f>D96+G96</f>
        <v/>
      </c>
      <c r="K96" s="8">
        <f>E96+H96</f>
        <v/>
      </c>
      <c r="L96" s="8">
        <f>J96+K96</f>
        <v/>
      </c>
      <c r="M96" s="9">
        <f>IF(C96=0,0,L96/C96*100)</f>
        <v/>
      </c>
    </row>
    <row r="97">
      <c r="A97" s="7" t="n">
        <v>2</v>
      </c>
      <c r="B97" s="8">
        <f>B6</f>
        <v/>
      </c>
      <c r="C97" s="8">
        <f>C6</f>
        <v/>
      </c>
      <c r="D97" s="14" t="n"/>
      <c r="E97" s="14" t="n"/>
      <c r="F97" s="8">
        <f>D97+E97</f>
        <v/>
      </c>
      <c r="G97" s="14" t="n"/>
      <c r="H97" s="14" t="n"/>
      <c r="I97" s="8">
        <f>G97+H97</f>
        <v/>
      </c>
      <c r="J97" s="8">
        <f>D97+G97</f>
        <v/>
      </c>
      <c r="K97" s="8">
        <f>E97+H97</f>
        <v/>
      </c>
      <c r="L97" s="8">
        <f>J97+K97</f>
        <v/>
      </c>
      <c r="M97" s="9">
        <f>IF(C97=0,0,L97/C97*100)</f>
        <v/>
      </c>
    </row>
    <row r="98">
      <c r="A98" s="7" t="n">
        <v>3</v>
      </c>
      <c r="B98" s="8">
        <f>B7</f>
        <v/>
      </c>
      <c r="C98" s="8">
        <f>C7</f>
        <v/>
      </c>
      <c r="D98" s="14" t="n"/>
      <c r="E98" s="14" t="n"/>
      <c r="F98" s="8">
        <f>D98+E98</f>
        <v/>
      </c>
      <c r="G98" s="14" t="n"/>
      <c r="H98" s="14" t="n"/>
      <c r="I98" s="8">
        <f>G98+H98</f>
        <v/>
      </c>
      <c r="J98" s="8">
        <f>D98+G98</f>
        <v/>
      </c>
      <c r="K98" s="8">
        <f>E98+H98</f>
        <v/>
      </c>
      <c r="L98" s="8">
        <f>J98+K98</f>
        <v/>
      </c>
      <c r="M98" s="9">
        <f>IF(C98=0,0,L98/C98*100)</f>
        <v/>
      </c>
    </row>
    <row r="99">
      <c r="A99" s="7" t="n">
        <v>4</v>
      </c>
      <c r="B99" s="8">
        <f>B8</f>
        <v/>
      </c>
      <c r="C99" s="8">
        <f>C8</f>
        <v/>
      </c>
      <c r="D99" s="14" t="n"/>
      <c r="E99" s="14" t="n"/>
      <c r="F99" s="8">
        <f>D99+E99</f>
        <v/>
      </c>
      <c r="G99" s="14" t="n"/>
      <c r="H99" s="14" t="n"/>
      <c r="I99" s="8">
        <f>G99+H99</f>
        <v/>
      </c>
      <c r="J99" s="8">
        <f>D99+G99</f>
        <v/>
      </c>
      <c r="K99" s="8">
        <f>E99+H99</f>
        <v/>
      </c>
      <c r="L99" s="8">
        <f>J99+K99</f>
        <v/>
      </c>
      <c r="M99" s="9">
        <f>IF(C99=0,0,L99/C99*100)</f>
        <v/>
      </c>
    </row>
    <row r="100">
      <c r="A100" s="7" t="n">
        <v>5</v>
      </c>
      <c r="B100" s="8">
        <f>B9</f>
        <v/>
      </c>
      <c r="C100" s="8">
        <f>C9</f>
        <v/>
      </c>
      <c r="D100" s="14" t="n"/>
      <c r="E100" s="14" t="n"/>
      <c r="F100" s="8">
        <f>D100+E100</f>
        <v/>
      </c>
      <c r="G100" s="14" t="n"/>
      <c r="H100" s="14" t="n"/>
      <c r="I100" s="8">
        <f>G100+H100</f>
        <v/>
      </c>
      <c r="J100" s="8">
        <f>D100+G100</f>
        <v/>
      </c>
      <c r="K100" s="8">
        <f>E100+H100</f>
        <v/>
      </c>
      <c r="L100" s="8">
        <f>J100+K100</f>
        <v/>
      </c>
      <c r="M100" s="9">
        <f>IF(C100=0,0,L100/C100*100)</f>
        <v/>
      </c>
    </row>
    <row r="101">
      <c r="A101" s="7" t="n">
        <v>6</v>
      </c>
      <c r="B101" s="8">
        <f>B10</f>
        <v/>
      </c>
      <c r="C101" s="8">
        <f>C10</f>
        <v/>
      </c>
      <c r="D101" s="14" t="n"/>
      <c r="E101" s="14" t="n"/>
      <c r="F101" s="8">
        <f>D101+E101</f>
        <v/>
      </c>
      <c r="G101" s="14" t="n"/>
      <c r="H101" s="14" t="n"/>
      <c r="I101" s="8">
        <f>G101+H101</f>
        <v/>
      </c>
      <c r="J101" s="8">
        <f>D101+G101</f>
        <v/>
      </c>
      <c r="K101" s="8">
        <f>E101+H101</f>
        <v/>
      </c>
      <c r="L101" s="8">
        <f>J101+K101</f>
        <v/>
      </c>
      <c r="M101" s="9">
        <f>IF(C101=0,0,L101/C101*100)</f>
        <v/>
      </c>
    </row>
    <row r="102">
      <c r="A102" s="7" t="n">
        <v>7</v>
      </c>
      <c r="B102" s="8">
        <f>B11</f>
        <v/>
      </c>
      <c r="C102" s="8">
        <f>C11</f>
        <v/>
      </c>
      <c r="D102" s="14" t="n"/>
      <c r="E102" s="14" t="n"/>
      <c r="F102" s="8">
        <f>D102+E102</f>
        <v/>
      </c>
      <c r="G102" s="14" t="n"/>
      <c r="H102" s="14" t="n"/>
      <c r="I102" s="8">
        <f>G102+H102</f>
        <v/>
      </c>
      <c r="J102" s="8">
        <f>D102+G102</f>
        <v/>
      </c>
      <c r="K102" s="8">
        <f>E102+H102</f>
        <v/>
      </c>
      <c r="L102" s="8">
        <f>J102+K102</f>
        <v/>
      </c>
      <c r="M102" s="9">
        <f>IF(C102=0,0,L102/C102*100)</f>
        <v/>
      </c>
    </row>
    <row r="103">
      <c r="A103" s="10" t="inlineStr">
        <is>
          <t>Total</t>
        </is>
      </c>
      <c r="B103" s="11">
        <f>SUM(B96:B102)</f>
        <v/>
      </c>
      <c r="C103" s="11">
        <f>SUM(C96:C102)</f>
        <v/>
      </c>
      <c r="D103" s="11">
        <f>SUM(D96:D102)</f>
        <v/>
      </c>
      <c r="E103" s="11">
        <f>SUM(E96:E102)</f>
        <v/>
      </c>
      <c r="F103" s="11">
        <f>D103+E103</f>
        <v/>
      </c>
      <c r="G103" s="11">
        <f>SUM(G96:G102)</f>
        <v/>
      </c>
      <c r="H103" s="11">
        <f>SUM(H96:H102)</f>
        <v/>
      </c>
      <c r="I103" s="11">
        <f>G103+H103</f>
        <v/>
      </c>
      <c r="J103" s="11">
        <f>D103+G103</f>
        <v/>
      </c>
      <c r="K103" s="11">
        <f>E103+H103</f>
        <v/>
      </c>
      <c r="L103" s="11">
        <f>J103+K103</f>
        <v/>
      </c>
      <c r="M103" s="12">
        <f>IF(C103=0,0,L103/C103*100)</f>
        <v/>
      </c>
    </row>
    <row r="105">
      <c r="A105" s="13" t="inlineStr">
        <is>
          <t>Day 8 - 2026-10-12 (Mon 26 Aswin 2083)</t>
        </is>
      </c>
    </row>
    <row r="106">
      <c r="A106" s="6" t="inlineStr">
        <is>
          <t>Ward no.</t>
        </is>
      </c>
      <c r="B106" s="6" t="inlineStr">
        <is>
          <t>Total population</t>
        </is>
      </c>
      <c r="C106" s="6" t="inlineStr">
        <is>
          <t>JE target population</t>
        </is>
      </c>
      <c r="D106" s="6" t="inlineStr">
        <is>
          <t>Vaccinated</t>
        </is>
      </c>
      <c r="E106" s="6" t="n"/>
      <c r="F106" s="6" t="n"/>
      <c r="G106" s="6" t="n"/>
      <c r="H106" s="6" t="n"/>
      <c r="I106" s="6" t="n"/>
      <c r="J106" s="6" t="n"/>
      <c r="K106" s="6" t="n"/>
      <c r="L106" s="6" t="n"/>
      <c r="M106" s="6" t="inlineStr">
        <is>
          <t>Progress %</t>
        </is>
      </c>
    </row>
    <row r="107">
      <c r="A107" s="6" t="n"/>
      <c r="B107" s="6" t="n"/>
      <c r="C107" s="6" t="n"/>
      <c r="D107" s="6" t="inlineStr">
        <is>
          <t>Age 30-60 yrs</t>
        </is>
      </c>
      <c r="E107" s="6" t="n"/>
      <c r="F107" s="6" t="n"/>
      <c r="G107" s="6" t="inlineStr">
        <is>
          <t>Age 60 above</t>
        </is>
      </c>
      <c r="H107" s="6" t="n"/>
      <c r="I107" s="6" t="n"/>
      <c r="J107" s="6" t="inlineStr">
        <is>
          <t>Total</t>
        </is>
      </c>
      <c r="K107" s="6" t="n"/>
      <c r="L107" s="6" t="inlineStr">
        <is>
          <t>Grand Total</t>
        </is>
      </c>
      <c r="M107" s="6" t="n"/>
    </row>
    <row r="108">
      <c r="A108" s="6" t="n"/>
      <c r="B108" s="6" t="n"/>
      <c r="C108" s="6" t="n"/>
      <c r="D108" s="6" t="inlineStr">
        <is>
          <t>F</t>
        </is>
      </c>
      <c r="E108" s="6" t="inlineStr">
        <is>
          <t>M</t>
        </is>
      </c>
      <c r="F108" s="6" t="inlineStr">
        <is>
          <t>Total</t>
        </is>
      </c>
      <c r="G108" s="6" t="inlineStr">
        <is>
          <t>F</t>
        </is>
      </c>
      <c r="H108" s="6" t="inlineStr">
        <is>
          <t>M</t>
        </is>
      </c>
      <c r="I108" s="6" t="inlineStr">
        <is>
          <t>Total</t>
        </is>
      </c>
      <c r="J108" s="6" t="inlineStr">
        <is>
          <t>F</t>
        </is>
      </c>
      <c r="K108" s="6" t="inlineStr">
        <is>
          <t>M</t>
        </is>
      </c>
      <c r="L108" s="6" t="n"/>
      <c r="M108" s="6" t="n"/>
    </row>
    <row r="109">
      <c r="A109" s="7" t="n">
        <v>1</v>
      </c>
      <c r="B109" s="8">
        <f>B5</f>
        <v/>
      </c>
      <c r="C109" s="8">
        <f>C5</f>
        <v/>
      </c>
      <c r="D109" s="14" t="n"/>
      <c r="E109" s="14" t="n"/>
      <c r="F109" s="8">
        <f>D109+E109</f>
        <v/>
      </c>
      <c r="G109" s="14" t="n"/>
      <c r="H109" s="14" t="n"/>
      <c r="I109" s="8">
        <f>G109+H109</f>
        <v/>
      </c>
      <c r="J109" s="8">
        <f>D109+G109</f>
        <v/>
      </c>
      <c r="K109" s="8">
        <f>E109+H109</f>
        <v/>
      </c>
      <c r="L109" s="8">
        <f>J109+K109</f>
        <v/>
      </c>
      <c r="M109" s="9">
        <f>IF(C109=0,0,L109/C109*100)</f>
        <v/>
      </c>
    </row>
    <row r="110">
      <c r="A110" s="7" t="n">
        <v>2</v>
      </c>
      <c r="B110" s="8">
        <f>B6</f>
        <v/>
      </c>
      <c r="C110" s="8">
        <f>C6</f>
        <v/>
      </c>
      <c r="D110" s="14" t="n"/>
      <c r="E110" s="14" t="n"/>
      <c r="F110" s="8">
        <f>D110+E110</f>
        <v/>
      </c>
      <c r="G110" s="14" t="n"/>
      <c r="H110" s="14" t="n"/>
      <c r="I110" s="8">
        <f>G110+H110</f>
        <v/>
      </c>
      <c r="J110" s="8">
        <f>D110+G110</f>
        <v/>
      </c>
      <c r="K110" s="8">
        <f>E110+H110</f>
        <v/>
      </c>
      <c r="L110" s="8">
        <f>J110+K110</f>
        <v/>
      </c>
      <c r="M110" s="9">
        <f>IF(C110=0,0,L110/C110*100)</f>
        <v/>
      </c>
    </row>
    <row r="111">
      <c r="A111" s="7" t="n">
        <v>3</v>
      </c>
      <c r="B111" s="8">
        <f>B7</f>
        <v/>
      </c>
      <c r="C111" s="8">
        <f>C7</f>
        <v/>
      </c>
      <c r="D111" s="14" t="n"/>
      <c r="E111" s="14" t="n"/>
      <c r="F111" s="8">
        <f>D111+E111</f>
        <v/>
      </c>
      <c r="G111" s="14" t="n"/>
      <c r="H111" s="14" t="n"/>
      <c r="I111" s="8">
        <f>G111+H111</f>
        <v/>
      </c>
      <c r="J111" s="8">
        <f>D111+G111</f>
        <v/>
      </c>
      <c r="K111" s="8">
        <f>E111+H111</f>
        <v/>
      </c>
      <c r="L111" s="8">
        <f>J111+K111</f>
        <v/>
      </c>
      <c r="M111" s="9">
        <f>IF(C111=0,0,L111/C111*100)</f>
        <v/>
      </c>
    </row>
    <row r="112">
      <c r="A112" s="7" t="n">
        <v>4</v>
      </c>
      <c r="B112" s="8">
        <f>B8</f>
        <v/>
      </c>
      <c r="C112" s="8">
        <f>C8</f>
        <v/>
      </c>
      <c r="D112" s="14" t="n"/>
      <c r="E112" s="14" t="n"/>
      <c r="F112" s="8">
        <f>D112+E112</f>
        <v/>
      </c>
      <c r="G112" s="14" t="n"/>
      <c r="H112" s="14" t="n"/>
      <c r="I112" s="8">
        <f>G112+H112</f>
        <v/>
      </c>
      <c r="J112" s="8">
        <f>D112+G112</f>
        <v/>
      </c>
      <c r="K112" s="8">
        <f>E112+H112</f>
        <v/>
      </c>
      <c r="L112" s="8">
        <f>J112+K112</f>
        <v/>
      </c>
      <c r="M112" s="9">
        <f>IF(C112=0,0,L112/C112*100)</f>
        <v/>
      </c>
    </row>
    <row r="113">
      <c r="A113" s="7" t="n">
        <v>5</v>
      </c>
      <c r="B113" s="8">
        <f>B9</f>
        <v/>
      </c>
      <c r="C113" s="8">
        <f>C9</f>
        <v/>
      </c>
      <c r="D113" s="14" t="n"/>
      <c r="E113" s="14" t="n"/>
      <c r="F113" s="8">
        <f>D113+E113</f>
        <v/>
      </c>
      <c r="G113" s="14" t="n"/>
      <c r="H113" s="14" t="n"/>
      <c r="I113" s="8">
        <f>G113+H113</f>
        <v/>
      </c>
      <c r="J113" s="8">
        <f>D113+G113</f>
        <v/>
      </c>
      <c r="K113" s="8">
        <f>E113+H113</f>
        <v/>
      </c>
      <c r="L113" s="8">
        <f>J113+K113</f>
        <v/>
      </c>
      <c r="M113" s="9">
        <f>IF(C113=0,0,L113/C113*100)</f>
        <v/>
      </c>
    </row>
    <row r="114">
      <c r="A114" s="7" t="n">
        <v>6</v>
      </c>
      <c r="B114" s="8">
        <f>B10</f>
        <v/>
      </c>
      <c r="C114" s="8">
        <f>C10</f>
        <v/>
      </c>
      <c r="D114" s="14" t="n"/>
      <c r="E114" s="14" t="n"/>
      <c r="F114" s="8">
        <f>D114+E114</f>
        <v/>
      </c>
      <c r="G114" s="14" t="n"/>
      <c r="H114" s="14" t="n"/>
      <c r="I114" s="8">
        <f>G114+H114</f>
        <v/>
      </c>
      <c r="J114" s="8">
        <f>D114+G114</f>
        <v/>
      </c>
      <c r="K114" s="8">
        <f>E114+H114</f>
        <v/>
      </c>
      <c r="L114" s="8">
        <f>J114+K114</f>
        <v/>
      </c>
      <c r="M114" s="9">
        <f>IF(C114=0,0,L114/C114*100)</f>
        <v/>
      </c>
    </row>
    <row r="115">
      <c r="A115" s="7" t="n">
        <v>7</v>
      </c>
      <c r="B115" s="8">
        <f>B11</f>
        <v/>
      </c>
      <c r="C115" s="8">
        <f>C11</f>
        <v/>
      </c>
      <c r="D115" s="14" t="n"/>
      <c r="E115" s="14" t="n"/>
      <c r="F115" s="8">
        <f>D115+E115</f>
        <v/>
      </c>
      <c r="G115" s="14" t="n"/>
      <c r="H115" s="14" t="n"/>
      <c r="I115" s="8">
        <f>G115+H115</f>
        <v/>
      </c>
      <c r="J115" s="8">
        <f>D115+G115</f>
        <v/>
      </c>
      <c r="K115" s="8">
        <f>E115+H115</f>
        <v/>
      </c>
      <c r="L115" s="8">
        <f>J115+K115</f>
        <v/>
      </c>
      <c r="M115" s="9">
        <f>IF(C115=0,0,L115/C115*100)</f>
        <v/>
      </c>
    </row>
    <row r="116">
      <c r="A116" s="10" t="inlineStr">
        <is>
          <t>Total</t>
        </is>
      </c>
      <c r="B116" s="11">
        <f>SUM(B109:B115)</f>
        <v/>
      </c>
      <c r="C116" s="11">
        <f>SUM(C109:C115)</f>
        <v/>
      </c>
      <c r="D116" s="11">
        <f>SUM(D109:D115)</f>
        <v/>
      </c>
      <c r="E116" s="11">
        <f>SUM(E109:E115)</f>
        <v/>
      </c>
      <c r="F116" s="11">
        <f>D116+E116</f>
        <v/>
      </c>
      <c r="G116" s="11">
        <f>SUM(G109:G115)</f>
        <v/>
      </c>
      <c r="H116" s="11">
        <f>SUM(H109:H115)</f>
        <v/>
      </c>
      <c r="I116" s="11">
        <f>G116+H116</f>
        <v/>
      </c>
      <c r="J116" s="11">
        <f>D116+G116</f>
        <v/>
      </c>
      <c r="K116" s="11">
        <f>E116+H116</f>
        <v/>
      </c>
      <c r="L116" s="11">
        <f>J116+K116</f>
        <v/>
      </c>
      <c r="M116" s="12">
        <f>IF(C116=0,0,L116/C116*100)</f>
        <v/>
      </c>
    </row>
    <row r="118">
      <c r="A118" s="13" t="inlineStr">
        <is>
          <t>Day 9 - 2026-10-13 (Tue 27 Aswin 2083)</t>
        </is>
      </c>
    </row>
    <row r="119">
      <c r="A119" s="6" t="inlineStr">
        <is>
          <t>Ward no.</t>
        </is>
      </c>
      <c r="B119" s="6" t="inlineStr">
        <is>
          <t>Total population</t>
        </is>
      </c>
      <c r="C119" s="6" t="inlineStr">
        <is>
          <t>JE target population</t>
        </is>
      </c>
      <c r="D119" s="6" t="inlineStr">
        <is>
          <t>Vaccinated</t>
        </is>
      </c>
      <c r="E119" s="6" t="n"/>
      <c r="F119" s="6" t="n"/>
      <c r="G119" s="6" t="n"/>
      <c r="H119" s="6" t="n"/>
      <c r="I119" s="6" t="n"/>
      <c r="J119" s="6" t="n"/>
      <c r="K119" s="6" t="n"/>
      <c r="L119" s="6" t="n"/>
      <c r="M119" s="6" t="inlineStr">
        <is>
          <t>Progress %</t>
        </is>
      </c>
    </row>
    <row r="120">
      <c r="A120" s="6" t="n"/>
      <c r="B120" s="6" t="n"/>
      <c r="C120" s="6" t="n"/>
      <c r="D120" s="6" t="inlineStr">
        <is>
          <t>Age 30-60 yrs</t>
        </is>
      </c>
      <c r="E120" s="6" t="n"/>
      <c r="F120" s="6" t="n"/>
      <c r="G120" s="6" t="inlineStr">
        <is>
          <t>Age 60 above</t>
        </is>
      </c>
      <c r="H120" s="6" t="n"/>
      <c r="I120" s="6" t="n"/>
      <c r="J120" s="6" t="inlineStr">
        <is>
          <t>Total</t>
        </is>
      </c>
      <c r="K120" s="6" t="n"/>
      <c r="L120" s="6" t="inlineStr">
        <is>
          <t>Grand Total</t>
        </is>
      </c>
      <c r="M120" s="6" t="n"/>
    </row>
    <row r="121">
      <c r="A121" s="6" t="n"/>
      <c r="B121" s="6" t="n"/>
      <c r="C121" s="6" t="n"/>
      <c r="D121" s="6" t="inlineStr">
        <is>
          <t>F</t>
        </is>
      </c>
      <c r="E121" s="6" t="inlineStr">
        <is>
          <t>M</t>
        </is>
      </c>
      <c r="F121" s="6" t="inlineStr">
        <is>
          <t>Total</t>
        </is>
      </c>
      <c r="G121" s="6" t="inlineStr">
        <is>
          <t>F</t>
        </is>
      </c>
      <c r="H121" s="6" t="inlineStr">
        <is>
          <t>M</t>
        </is>
      </c>
      <c r="I121" s="6" t="inlineStr">
        <is>
          <t>Total</t>
        </is>
      </c>
      <c r="J121" s="6" t="inlineStr">
        <is>
          <t>F</t>
        </is>
      </c>
      <c r="K121" s="6" t="inlineStr">
        <is>
          <t>M</t>
        </is>
      </c>
      <c r="L121" s="6" t="n"/>
      <c r="M121" s="6" t="n"/>
    </row>
    <row r="122">
      <c r="A122" s="7" t="n">
        <v>1</v>
      </c>
      <c r="B122" s="8">
        <f>B5</f>
        <v/>
      </c>
      <c r="C122" s="8">
        <f>C5</f>
        <v/>
      </c>
      <c r="D122" s="14" t="n"/>
      <c r="E122" s="14" t="n"/>
      <c r="F122" s="8">
        <f>D122+E122</f>
        <v/>
      </c>
      <c r="G122" s="14" t="n"/>
      <c r="H122" s="14" t="n"/>
      <c r="I122" s="8">
        <f>G122+H122</f>
        <v/>
      </c>
      <c r="J122" s="8">
        <f>D122+G122</f>
        <v/>
      </c>
      <c r="K122" s="8">
        <f>E122+H122</f>
        <v/>
      </c>
      <c r="L122" s="8">
        <f>J122+K122</f>
        <v/>
      </c>
      <c r="M122" s="9">
        <f>IF(C122=0,0,L122/C122*100)</f>
        <v/>
      </c>
    </row>
    <row r="123">
      <c r="A123" s="7" t="n">
        <v>2</v>
      </c>
      <c r="B123" s="8">
        <f>B6</f>
        <v/>
      </c>
      <c r="C123" s="8">
        <f>C6</f>
        <v/>
      </c>
      <c r="D123" s="14" t="n"/>
      <c r="E123" s="14" t="n"/>
      <c r="F123" s="8">
        <f>D123+E123</f>
        <v/>
      </c>
      <c r="G123" s="14" t="n"/>
      <c r="H123" s="14" t="n"/>
      <c r="I123" s="8">
        <f>G123+H123</f>
        <v/>
      </c>
      <c r="J123" s="8">
        <f>D123+G123</f>
        <v/>
      </c>
      <c r="K123" s="8">
        <f>E123+H123</f>
        <v/>
      </c>
      <c r="L123" s="8">
        <f>J123+K123</f>
        <v/>
      </c>
      <c r="M123" s="9">
        <f>IF(C123=0,0,L123/C123*100)</f>
        <v/>
      </c>
    </row>
    <row r="124">
      <c r="A124" s="7" t="n">
        <v>3</v>
      </c>
      <c r="B124" s="8">
        <f>B7</f>
        <v/>
      </c>
      <c r="C124" s="8">
        <f>C7</f>
        <v/>
      </c>
      <c r="D124" s="14" t="n"/>
      <c r="E124" s="14" t="n"/>
      <c r="F124" s="8">
        <f>D124+E124</f>
        <v/>
      </c>
      <c r="G124" s="14" t="n"/>
      <c r="H124" s="14" t="n"/>
      <c r="I124" s="8">
        <f>G124+H124</f>
        <v/>
      </c>
      <c r="J124" s="8">
        <f>D124+G124</f>
        <v/>
      </c>
      <c r="K124" s="8">
        <f>E124+H124</f>
        <v/>
      </c>
      <c r="L124" s="8">
        <f>J124+K124</f>
        <v/>
      </c>
      <c r="M124" s="9">
        <f>IF(C124=0,0,L124/C124*100)</f>
        <v/>
      </c>
    </row>
    <row r="125">
      <c r="A125" s="7" t="n">
        <v>4</v>
      </c>
      <c r="B125" s="8">
        <f>B8</f>
        <v/>
      </c>
      <c r="C125" s="8">
        <f>C8</f>
        <v/>
      </c>
      <c r="D125" s="14" t="n"/>
      <c r="E125" s="14" t="n"/>
      <c r="F125" s="8">
        <f>D125+E125</f>
        <v/>
      </c>
      <c r="G125" s="14" t="n"/>
      <c r="H125" s="14" t="n"/>
      <c r="I125" s="8">
        <f>G125+H125</f>
        <v/>
      </c>
      <c r="J125" s="8">
        <f>D125+G125</f>
        <v/>
      </c>
      <c r="K125" s="8">
        <f>E125+H125</f>
        <v/>
      </c>
      <c r="L125" s="8">
        <f>J125+K125</f>
        <v/>
      </c>
      <c r="M125" s="9">
        <f>IF(C125=0,0,L125/C125*100)</f>
        <v/>
      </c>
    </row>
    <row r="126">
      <c r="A126" s="7" t="n">
        <v>5</v>
      </c>
      <c r="B126" s="8">
        <f>B9</f>
        <v/>
      </c>
      <c r="C126" s="8">
        <f>C9</f>
        <v/>
      </c>
      <c r="D126" s="14" t="n"/>
      <c r="E126" s="14" t="n"/>
      <c r="F126" s="8">
        <f>D126+E126</f>
        <v/>
      </c>
      <c r="G126" s="14" t="n"/>
      <c r="H126" s="14" t="n"/>
      <c r="I126" s="8">
        <f>G126+H126</f>
        <v/>
      </c>
      <c r="J126" s="8">
        <f>D126+G126</f>
        <v/>
      </c>
      <c r="K126" s="8">
        <f>E126+H126</f>
        <v/>
      </c>
      <c r="L126" s="8">
        <f>J126+K126</f>
        <v/>
      </c>
      <c r="M126" s="9">
        <f>IF(C126=0,0,L126/C126*100)</f>
        <v/>
      </c>
    </row>
    <row r="127">
      <c r="A127" s="7" t="n">
        <v>6</v>
      </c>
      <c r="B127" s="8">
        <f>B10</f>
        <v/>
      </c>
      <c r="C127" s="8">
        <f>C10</f>
        <v/>
      </c>
      <c r="D127" s="14" t="n"/>
      <c r="E127" s="14" t="n"/>
      <c r="F127" s="8">
        <f>D127+E127</f>
        <v/>
      </c>
      <c r="G127" s="14" t="n"/>
      <c r="H127" s="14" t="n"/>
      <c r="I127" s="8">
        <f>G127+H127</f>
        <v/>
      </c>
      <c r="J127" s="8">
        <f>D127+G127</f>
        <v/>
      </c>
      <c r="K127" s="8">
        <f>E127+H127</f>
        <v/>
      </c>
      <c r="L127" s="8">
        <f>J127+K127</f>
        <v/>
      </c>
      <c r="M127" s="9">
        <f>IF(C127=0,0,L127/C127*100)</f>
        <v/>
      </c>
    </row>
    <row r="128">
      <c r="A128" s="7" t="n">
        <v>7</v>
      </c>
      <c r="B128" s="8">
        <f>B11</f>
        <v/>
      </c>
      <c r="C128" s="8">
        <f>C11</f>
        <v/>
      </c>
      <c r="D128" s="14" t="n"/>
      <c r="E128" s="14" t="n"/>
      <c r="F128" s="8">
        <f>D128+E128</f>
        <v/>
      </c>
      <c r="G128" s="14" t="n"/>
      <c r="H128" s="14" t="n"/>
      <c r="I128" s="8">
        <f>G128+H128</f>
        <v/>
      </c>
      <c r="J128" s="8">
        <f>D128+G128</f>
        <v/>
      </c>
      <c r="K128" s="8">
        <f>E128+H128</f>
        <v/>
      </c>
      <c r="L128" s="8">
        <f>J128+K128</f>
        <v/>
      </c>
      <c r="M128" s="9">
        <f>IF(C128=0,0,L128/C128*100)</f>
        <v/>
      </c>
    </row>
    <row r="129">
      <c r="A129" s="10" t="inlineStr">
        <is>
          <t>Total</t>
        </is>
      </c>
      <c r="B129" s="11">
        <f>SUM(B122:B128)</f>
        <v/>
      </c>
      <c r="C129" s="11">
        <f>SUM(C122:C128)</f>
        <v/>
      </c>
      <c r="D129" s="11">
        <f>SUM(D122:D128)</f>
        <v/>
      </c>
      <c r="E129" s="11">
        <f>SUM(E122:E128)</f>
        <v/>
      </c>
      <c r="F129" s="11">
        <f>D129+E129</f>
        <v/>
      </c>
      <c r="G129" s="11">
        <f>SUM(G122:G128)</f>
        <v/>
      </c>
      <c r="H129" s="11">
        <f>SUM(H122:H128)</f>
        <v/>
      </c>
      <c r="I129" s="11">
        <f>G129+H129</f>
        <v/>
      </c>
      <c r="J129" s="11">
        <f>D129+G129</f>
        <v/>
      </c>
      <c r="K129" s="11">
        <f>E129+H129</f>
        <v/>
      </c>
      <c r="L129" s="11">
        <f>J129+K129</f>
        <v/>
      </c>
      <c r="M129" s="12">
        <f>IF(C129=0,0,L129/C129*100)</f>
        <v/>
      </c>
    </row>
    <row r="131">
      <c r="A131" s="13" t="inlineStr">
        <is>
          <t>Day 10 - 2026-10-14 (Wed 28 Aswin 2083)</t>
        </is>
      </c>
    </row>
    <row r="132">
      <c r="A132" s="6" t="inlineStr">
        <is>
          <t>Ward no.</t>
        </is>
      </c>
      <c r="B132" s="6" t="inlineStr">
        <is>
          <t>Total population</t>
        </is>
      </c>
      <c r="C132" s="6" t="inlineStr">
        <is>
          <t>JE target population</t>
        </is>
      </c>
      <c r="D132" s="6" t="inlineStr">
        <is>
          <t>Vaccinated</t>
        </is>
      </c>
      <c r="E132" s="6" t="n"/>
      <c r="F132" s="6" t="n"/>
      <c r="G132" s="6" t="n"/>
      <c r="H132" s="6" t="n"/>
      <c r="I132" s="6" t="n"/>
      <c r="J132" s="6" t="n"/>
      <c r="K132" s="6" t="n"/>
      <c r="L132" s="6" t="n"/>
      <c r="M132" s="6" t="inlineStr">
        <is>
          <t>Progress %</t>
        </is>
      </c>
    </row>
    <row r="133">
      <c r="A133" s="6" t="n"/>
      <c r="B133" s="6" t="n"/>
      <c r="C133" s="6" t="n"/>
      <c r="D133" s="6" t="inlineStr">
        <is>
          <t>Age 30-60 yrs</t>
        </is>
      </c>
      <c r="E133" s="6" t="n"/>
      <c r="F133" s="6" t="n"/>
      <c r="G133" s="6" t="inlineStr">
        <is>
          <t>Age 60 above</t>
        </is>
      </c>
      <c r="H133" s="6" t="n"/>
      <c r="I133" s="6" t="n"/>
      <c r="J133" s="6" t="inlineStr">
        <is>
          <t>Total</t>
        </is>
      </c>
      <c r="K133" s="6" t="n"/>
      <c r="L133" s="6" t="inlineStr">
        <is>
          <t>Grand Total</t>
        </is>
      </c>
      <c r="M133" s="6" t="n"/>
    </row>
    <row r="134">
      <c r="A134" s="6" t="n"/>
      <c r="B134" s="6" t="n"/>
      <c r="C134" s="6" t="n"/>
      <c r="D134" s="6" t="inlineStr">
        <is>
          <t>F</t>
        </is>
      </c>
      <c r="E134" s="6" t="inlineStr">
        <is>
          <t>M</t>
        </is>
      </c>
      <c r="F134" s="6" t="inlineStr">
        <is>
          <t>Total</t>
        </is>
      </c>
      <c r="G134" s="6" t="inlineStr">
        <is>
          <t>F</t>
        </is>
      </c>
      <c r="H134" s="6" t="inlineStr">
        <is>
          <t>M</t>
        </is>
      </c>
      <c r="I134" s="6" t="inlineStr">
        <is>
          <t>Total</t>
        </is>
      </c>
      <c r="J134" s="6" t="inlineStr">
        <is>
          <t>F</t>
        </is>
      </c>
      <c r="K134" s="6" t="inlineStr">
        <is>
          <t>M</t>
        </is>
      </c>
      <c r="L134" s="6" t="n"/>
      <c r="M134" s="6" t="n"/>
    </row>
    <row r="135">
      <c r="A135" s="7" t="n">
        <v>1</v>
      </c>
      <c r="B135" s="8">
        <f>B5</f>
        <v/>
      </c>
      <c r="C135" s="8">
        <f>C5</f>
        <v/>
      </c>
      <c r="D135" s="14" t="n"/>
      <c r="E135" s="14" t="n"/>
      <c r="F135" s="8">
        <f>D135+E135</f>
        <v/>
      </c>
      <c r="G135" s="14" t="n"/>
      <c r="H135" s="14" t="n"/>
      <c r="I135" s="8">
        <f>G135+H135</f>
        <v/>
      </c>
      <c r="J135" s="8">
        <f>D135+G135</f>
        <v/>
      </c>
      <c r="K135" s="8">
        <f>E135+H135</f>
        <v/>
      </c>
      <c r="L135" s="8">
        <f>J135+K135</f>
        <v/>
      </c>
      <c r="M135" s="9">
        <f>IF(C135=0,0,L135/C135*100)</f>
        <v/>
      </c>
    </row>
    <row r="136">
      <c r="A136" s="7" t="n">
        <v>2</v>
      </c>
      <c r="B136" s="8">
        <f>B6</f>
        <v/>
      </c>
      <c r="C136" s="8">
        <f>C6</f>
        <v/>
      </c>
      <c r="D136" s="14" t="n"/>
      <c r="E136" s="14" t="n"/>
      <c r="F136" s="8">
        <f>D136+E136</f>
        <v/>
      </c>
      <c r="G136" s="14" t="n"/>
      <c r="H136" s="14" t="n"/>
      <c r="I136" s="8">
        <f>G136+H136</f>
        <v/>
      </c>
      <c r="J136" s="8">
        <f>D136+G136</f>
        <v/>
      </c>
      <c r="K136" s="8">
        <f>E136+H136</f>
        <v/>
      </c>
      <c r="L136" s="8">
        <f>J136+K136</f>
        <v/>
      </c>
      <c r="M136" s="9">
        <f>IF(C136=0,0,L136/C136*100)</f>
        <v/>
      </c>
    </row>
    <row r="137">
      <c r="A137" s="7" t="n">
        <v>3</v>
      </c>
      <c r="B137" s="8">
        <f>B7</f>
        <v/>
      </c>
      <c r="C137" s="8">
        <f>C7</f>
        <v/>
      </c>
      <c r="D137" s="14" t="n"/>
      <c r="E137" s="14" t="n"/>
      <c r="F137" s="8">
        <f>D137+E137</f>
        <v/>
      </c>
      <c r="G137" s="14" t="n"/>
      <c r="H137" s="14" t="n"/>
      <c r="I137" s="8">
        <f>G137+H137</f>
        <v/>
      </c>
      <c r="J137" s="8">
        <f>D137+G137</f>
        <v/>
      </c>
      <c r="K137" s="8">
        <f>E137+H137</f>
        <v/>
      </c>
      <c r="L137" s="8">
        <f>J137+K137</f>
        <v/>
      </c>
      <c r="M137" s="9">
        <f>IF(C137=0,0,L137/C137*100)</f>
        <v/>
      </c>
    </row>
    <row r="138">
      <c r="A138" s="7" t="n">
        <v>4</v>
      </c>
      <c r="B138" s="8">
        <f>B8</f>
        <v/>
      </c>
      <c r="C138" s="8">
        <f>C8</f>
        <v/>
      </c>
      <c r="D138" s="14" t="n"/>
      <c r="E138" s="14" t="n"/>
      <c r="F138" s="8">
        <f>D138+E138</f>
        <v/>
      </c>
      <c r="G138" s="14" t="n"/>
      <c r="H138" s="14" t="n"/>
      <c r="I138" s="8">
        <f>G138+H138</f>
        <v/>
      </c>
      <c r="J138" s="8">
        <f>D138+G138</f>
        <v/>
      </c>
      <c r="K138" s="8">
        <f>E138+H138</f>
        <v/>
      </c>
      <c r="L138" s="8">
        <f>J138+K138</f>
        <v/>
      </c>
      <c r="M138" s="9">
        <f>IF(C138=0,0,L138/C138*100)</f>
        <v/>
      </c>
    </row>
    <row r="139">
      <c r="A139" s="7" t="n">
        <v>5</v>
      </c>
      <c r="B139" s="8">
        <f>B9</f>
        <v/>
      </c>
      <c r="C139" s="8">
        <f>C9</f>
        <v/>
      </c>
      <c r="D139" s="14" t="n"/>
      <c r="E139" s="14" t="n"/>
      <c r="F139" s="8">
        <f>D139+E139</f>
        <v/>
      </c>
      <c r="G139" s="14" t="n"/>
      <c r="H139" s="14" t="n"/>
      <c r="I139" s="8">
        <f>G139+H139</f>
        <v/>
      </c>
      <c r="J139" s="8">
        <f>D139+G139</f>
        <v/>
      </c>
      <c r="K139" s="8">
        <f>E139+H139</f>
        <v/>
      </c>
      <c r="L139" s="8">
        <f>J139+K139</f>
        <v/>
      </c>
      <c r="M139" s="9">
        <f>IF(C139=0,0,L139/C139*100)</f>
        <v/>
      </c>
    </row>
    <row r="140">
      <c r="A140" s="7" t="n">
        <v>6</v>
      </c>
      <c r="B140" s="8">
        <f>B10</f>
        <v/>
      </c>
      <c r="C140" s="8">
        <f>C10</f>
        <v/>
      </c>
      <c r="D140" s="14" t="n"/>
      <c r="E140" s="14" t="n"/>
      <c r="F140" s="8">
        <f>D140+E140</f>
        <v/>
      </c>
      <c r="G140" s="14" t="n"/>
      <c r="H140" s="14" t="n"/>
      <c r="I140" s="8">
        <f>G140+H140</f>
        <v/>
      </c>
      <c r="J140" s="8">
        <f>D140+G140</f>
        <v/>
      </c>
      <c r="K140" s="8">
        <f>E140+H140</f>
        <v/>
      </c>
      <c r="L140" s="8">
        <f>J140+K140</f>
        <v/>
      </c>
      <c r="M140" s="9">
        <f>IF(C140=0,0,L140/C140*100)</f>
        <v/>
      </c>
    </row>
    <row r="141">
      <c r="A141" s="7" t="n">
        <v>7</v>
      </c>
      <c r="B141" s="8">
        <f>B11</f>
        <v/>
      </c>
      <c r="C141" s="8">
        <f>C11</f>
        <v/>
      </c>
      <c r="D141" s="14" t="n"/>
      <c r="E141" s="14" t="n"/>
      <c r="F141" s="8">
        <f>D141+E141</f>
        <v/>
      </c>
      <c r="G141" s="14" t="n"/>
      <c r="H141" s="14" t="n"/>
      <c r="I141" s="8">
        <f>G141+H141</f>
        <v/>
      </c>
      <c r="J141" s="8">
        <f>D141+G141</f>
        <v/>
      </c>
      <c r="K141" s="8">
        <f>E141+H141</f>
        <v/>
      </c>
      <c r="L141" s="8">
        <f>J141+K141</f>
        <v/>
      </c>
      <c r="M141" s="9">
        <f>IF(C141=0,0,L141/C141*100)</f>
        <v/>
      </c>
    </row>
    <row r="142">
      <c r="A142" s="10" t="inlineStr">
        <is>
          <t>Total</t>
        </is>
      </c>
      <c r="B142" s="11">
        <f>SUM(B135:B141)</f>
        <v/>
      </c>
      <c r="C142" s="11">
        <f>SUM(C135:C141)</f>
        <v/>
      </c>
      <c r="D142" s="11">
        <f>SUM(D135:D141)</f>
        <v/>
      </c>
      <c r="E142" s="11">
        <f>SUM(E135:E141)</f>
        <v/>
      </c>
      <c r="F142" s="11">
        <f>D142+E142</f>
        <v/>
      </c>
      <c r="G142" s="11">
        <f>SUM(G135:G141)</f>
        <v/>
      </c>
      <c r="H142" s="11">
        <f>SUM(H135:H141)</f>
        <v/>
      </c>
      <c r="I142" s="11">
        <f>G142+H142</f>
        <v/>
      </c>
      <c r="J142" s="11">
        <f>D142+G142</f>
        <v/>
      </c>
      <c r="K142" s="11">
        <f>E142+H142</f>
        <v/>
      </c>
      <c r="L142" s="11">
        <f>J142+K142</f>
        <v/>
      </c>
      <c r="M142" s="12">
        <f>IF(C142=0,0,L142/C142*100)</f>
        <v/>
      </c>
    </row>
    <row r="144">
      <c r="A144" s="13" t="inlineStr">
        <is>
          <t>Day 11 - 2026-10-15 (Thu 29 Aswin 2083)</t>
        </is>
      </c>
    </row>
    <row r="145">
      <c r="A145" s="6" t="inlineStr">
        <is>
          <t>Ward no.</t>
        </is>
      </c>
      <c r="B145" s="6" t="inlineStr">
        <is>
          <t>Total population</t>
        </is>
      </c>
      <c r="C145" s="6" t="inlineStr">
        <is>
          <t>JE target population</t>
        </is>
      </c>
      <c r="D145" s="6" t="inlineStr">
        <is>
          <t>Vaccinated</t>
        </is>
      </c>
      <c r="E145" s="6" t="n"/>
      <c r="F145" s="6" t="n"/>
      <c r="G145" s="6" t="n"/>
      <c r="H145" s="6" t="n"/>
      <c r="I145" s="6" t="n"/>
      <c r="J145" s="6" t="n"/>
      <c r="K145" s="6" t="n"/>
      <c r="L145" s="6" t="n"/>
      <c r="M145" s="6" t="inlineStr">
        <is>
          <t>Progress %</t>
        </is>
      </c>
    </row>
    <row r="146">
      <c r="A146" s="6" t="n"/>
      <c r="B146" s="6" t="n"/>
      <c r="C146" s="6" t="n"/>
      <c r="D146" s="6" t="inlineStr">
        <is>
          <t>Age 30-60 yrs</t>
        </is>
      </c>
      <c r="E146" s="6" t="n"/>
      <c r="F146" s="6" t="n"/>
      <c r="G146" s="6" t="inlineStr">
        <is>
          <t>Age 60 above</t>
        </is>
      </c>
      <c r="H146" s="6" t="n"/>
      <c r="I146" s="6" t="n"/>
      <c r="J146" s="6" t="inlineStr">
        <is>
          <t>Total</t>
        </is>
      </c>
      <c r="K146" s="6" t="n"/>
      <c r="L146" s="6" t="inlineStr">
        <is>
          <t>Grand Total</t>
        </is>
      </c>
      <c r="M146" s="6" t="n"/>
    </row>
    <row r="147">
      <c r="A147" s="6" t="n"/>
      <c r="B147" s="6" t="n"/>
      <c r="C147" s="6" t="n"/>
      <c r="D147" s="6" t="inlineStr">
        <is>
          <t>F</t>
        </is>
      </c>
      <c r="E147" s="6" t="inlineStr">
        <is>
          <t>M</t>
        </is>
      </c>
      <c r="F147" s="6" t="inlineStr">
        <is>
          <t>Total</t>
        </is>
      </c>
      <c r="G147" s="6" t="inlineStr">
        <is>
          <t>F</t>
        </is>
      </c>
      <c r="H147" s="6" t="inlineStr">
        <is>
          <t>M</t>
        </is>
      </c>
      <c r="I147" s="6" t="inlineStr">
        <is>
          <t>Total</t>
        </is>
      </c>
      <c r="J147" s="6" t="inlineStr">
        <is>
          <t>F</t>
        </is>
      </c>
      <c r="K147" s="6" t="inlineStr">
        <is>
          <t>M</t>
        </is>
      </c>
      <c r="L147" s="6" t="n"/>
      <c r="M147" s="6" t="n"/>
    </row>
    <row r="148">
      <c r="A148" s="7" t="n">
        <v>1</v>
      </c>
      <c r="B148" s="8">
        <f>B5</f>
        <v/>
      </c>
      <c r="C148" s="8">
        <f>C5</f>
        <v/>
      </c>
      <c r="D148" s="14" t="n"/>
      <c r="E148" s="14" t="n"/>
      <c r="F148" s="8">
        <f>D148+E148</f>
        <v/>
      </c>
      <c r="G148" s="14" t="n"/>
      <c r="H148" s="14" t="n"/>
      <c r="I148" s="8">
        <f>G148+H148</f>
        <v/>
      </c>
      <c r="J148" s="8">
        <f>D148+G148</f>
        <v/>
      </c>
      <c r="K148" s="8">
        <f>E148+H148</f>
        <v/>
      </c>
      <c r="L148" s="8">
        <f>J148+K148</f>
        <v/>
      </c>
      <c r="M148" s="9">
        <f>IF(C148=0,0,L148/C148*100)</f>
        <v/>
      </c>
    </row>
    <row r="149">
      <c r="A149" s="7" t="n">
        <v>2</v>
      </c>
      <c r="B149" s="8">
        <f>B6</f>
        <v/>
      </c>
      <c r="C149" s="8">
        <f>C6</f>
        <v/>
      </c>
      <c r="D149" s="14" t="n"/>
      <c r="E149" s="14" t="n"/>
      <c r="F149" s="8">
        <f>D149+E149</f>
        <v/>
      </c>
      <c r="G149" s="14" t="n"/>
      <c r="H149" s="14" t="n"/>
      <c r="I149" s="8">
        <f>G149+H149</f>
        <v/>
      </c>
      <c r="J149" s="8">
        <f>D149+G149</f>
        <v/>
      </c>
      <c r="K149" s="8">
        <f>E149+H149</f>
        <v/>
      </c>
      <c r="L149" s="8">
        <f>J149+K149</f>
        <v/>
      </c>
      <c r="M149" s="9">
        <f>IF(C149=0,0,L149/C149*100)</f>
        <v/>
      </c>
    </row>
    <row r="150">
      <c r="A150" s="7" t="n">
        <v>3</v>
      </c>
      <c r="B150" s="8">
        <f>B7</f>
        <v/>
      </c>
      <c r="C150" s="8">
        <f>C7</f>
        <v/>
      </c>
      <c r="D150" s="14" t="n"/>
      <c r="E150" s="14" t="n"/>
      <c r="F150" s="8">
        <f>D150+E150</f>
        <v/>
      </c>
      <c r="G150" s="14" t="n"/>
      <c r="H150" s="14" t="n"/>
      <c r="I150" s="8">
        <f>G150+H150</f>
        <v/>
      </c>
      <c r="J150" s="8">
        <f>D150+G150</f>
        <v/>
      </c>
      <c r="K150" s="8">
        <f>E150+H150</f>
        <v/>
      </c>
      <c r="L150" s="8">
        <f>J150+K150</f>
        <v/>
      </c>
      <c r="M150" s="9">
        <f>IF(C150=0,0,L150/C150*100)</f>
        <v/>
      </c>
    </row>
    <row r="151">
      <c r="A151" s="7" t="n">
        <v>4</v>
      </c>
      <c r="B151" s="8">
        <f>B8</f>
        <v/>
      </c>
      <c r="C151" s="8">
        <f>C8</f>
        <v/>
      </c>
      <c r="D151" s="14" t="n"/>
      <c r="E151" s="14" t="n"/>
      <c r="F151" s="8">
        <f>D151+E151</f>
        <v/>
      </c>
      <c r="G151" s="14" t="n"/>
      <c r="H151" s="14" t="n"/>
      <c r="I151" s="8">
        <f>G151+H151</f>
        <v/>
      </c>
      <c r="J151" s="8">
        <f>D151+G151</f>
        <v/>
      </c>
      <c r="K151" s="8">
        <f>E151+H151</f>
        <v/>
      </c>
      <c r="L151" s="8">
        <f>J151+K151</f>
        <v/>
      </c>
      <c r="M151" s="9">
        <f>IF(C151=0,0,L151/C151*100)</f>
        <v/>
      </c>
    </row>
    <row r="152">
      <c r="A152" s="7" t="n">
        <v>5</v>
      </c>
      <c r="B152" s="8">
        <f>B9</f>
        <v/>
      </c>
      <c r="C152" s="8">
        <f>C9</f>
        <v/>
      </c>
      <c r="D152" s="14" t="n"/>
      <c r="E152" s="14" t="n"/>
      <c r="F152" s="8">
        <f>D152+E152</f>
        <v/>
      </c>
      <c r="G152" s="14" t="n"/>
      <c r="H152" s="14" t="n"/>
      <c r="I152" s="8">
        <f>G152+H152</f>
        <v/>
      </c>
      <c r="J152" s="8">
        <f>D152+G152</f>
        <v/>
      </c>
      <c r="K152" s="8">
        <f>E152+H152</f>
        <v/>
      </c>
      <c r="L152" s="8">
        <f>J152+K152</f>
        <v/>
      </c>
      <c r="M152" s="9">
        <f>IF(C152=0,0,L152/C152*100)</f>
        <v/>
      </c>
    </row>
    <row r="153">
      <c r="A153" s="7" t="n">
        <v>6</v>
      </c>
      <c r="B153" s="8">
        <f>B10</f>
        <v/>
      </c>
      <c r="C153" s="8">
        <f>C10</f>
        <v/>
      </c>
      <c r="D153" s="14" t="n"/>
      <c r="E153" s="14" t="n"/>
      <c r="F153" s="8">
        <f>D153+E153</f>
        <v/>
      </c>
      <c r="G153" s="14" t="n"/>
      <c r="H153" s="14" t="n"/>
      <c r="I153" s="8">
        <f>G153+H153</f>
        <v/>
      </c>
      <c r="J153" s="8">
        <f>D153+G153</f>
        <v/>
      </c>
      <c r="K153" s="8">
        <f>E153+H153</f>
        <v/>
      </c>
      <c r="L153" s="8">
        <f>J153+K153</f>
        <v/>
      </c>
      <c r="M153" s="9">
        <f>IF(C153=0,0,L153/C153*100)</f>
        <v/>
      </c>
    </row>
    <row r="154">
      <c r="A154" s="7" t="n">
        <v>7</v>
      </c>
      <c r="B154" s="8">
        <f>B11</f>
        <v/>
      </c>
      <c r="C154" s="8">
        <f>C11</f>
        <v/>
      </c>
      <c r="D154" s="14" t="n"/>
      <c r="E154" s="14" t="n"/>
      <c r="F154" s="8">
        <f>D154+E154</f>
        <v/>
      </c>
      <c r="G154" s="14" t="n"/>
      <c r="H154" s="14" t="n"/>
      <c r="I154" s="8">
        <f>G154+H154</f>
        <v/>
      </c>
      <c r="J154" s="8">
        <f>D154+G154</f>
        <v/>
      </c>
      <c r="K154" s="8">
        <f>E154+H154</f>
        <v/>
      </c>
      <c r="L154" s="8">
        <f>J154+K154</f>
        <v/>
      </c>
      <c r="M154" s="9">
        <f>IF(C154=0,0,L154/C154*100)</f>
        <v/>
      </c>
    </row>
    <row r="155">
      <c r="A155" s="10" t="inlineStr">
        <is>
          <t>Total</t>
        </is>
      </c>
      <c r="B155" s="11">
        <f>SUM(B148:B154)</f>
        <v/>
      </c>
      <c r="C155" s="11">
        <f>SUM(C148:C154)</f>
        <v/>
      </c>
      <c r="D155" s="11">
        <f>SUM(D148:D154)</f>
        <v/>
      </c>
      <c r="E155" s="11">
        <f>SUM(E148:E154)</f>
        <v/>
      </c>
      <c r="F155" s="11">
        <f>D155+E155</f>
        <v/>
      </c>
      <c r="G155" s="11">
        <f>SUM(G148:G154)</f>
        <v/>
      </c>
      <c r="H155" s="11">
        <f>SUM(H148:H154)</f>
        <v/>
      </c>
      <c r="I155" s="11">
        <f>G155+H155</f>
        <v/>
      </c>
      <c r="J155" s="11">
        <f>D155+G155</f>
        <v/>
      </c>
      <c r="K155" s="11">
        <f>E155+H155</f>
        <v/>
      </c>
      <c r="L155" s="11">
        <f>J155+K155</f>
        <v/>
      </c>
      <c r="M155" s="12">
        <f>IF(C155=0,0,L155/C155*100)</f>
        <v/>
      </c>
    </row>
    <row r="157">
      <c r="A157" s="13" t="inlineStr">
        <is>
          <t>Day 12 - 2026-10-16 (Fri 30 Aswin 2083)</t>
        </is>
      </c>
    </row>
    <row r="158">
      <c r="A158" s="6" t="inlineStr">
        <is>
          <t>Ward no.</t>
        </is>
      </c>
      <c r="B158" s="6" t="inlineStr">
        <is>
          <t>Total population</t>
        </is>
      </c>
      <c r="C158" s="6" t="inlineStr">
        <is>
          <t>JE target population</t>
        </is>
      </c>
      <c r="D158" s="6" t="inlineStr">
        <is>
          <t>Vaccinated</t>
        </is>
      </c>
      <c r="E158" s="6" t="n"/>
      <c r="F158" s="6" t="n"/>
      <c r="G158" s="6" t="n"/>
      <c r="H158" s="6" t="n"/>
      <c r="I158" s="6" t="n"/>
      <c r="J158" s="6" t="n"/>
      <c r="K158" s="6" t="n"/>
      <c r="L158" s="6" t="n"/>
      <c r="M158" s="6" t="inlineStr">
        <is>
          <t>Progress %</t>
        </is>
      </c>
    </row>
    <row r="159">
      <c r="A159" s="6" t="n"/>
      <c r="B159" s="6" t="n"/>
      <c r="C159" s="6" t="n"/>
      <c r="D159" s="6" t="inlineStr">
        <is>
          <t>Age 30-60 yrs</t>
        </is>
      </c>
      <c r="E159" s="6" t="n"/>
      <c r="F159" s="6" t="n"/>
      <c r="G159" s="6" t="inlineStr">
        <is>
          <t>Age 60 above</t>
        </is>
      </c>
      <c r="H159" s="6" t="n"/>
      <c r="I159" s="6" t="n"/>
      <c r="J159" s="6" t="inlineStr">
        <is>
          <t>Total</t>
        </is>
      </c>
      <c r="K159" s="6" t="n"/>
      <c r="L159" s="6" t="inlineStr">
        <is>
          <t>Grand Total</t>
        </is>
      </c>
      <c r="M159" s="6" t="n"/>
    </row>
    <row r="160">
      <c r="A160" s="6" t="n"/>
      <c r="B160" s="6" t="n"/>
      <c r="C160" s="6" t="n"/>
      <c r="D160" s="6" t="inlineStr">
        <is>
          <t>F</t>
        </is>
      </c>
      <c r="E160" s="6" t="inlineStr">
        <is>
          <t>M</t>
        </is>
      </c>
      <c r="F160" s="6" t="inlineStr">
        <is>
          <t>Total</t>
        </is>
      </c>
      <c r="G160" s="6" t="inlineStr">
        <is>
          <t>F</t>
        </is>
      </c>
      <c r="H160" s="6" t="inlineStr">
        <is>
          <t>M</t>
        </is>
      </c>
      <c r="I160" s="6" t="inlineStr">
        <is>
          <t>Total</t>
        </is>
      </c>
      <c r="J160" s="6" t="inlineStr">
        <is>
          <t>F</t>
        </is>
      </c>
      <c r="K160" s="6" t="inlineStr">
        <is>
          <t>M</t>
        </is>
      </c>
      <c r="L160" s="6" t="n"/>
      <c r="M160" s="6" t="n"/>
    </row>
    <row r="161">
      <c r="A161" s="7" t="n">
        <v>1</v>
      </c>
      <c r="B161" s="8">
        <f>B5</f>
        <v/>
      </c>
      <c r="C161" s="8">
        <f>C5</f>
        <v/>
      </c>
      <c r="D161" s="14" t="n"/>
      <c r="E161" s="14" t="n"/>
      <c r="F161" s="8">
        <f>D161+E161</f>
        <v/>
      </c>
      <c r="G161" s="14" t="n"/>
      <c r="H161" s="14" t="n"/>
      <c r="I161" s="8">
        <f>G161+H161</f>
        <v/>
      </c>
      <c r="J161" s="8">
        <f>D161+G161</f>
        <v/>
      </c>
      <c r="K161" s="8">
        <f>E161+H161</f>
        <v/>
      </c>
      <c r="L161" s="8">
        <f>J161+K161</f>
        <v/>
      </c>
      <c r="M161" s="9">
        <f>IF(C161=0,0,L161/C161*100)</f>
        <v/>
      </c>
    </row>
    <row r="162">
      <c r="A162" s="7" t="n">
        <v>2</v>
      </c>
      <c r="B162" s="8">
        <f>B6</f>
        <v/>
      </c>
      <c r="C162" s="8">
        <f>C6</f>
        <v/>
      </c>
      <c r="D162" s="14" t="n"/>
      <c r="E162" s="14" t="n"/>
      <c r="F162" s="8">
        <f>D162+E162</f>
        <v/>
      </c>
      <c r="G162" s="14" t="n"/>
      <c r="H162" s="14" t="n"/>
      <c r="I162" s="8">
        <f>G162+H162</f>
        <v/>
      </c>
      <c r="J162" s="8">
        <f>D162+G162</f>
        <v/>
      </c>
      <c r="K162" s="8">
        <f>E162+H162</f>
        <v/>
      </c>
      <c r="L162" s="8">
        <f>J162+K162</f>
        <v/>
      </c>
      <c r="M162" s="9">
        <f>IF(C162=0,0,L162/C162*100)</f>
        <v/>
      </c>
    </row>
    <row r="163">
      <c r="A163" s="7" t="n">
        <v>3</v>
      </c>
      <c r="B163" s="8">
        <f>B7</f>
        <v/>
      </c>
      <c r="C163" s="8">
        <f>C7</f>
        <v/>
      </c>
      <c r="D163" s="14" t="n"/>
      <c r="E163" s="14" t="n"/>
      <c r="F163" s="8">
        <f>D163+E163</f>
        <v/>
      </c>
      <c r="G163" s="14" t="n"/>
      <c r="H163" s="14" t="n"/>
      <c r="I163" s="8">
        <f>G163+H163</f>
        <v/>
      </c>
      <c r="J163" s="8">
        <f>D163+G163</f>
        <v/>
      </c>
      <c r="K163" s="8">
        <f>E163+H163</f>
        <v/>
      </c>
      <c r="L163" s="8">
        <f>J163+K163</f>
        <v/>
      </c>
      <c r="M163" s="9">
        <f>IF(C163=0,0,L163/C163*100)</f>
        <v/>
      </c>
    </row>
    <row r="164">
      <c r="A164" s="7" t="n">
        <v>4</v>
      </c>
      <c r="B164" s="8">
        <f>B8</f>
        <v/>
      </c>
      <c r="C164" s="8">
        <f>C8</f>
        <v/>
      </c>
      <c r="D164" s="14" t="n"/>
      <c r="E164" s="14" t="n"/>
      <c r="F164" s="8">
        <f>D164+E164</f>
        <v/>
      </c>
      <c r="G164" s="14" t="n"/>
      <c r="H164" s="14" t="n"/>
      <c r="I164" s="8">
        <f>G164+H164</f>
        <v/>
      </c>
      <c r="J164" s="8">
        <f>D164+G164</f>
        <v/>
      </c>
      <c r="K164" s="8">
        <f>E164+H164</f>
        <v/>
      </c>
      <c r="L164" s="8">
        <f>J164+K164</f>
        <v/>
      </c>
      <c r="M164" s="9">
        <f>IF(C164=0,0,L164/C164*100)</f>
        <v/>
      </c>
    </row>
    <row r="165">
      <c r="A165" s="7" t="n">
        <v>5</v>
      </c>
      <c r="B165" s="8">
        <f>B9</f>
        <v/>
      </c>
      <c r="C165" s="8">
        <f>C9</f>
        <v/>
      </c>
      <c r="D165" s="14" t="n"/>
      <c r="E165" s="14" t="n"/>
      <c r="F165" s="8">
        <f>D165+E165</f>
        <v/>
      </c>
      <c r="G165" s="14" t="n"/>
      <c r="H165" s="14" t="n"/>
      <c r="I165" s="8">
        <f>G165+H165</f>
        <v/>
      </c>
      <c r="J165" s="8">
        <f>D165+G165</f>
        <v/>
      </c>
      <c r="K165" s="8">
        <f>E165+H165</f>
        <v/>
      </c>
      <c r="L165" s="8">
        <f>J165+K165</f>
        <v/>
      </c>
      <c r="M165" s="9">
        <f>IF(C165=0,0,L165/C165*100)</f>
        <v/>
      </c>
    </row>
    <row r="166">
      <c r="A166" s="7" t="n">
        <v>6</v>
      </c>
      <c r="B166" s="8">
        <f>B10</f>
        <v/>
      </c>
      <c r="C166" s="8">
        <f>C10</f>
        <v/>
      </c>
      <c r="D166" s="14" t="n"/>
      <c r="E166" s="14" t="n"/>
      <c r="F166" s="8">
        <f>D166+E166</f>
        <v/>
      </c>
      <c r="G166" s="14" t="n"/>
      <c r="H166" s="14" t="n"/>
      <c r="I166" s="8">
        <f>G166+H166</f>
        <v/>
      </c>
      <c r="J166" s="8">
        <f>D166+G166</f>
        <v/>
      </c>
      <c r="K166" s="8">
        <f>E166+H166</f>
        <v/>
      </c>
      <c r="L166" s="8">
        <f>J166+K166</f>
        <v/>
      </c>
      <c r="M166" s="9">
        <f>IF(C166=0,0,L166/C166*100)</f>
        <v/>
      </c>
    </row>
    <row r="167">
      <c r="A167" s="7" t="n">
        <v>7</v>
      </c>
      <c r="B167" s="8">
        <f>B11</f>
        <v/>
      </c>
      <c r="C167" s="8">
        <f>C11</f>
        <v/>
      </c>
      <c r="D167" s="14" t="n"/>
      <c r="E167" s="14" t="n"/>
      <c r="F167" s="8">
        <f>D167+E167</f>
        <v/>
      </c>
      <c r="G167" s="14" t="n"/>
      <c r="H167" s="14" t="n"/>
      <c r="I167" s="8">
        <f>G167+H167</f>
        <v/>
      </c>
      <c r="J167" s="8">
        <f>D167+G167</f>
        <v/>
      </c>
      <c r="K167" s="8">
        <f>E167+H167</f>
        <v/>
      </c>
      <c r="L167" s="8">
        <f>J167+K167</f>
        <v/>
      </c>
      <c r="M167" s="9">
        <f>IF(C167=0,0,L167/C167*100)</f>
        <v/>
      </c>
    </row>
    <row r="168">
      <c r="A168" s="10" t="inlineStr">
        <is>
          <t>Total</t>
        </is>
      </c>
      <c r="B168" s="11">
        <f>SUM(B161:B167)</f>
        <v/>
      </c>
      <c r="C168" s="11">
        <f>SUM(C161:C167)</f>
        <v/>
      </c>
      <c r="D168" s="11">
        <f>SUM(D161:D167)</f>
        <v/>
      </c>
      <c r="E168" s="11">
        <f>SUM(E161:E167)</f>
        <v/>
      </c>
      <c r="F168" s="11">
        <f>D168+E168</f>
        <v/>
      </c>
      <c r="G168" s="11">
        <f>SUM(G161:G167)</f>
        <v/>
      </c>
      <c r="H168" s="11">
        <f>SUM(H161:H167)</f>
        <v/>
      </c>
      <c r="I168" s="11">
        <f>G168+H168</f>
        <v/>
      </c>
      <c r="J168" s="11">
        <f>D168+G168</f>
        <v/>
      </c>
      <c r="K168" s="11">
        <f>E168+H168</f>
        <v/>
      </c>
      <c r="L168" s="11">
        <f>J168+K168</f>
        <v/>
      </c>
      <c r="M168" s="12">
        <f>IF(C168=0,0,L168/C168*100)</f>
        <v/>
      </c>
    </row>
    <row r="170">
      <c r="A170" s="13" t="inlineStr">
        <is>
          <t>Day 13 - 2026-10-17 (Sat 31 Aswin 2083)</t>
        </is>
      </c>
    </row>
    <row r="171">
      <c r="A171" s="6" t="inlineStr">
        <is>
          <t>Ward no.</t>
        </is>
      </c>
      <c r="B171" s="6" t="inlineStr">
        <is>
          <t>Total population</t>
        </is>
      </c>
      <c r="C171" s="6" t="inlineStr">
        <is>
          <t>JE target population</t>
        </is>
      </c>
      <c r="D171" s="6" t="inlineStr">
        <is>
          <t>Vaccinated</t>
        </is>
      </c>
      <c r="E171" s="6" t="n"/>
      <c r="F171" s="6" t="n"/>
      <c r="G171" s="6" t="n"/>
      <c r="H171" s="6" t="n"/>
      <c r="I171" s="6" t="n"/>
      <c r="J171" s="6" t="n"/>
      <c r="K171" s="6" t="n"/>
      <c r="L171" s="6" t="n"/>
      <c r="M171" s="6" t="inlineStr">
        <is>
          <t>Progress %</t>
        </is>
      </c>
    </row>
    <row r="172">
      <c r="A172" s="6" t="n"/>
      <c r="B172" s="6" t="n"/>
      <c r="C172" s="6" t="n"/>
      <c r="D172" s="6" t="inlineStr">
        <is>
          <t>Age 30-60 yrs</t>
        </is>
      </c>
      <c r="E172" s="6" t="n"/>
      <c r="F172" s="6" t="n"/>
      <c r="G172" s="6" t="inlineStr">
        <is>
          <t>Age 60 above</t>
        </is>
      </c>
      <c r="H172" s="6" t="n"/>
      <c r="I172" s="6" t="n"/>
      <c r="J172" s="6" t="inlineStr">
        <is>
          <t>Total</t>
        </is>
      </c>
      <c r="K172" s="6" t="n"/>
      <c r="L172" s="6" t="inlineStr">
        <is>
          <t>Grand Total</t>
        </is>
      </c>
      <c r="M172" s="6" t="n"/>
    </row>
    <row r="173">
      <c r="A173" s="6" t="n"/>
      <c r="B173" s="6" t="n"/>
      <c r="C173" s="6" t="n"/>
      <c r="D173" s="6" t="inlineStr">
        <is>
          <t>F</t>
        </is>
      </c>
      <c r="E173" s="6" t="inlineStr">
        <is>
          <t>M</t>
        </is>
      </c>
      <c r="F173" s="6" t="inlineStr">
        <is>
          <t>Total</t>
        </is>
      </c>
      <c r="G173" s="6" t="inlineStr">
        <is>
          <t>F</t>
        </is>
      </c>
      <c r="H173" s="6" t="inlineStr">
        <is>
          <t>M</t>
        </is>
      </c>
      <c r="I173" s="6" t="inlineStr">
        <is>
          <t>Total</t>
        </is>
      </c>
      <c r="J173" s="6" t="inlineStr">
        <is>
          <t>F</t>
        </is>
      </c>
      <c r="K173" s="6" t="inlineStr">
        <is>
          <t>M</t>
        </is>
      </c>
      <c r="L173" s="6" t="n"/>
      <c r="M173" s="6" t="n"/>
    </row>
    <row r="174">
      <c r="A174" s="7" t="n">
        <v>1</v>
      </c>
      <c r="B174" s="8">
        <f>B5</f>
        <v/>
      </c>
      <c r="C174" s="8">
        <f>C5</f>
        <v/>
      </c>
      <c r="D174" s="14" t="n"/>
      <c r="E174" s="14" t="n"/>
      <c r="F174" s="8">
        <f>D174+E174</f>
        <v/>
      </c>
      <c r="G174" s="14" t="n"/>
      <c r="H174" s="14" t="n"/>
      <c r="I174" s="8">
        <f>G174+H174</f>
        <v/>
      </c>
      <c r="J174" s="8">
        <f>D174+G174</f>
        <v/>
      </c>
      <c r="K174" s="8">
        <f>E174+H174</f>
        <v/>
      </c>
      <c r="L174" s="8">
        <f>J174+K174</f>
        <v/>
      </c>
      <c r="M174" s="9">
        <f>IF(C174=0,0,L174/C174*100)</f>
        <v/>
      </c>
    </row>
    <row r="175">
      <c r="A175" s="7" t="n">
        <v>2</v>
      </c>
      <c r="B175" s="8">
        <f>B6</f>
        <v/>
      </c>
      <c r="C175" s="8">
        <f>C6</f>
        <v/>
      </c>
      <c r="D175" s="14" t="n"/>
      <c r="E175" s="14" t="n"/>
      <c r="F175" s="8">
        <f>D175+E175</f>
        <v/>
      </c>
      <c r="G175" s="14" t="n"/>
      <c r="H175" s="14" t="n"/>
      <c r="I175" s="8">
        <f>G175+H175</f>
        <v/>
      </c>
      <c r="J175" s="8">
        <f>D175+G175</f>
        <v/>
      </c>
      <c r="K175" s="8">
        <f>E175+H175</f>
        <v/>
      </c>
      <c r="L175" s="8">
        <f>J175+K175</f>
        <v/>
      </c>
      <c r="M175" s="9">
        <f>IF(C175=0,0,L175/C175*100)</f>
        <v/>
      </c>
    </row>
    <row r="176">
      <c r="A176" s="7" t="n">
        <v>3</v>
      </c>
      <c r="B176" s="8">
        <f>B7</f>
        <v/>
      </c>
      <c r="C176" s="8">
        <f>C7</f>
        <v/>
      </c>
      <c r="D176" s="14" t="n"/>
      <c r="E176" s="14" t="n"/>
      <c r="F176" s="8">
        <f>D176+E176</f>
        <v/>
      </c>
      <c r="G176" s="14" t="n"/>
      <c r="H176" s="14" t="n"/>
      <c r="I176" s="8">
        <f>G176+H176</f>
        <v/>
      </c>
      <c r="J176" s="8">
        <f>D176+G176</f>
        <v/>
      </c>
      <c r="K176" s="8">
        <f>E176+H176</f>
        <v/>
      </c>
      <c r="L176" s="8">
        <f>J176+K176</f>
        <v/>
      </c>
      <c r="M176" s="9">
        <f>IF(C176=0,0,L176/C176*100)</f>
        <v/>
      </c>
    </row>
    <row r="177">
      <c r="A177" s="7" t="n">
        <v>4</v>
      </c>
      <c r="B177" s="8">
        <f>B8</f>
        <v/>
      </c>
      <c r="C177" s="8">
        <f>C8</f>
        <v/>
      </c>
      <c r="D177" s="14" t="n"/>
      <c r="E177" s="14" t="n"/>
      <c r="F177" s="8">
        <f>D177+E177</f>
        <v/>
      </c>
      <c r="G177" s="14" t="n"/>
      <c r="H177" s="14" t="n"/>
      <c r="I177" s="8">
        <f>G177+H177</f>
        <v/>
      </c>
      <c r="J177" s="8">
        <f>D177+G177</f>
        <v/>
      </c>
      <c r="K177" s="8">
        <f>E177+H177</f>
        <v/>
      </c>
      <c r="L177" s="8">
        <f>J177+K177</f>
        <v/>
      </c>
      <c r="M177" s="9">
        <f>IF(C177=0,0,L177/C177*100)</f>
        <v/>
      </c>
    </row>
    <row r="178">
      <c r="A178" s="7" t="n">
        <v>5</v>
      </c>
      <c r="B178" s="8">
        <f>B9</f>
        <v/>
      </c>
      <c r="C178" s="8">
        <f>C9</f>
        <v/>
      </c>
      <c r="D178" s="14" t="n"/>
      <c r="E178" s="14" t="n"/>
      <c r="F178" s="8">
        <f>D178+E178</f>
        <v/>
      </c>
      <c r="G178" s="14" t="n"/>
      <c r="H178" s="14" t="n"/>
      <c r="I178" s="8">
        <f>G178+H178</f>
        <v/>
      </c>
      <c r="J178" s="8">
        <f>D178+G178</f>
        <v/>
      </c>
      <c r="K178" s="8">
        <f>E178+H178</f>
        <v/>
      </c>
      <c r="L178" s="8">
        <f>J178+K178</f>
        <v/>
      </c>
      <c r="M178" s="9">
        <f>IF(C178=0,0,L178/C178*100)</f>
        <v/>
      </c>
    </row>
    <row r="179">
      <c r="A179" s="7" t="n">
        <v>6</v>
      </c>
      <c r="B179" s="8">
        <f>B10</f>
        <v/>
      </c>
      <c r="C179" s="8">
        <f>C10</f>
        <v/>
      </c>
      <c r="D179" s="14" t="n"/>
      <c r="E179" s="14" t="n"/>
      <c r="F179" s="8">
        <f>D179+E179</f>
        <v/>
      </c>
      <c r="G179" s="14" t="n"/>
      <c r="H179" s="14" t="n"/>
      <c r="I179" s="8">
        <f>G179+H179</f>
        <v/>
      </c>
      <c r="J179" s="8">
        <f>D179+G179</f>
        <v/>
      </c>
      <c r="K179" s="8">
        <f>E179+H179</f>
        <v/>
      </c>
      <c r="L179" s="8">
        <f>J179+K179</f>
        <v/>
      </c>
      <c r="M179" s="9">
        <f>IF(C179=0,0,L179/C179*100)</f>
        <v/>
      </c>
    </row>
    <row r="180">
      <c r="A180" s="7" t="n">
        <v>7</v>
      </c>
      <c r="B180" s="8">
        <f>B11</f>
        <v/>
      </c>
      <c r="C180" s="8">
        <f>C11</f>
        <v/>
      </c>
      <c r="D180" s="14" t="n"/>
      <c r="E180" s="14" t="n"/>
      <c r="F180" s="8">
        <f>D180+E180</f>
        <v/>
      </c>
      <c r="G180" s="14" t="n"/>
      <c r="H180" s="14" t="n"/>
      <c r="I180" s="8">
        <f>G180+H180</f>
        <v/>
      </c>
      <c r="J180" s="8">
        <f>D180+G180</f>
        <v/>
      </c>
      <c r="K180" s="8">
        <f>E180+H180</f>
        <v/>
      </c>
      <c r="L180" s="8">
        <f>J180+K180</f>
        <v/>
      </c>
      <c r="M180" s="9">
        <f>IF(C180=0,0,L180/C180*100)</f>
        <v/>
      </c>
    </row>
    <row r="181">
      <c r="A181" s="10" t="inlineStr">
        <is>
          <t>Total</t>
        </is>
      </c>
      <c r="B181" s="11">
        <f>SUM(B174:B180)</f>
        <v/>
      </c>
      <c r="C181" s="11">
        <f>SUM(C174:C180)</f>
        <v/>
      </c>
      <c r="D181" s="11">
        <f>SUM(D174:D180)</f>
        <v/>
      </c>
      <c r="E181" s="11">
        <f>SUM(E174:E180)</f>
        <v/>
      </c>
      <c r="F181" s="11">
        <f>D181+E181</f>
        <v/>
      </c>
      <c r="G181" s="11">
        <f>SUM(G174:G180)</f>
        <v/>
      </c>
      <c r="H181" s="11">
        <f>SUM(H174:H180)</f>
        <v/>
      </c>
      <c r="I181" s="11">
        <f>G181+H181</f>
        <v/>
      </c>
      <c r="J181" s="11">
        <f>D181+G181</f>
        <v/>
      </c>
      <c r="K181" s="11">
        <f>E181+H181</f>
        <v/>
      </c>
      <c r="L181" s="11">
        <f>J181+K181</f>
        <v/>
      </c>
      <c r="M181" s="12">
        <f>IF(C181=0,0,L181/C181*100)</f>
        <v/>
      </c>
    </row>
    <row r="183">
      <c r="A183" s="13" t="inlineStr">
        <is>
          <t>Day 14 - 2026-10-18 (Sun 01 Kartik 2083)</t>
        </is>
      </c>
    </row>
    <row r="184">
      <c r="A184" s="6" t="inlineStr">
        <is>
          <t>Ward no.</t>
        </is>
      </c>
      <c r="B184" s="6" t="inlineStr">
        <is>
          <t>Total population</t>
        </is>
      </c>
      <c r="C184" s="6" t="inlineStr">
        <is>
          <t>JE target population</t>
        </is>
      </c>
      <c r="D184" s="6" t="inlineStr">
        <is>
          <t>Vaccinated</t>
        </is>
      </c>
      <c r="E184" s="6" t="n"/>
      <c r="F184" s="6" t="n"/>
      <c r="G184" s="6" t="n"/>
      <c r="H184" s="6" t="n"/>
      <c r="I184" s="6" t="n"/>
      <c r="J184" s="6" t="n"/>
      <c r="K184" s="6" t="n"/>
      <c r="L184" s="6" t="n"/>
      <c r="M184" s="6" t="inlineStr">
        <is>
          <t>Progress %</t>
        </is>
      </c>
    </row>
    <row r="185">
      <c r="A185" s="6" t="n"/>
      <c r="B185" s="6" t="n"/>
      <c r="C185" s="6" t="n"/>
      <c r="D185" s="6" t="inlineStr">
        <is>
          <t>Age 30-60 yrs</t>
        </is>
      </c>
      <c r="E185" s="6" t="n"/>
      <c r="F185" s="6" t="n"/>
      <c r="G185" s="6" t="inlineStr">
        <is>
          <t>Age 60 above</t>
        </is>
      </c>
      <c r="H185" s="6" t="n"/>
      <c r="I185" s="6" t="n"/>
      <c r="J185" s="6" t="inlineStr">
        <is>
          <t>Total</t>
        </is>
      </c>
      <c r="K185" s="6" t="n"/>
      <c r="L185" s="6" t="inlineStr">
        <is>
          <t>Grand Total</t>
        </is>
      </c>
      <c r="M185" s="6" t="n"/>
    </row>
    <row r="186">
      <c r="A186" s="6" t="n"/>
      <c r="B186" s="6" t="n"/>
      <c r="C186" s="6" t="n"/>
      <c r="D186" s="6" t="inlineStr">
        <is>
          <t>F</t>
        </is>
      </c>
      <c r="E186" s="6" t="inlineStr">
        <is>
          <t>M</t>
        </is>
      </c>
      <c r="F186" s="6" t="inlineStr">
        <is>
          <t>Total</t>
        </is>
      </c>
      <c r="G186" s="6" t="inlineStr">
        <is>
          <t>F</t>
        </is>
      </c>
      <c r="H186" s="6" t="inlineStr">
        <is>
          <t>M</t>
        </is>
      </c>
      <c r="I186" s="6" t="inlineStr">
        <is>
          <t>Total</t>
        </is>
      </c>
      <c r="J186" s="6" t="inlineStr">
        <is>
          <t>F</t>
        </is>
      </c>
      <c r="K186" s="6" t="inlineStr">
        <is>
          <t>M</t>
        </is>
      </c>
      <c r="L186" s="6" t="n"/>
      <c r="M186" s="6" t="n"/>
    </row>
    <row r="187">
      <c r="A187" s="7" t="n">
        <v>1</v>
      </c>
      <c r="B187" s="8">
        <f>B5</f>
        <v/>
      </c>
      <c r="C187" s="8">
        <f>C5</f>
        <v/>
      </c>
      <c r="D187" s="14" t="n"/>
      <c r="E187" s="14" t="n"/>
      <c r="F187" s="8">
        <f>D187+E187</f>
        <v/>
      </c>
      <c r="G187" s="14" t="n"/>
      <c r="H187" s="14" t="n"/>
      <c r="I187" s="8">
        <f>G187+H187</f>
        <v/>
      </c>
      <c r="J187" s="8">
        <f>D187+G187</f>
        <v/>
      </c>
      <c r="K187" s="8">
        <f>E187+H187</f>
        <v/>
      </c>
      <c r="L187" s="8">
        <f>J187+K187</f>
        <v/>
      </c>
      <c r="M187" s="9">
        <f>IF(C187=0,0,L187/C187*100)</f>
        <v/>
      </c>
    </row>
    <row r="188">
      <c r="A188" s="7" t="n">
        <v>2</v>
      </c>
      <c r="B188" s="8">
        <f>B6</f>
        <v/>
      </c>
      <c r="C188" s="8">
        <f>C6</f>
        <v/>
      </c>
      <c r="D188" s="14" t="n"/>
      <c r="E188" s="14" t="n"/>
      <c r="F188" s="8">
        <f>D188+E188</f>
        <v/>
      </c>
      <c r="G188" s="14" t="n"/>
      <c r="H188" s="14" t="n"/>
      <c r="I188" s="8">
        <f>G188+H188</f>
        <v/>
      </c>
      <c r="J188" s="8">
        <f>D188+G188</f>
        <v/>
      </c>
      <c r="K188" s="8">
        <f>E188+H188</f>
        <v/>
      </c>
      <c r="L188" s="8">
        <f>J188+K188</f>
        <v/>
      </c>
      <c r="M188" s="9">
        <f>IF(C188=0,0,L188/C188*100)</f>
        <v/>
      </c>
    </row>
    <row r="189">
      <c r="A189" s="7" t="n">
        <v>3</v>
      </c>
      <c r="B189" s="8">
        <f>B7</f>
        <v/>
      </c>
      <c r="C189" s="8">
        <f>C7</f>
        <v/>
      </c>
      <c r="D189" s="14" t="n"/>
      <c r="E189" s="14" t="n"/>
      <c r="F189" s="8">
        <f>D189+E189</f>
        <v/>
      </c>
      <c r="G189" s="14" t="n"/>
      <c r="H189" s="14" t="n"/>
      <c r="I189" s="8">
        <f>G189+H189</f>
        <v/>
      </c>
      <c r="J189" s="8">
        <f>D189+G189</f>
        <v/>
      </c>
      <c r="K189" s="8">
        <f>E189+H189</f>
        <v/>
      </c>
      <c r="L189" s="8">
        <f>J189+K189</f>
        <v/>
      </c>
      <c r="M189" s="9">
        <f>IF(C189=0,0,L189/C189*100)</f>
        <v/>
      </c>
    </row>
    <row r="190">
      <c r="A190" s="7" t="n">
        <v>4</v>
      </c>
      <c r="B190" s="8">
        <f>B8</f>
        <v/>
      </c>
      <c r="C190" s="8">
        <f>C8</f>
        <v/>
      </c>
      <c r="D190" s="14" t="n"/>
      <c r="E190" s="14" t="n"/>
      <c r="F190" s="8">
        <f>D190+E190</f>
        <v/>
      </c>
      <c r="G190" s="14" t="n"/>
      <c r="H190" s="14" t="n"/>
      <c r="I190" s="8">
        <f>G190+H190</f>
        <v/>
      </c>
      <c r="J190" s="8">
        <f>D190+G190</f>
        <v/>
      </c>
      <c r="K190" s="8">
        <f>E190+H190</f>
        <v/>
      </c>
      <c r="L190" s="8">
        <f>J190+K190</f>
        <v/>
      </c>
      <c r="M190" s="9">
        <f>IF(C190=0,0,L190/C190*100)</f>
        <v/>
      </c>
    </row>
    <row r="191">
      <c r="A191" s="7" t="n">
        <v>5</v>
      </c>
      <c r="B191" s="8">
        <f>B9</f>
        <v/>
      </c>
      <c r="C191" s="8">
        <f>C9</f>
        <v/>
      </c>
      <c r="D191" s="14" t="n"/>
      <c r="E191" s="14" t="n"/>
      <c r="F191" s="8">
        <f>D191+E191</f>
        <v/>
      </c>
      <c r="G191" s="14" t="n"/>
      <c r="H191" s="14" t="n"/>
      <c r="I191" s="8">
        <f>G191+H191</f>
        <v/>
      </c>
      <c r="J191" s="8">
        <f>D191+G191</f>
        <v/>
      </c>
      <c r="K191" s="8">
        <f>E191+H191</f>
        <v/>
      </c>
      <c r="L191" s="8">
        <f>J191+K191</f>
        <v/>
      </c>
      <c r="M191" s="9">
        <f>IF(C191=0,0,L191/C191*100)</f>
        <v/>
      </c>
    </row>
    <row r="192">
      <c r="A192" s="7" t="n">
        <v>6</v>
      </c>
      <c r="B192" s="8">
        <f>B10</f>
        <v/>
      </c>
      <c r="C192" s="8">
        <f>C10</f>
        <v/>
      </c>
      <c r="D192" s="14" t="n"/>
      <c r="E192" s="14" t="n"/>
      <c r="F192" s="8">
        <f>D192+E192</f>
        <v/>
      </c>
      <c r="G192" s="14" t="n"/>
      <c r="H192" s="14" t="n"/>
      <c r="I192" s="8">
        <f>G192+H192</f>
        <v/>
      </c>
      <c r="J192" s="8">
        <f>D192+G192</f>
        <v/>
      </c>
      <c r="K192" s="8">
        <f>E192+H192</f>
        <v/>
      </c>
      <c r="L192" s="8">
        <f>J192+K192</f>
        <v/>
      </c>
      <c r="M192" s="9">
        <f>IF(C192=0,0,L192/C192*100)</f>
        <v/>
      </c>
    </row>
    <row r="193">
      <c r="A193" s="7" t="n">
        <v>7</v>
      </c>
      <c r="B193" s="8">
        <f>B11</f>
        <v/>
      </c>
      <c r="C193" s="8">
        <f>C11</f>
        <v/>
      </c>
      <c r="D193" s="14" t="n"/>
      <c r="E193" s="14" t="n"/>
      <c r="F193" s="8">
        <f>D193+E193</f>
        <v/>
      </c>
      <c r="G193" s="14" t="n"/>
      <c r="H193" s="14" t="n"/>
      <c r="I193" s="8">
        <f>G193+H193</f>
        <v/>
      </c>
      <c r="J193" s="8">
        <f>D193+G193</f>
        <v/>
      </c>
      <c r="K193" s="8">
        <f>E193+H193</f>
        <v/>
      </c>
      <c r="L193" s="8">
        <f>J193+K193</f>
        <v/>
      </c>
      <c r="M193" s="9">
        <f>IF(C193=0,0,L193/C193*100)</f>
        <v/>
      </c>
    </row>
    <row r="194">
      <c r="A194" s="10" t="inlineStr">
        <is>
          <t>Total</t>
        </is>
      </c>
      <c r="B194" s="11">
        <f>SUM(B187:B193)</f>
        <v/>
      </c>
      <c r="C194" s="11">
        <f>SUM(C187:C193)</f>
        <v/>
      </c>
      <c r="D194" s="11">
        <f>SUM(D187:D193)</f>
        <v/>
      </c>
      <c r="E194" s="11">
        <f>SUM(E187:E193)</f>
        <v/>
      </c>
      <c r="F194" s="11">
        <f>D194+E194</f>
        <v/>
      </c>
      <c r="G194" s="11">
        <f>SUM(G187:G193)</f>
        <v/>
      </c>
      <c r="H194" s="11">
        <f>SUM(H187:H193)</f>
        <v/>
      </c>
      <c r="I194" s="11">
        <f>G194+H194</f>
        <v/>
      </c>
      <c r="J194" s="11">
        <f>D194+G194</f>
        <v/>
      </c>
      <c r="K194" s="11">
        <f>E194+H194</f>
        <v/>
      </c>
      <c r="L194" s="11">
        <f>J194+K194</f>
        <v/>
      </c>
      <c r="M194" s="12">
        <f>IF(C194=0,0,L194/C194*100)</f>
        <v/>
      </c>
    </row>
    <row r="196">
      <c r="A196" s="13" t="inlineStr">
        <is>
          <t>Day 15 - 2026-10-19 (Mon 02 Kartik 2083)</t>
        </is>
      </c>
    </row>
    <row r="197">
      <c r="A197" s="6" t="inlineStr">
        <is>
          <t>Ward no.</t>
        </is>
      </c>
      <c r="B197" s="6" t="inlineStr">
        <is>
          <t>Total population</t>
        </is>
      </c>
      <c r="C197" s="6" t="inlineStr">
        <is>
          <t>JE target population</t>
        </is>
      </c>
      <c r="D197" s="6" t="inlineStr">
        <is>
          <t>Vaccinated</t>
        </is>
      </c>
      <c r="E197" s="6" t="n"/>
      <c r="F197" s="6" t="n"/>
      <c r="G197" s="6" t="n"/>
      <c r="H197" s="6" t="n"/>
      <c r="I197" s="6" t="n"/>
      <c r="J197" s="6" t="n"/>
      <c r="K197" s="6" t="n"/>
      <c r="L197" s="6" t="n"/>
      <c r="M197" s="6" t="inlineStr">
        <is>
          <t>Progress %</t>
        </is>
      </c>
    </row>
    <row r="198">
      <c r="A198" s="6" t="n"/>
      <c r="B198" s="6" t="n"/>
      <c r="C198" s="6" t="n"/>
      <c r="D198" s="6" t="inlineStr">
        <is>
          <t>Age 30-60 yrs</t>
        </is>
      </c>
      <c r="E198" s="6" t="n"/>
      <c r="F198" s="6" t="n"/>
      <c r="G198" s="6" t="inlineStr">
        <is>
          <t>Age 60 above</t>
        </is>
      </c>
      <c r="H198" s="6" t="n"/>
      <c r="I198" s="6" t="n"/>
      <c r="J198" s="6" t="inlineStr">
        <is>
          <t>Total</t>
        </is>
      </c>
      <c r="K198" s="6" t="n"/>
      <c r="L198" s="6" t="inlineStr">
        <is>
          <t>Grand Total</t>
        </is>
      </c>
      <c r="M198" s="6" t="n"/>
    </row>
    <row r="199">
      <c r="A199" s="6" t="n"/>
      <c r="B199" s="6" t="n"/>
      <c r="C199" s="6" t="n"/>
      <c r="D199" s="6" t="inlineStr">
        <is>
          <t>F</t>
        </is>
      </c>
      <c r="E199" s="6" t="inlineStr">
        <is>
          <t>M</t>
        </is>
      </c>
      <c r="F199" s="6" t="inlineStr">
        <is>
          <t>Total</t>
        </is>
      </c>
      <c r="G199" s="6" t="inlineStr">
        <is>
          <t>F</t>
        </is>
      </c>
      <c r="H199" s="6" t="inlineStr">
        <is>
          <t>M</t>
        </is>
      </c>
      <c r="I199" s="6" t="inlineStr">
        <is>
          <t>Total</t>
        </is>
      </c>
      <c r="J199" s="6" t="inlineStr">
        <is>
          <t>F</t>
        </is>
      </c>
      <c r="K199" s="6" t="inlineStr">
        <is>
          <t>M</t>
        </is>
      </c>
      <c r="L199" s="6" t="n"/>
      <c r="M199" s="6" t="n"/>
    </row>
    <row r="200">
      <c r="A200" s="7" t="n">
        <v>1</v>
      </c>
      <c r="B200" s="8">
        <f>B5</f>
        <v/>
      </c>
      <c r="C200" s="8">
        <f>C5</f>
        <v/>
      </c>
      <c r="D200" s="14" t="n"/>
      <c r="E200" s="14" t="n"/>
      <c r="F200" s="8">
        <f>D200+E200</f>
        <v/>
      </c>
      <c r="G200" s="14" t="n"/>
      <c r="H200" s="14" t="n"/>
      <c r="I200" s="8">
        <f>G200+H200</f>
        <v/>
      </c>
      <c r="J200" s="8">
        <f>D200+G200</f>
        <v/>
      </c>
      <c r="K200" s="8">
        <f>E200+H200</f>
        <v/>
      </c>
      <c r="L200" s="8">
        <f>J200+K200</f>
        <v/>
      </c>
      <c r="M200" s="9">
        <f>IF(C200=0,0,L200/C200*100)</f>
        <v/>
      </c>
    </row>
    <row r="201">
      <c r="A201" s="7" t="n">
        <v>2</v>
      </c>
      <c r="B201" s="8">
        <f>B6</f>
        <v/>
      </c>
      <c r="C201" s="8">
        <f>C6</f>
        <v/>
      </c>
      <c r="D201" s="14" t="n"/>
      <c r="E201" s="14" t="n"/>
      <c r="F201" s="8">
        <f>D201+E201</f>
        <v/>
      </c>
      <c r="G201" s="14" t="n"/>
      <c r="H201" s="14" t="n"/>
      <c r="I201" s="8">
        <f>G201+H201</f>
        <v/>
      </c>
      <c r="J201" s="8">
        <f>D201+G201</f>
        <v/>
      </c>
      <c r="K201" s="8">
        <f>E201+H201</f>
        <v/>
      </c>
      <c r="L201" s="8">
        <f>J201+K201</f>
        <v/>
      </c>
      <c r="M201" s="9">
        <f>IF(C201=0,0,L201/C201*100)</f>
        <v/>
      </c>
    </row>
    <row r="202">
      <c r="A202" s="7" t="n">
        <v>3</v>
      </c>
      <c r="B202" s="8">
        <f>B7</f>
        <v/>
      </c>
      <c r="C202" s="8">
        <f>C7</f>
        <v/>
      </c>
      <c r="D202" s="14" t="n"/>
      <c r="E202" s="14" t="n"/>
      <c r="F202" s="8">
        <f>D202+E202</f>
        <v/>
      </c>
      <c r="G202" s="14" t="n"/>
      <c r="H202" s="14" t="n"/>
      <c r="I202" s="8">
        <f>G202+H202</f>
        <v/>
      </c>
      <c r="J202" s="8">
        <f>D202+G202</f>
        <v/>
      </c>
      <c r="K202" s="8">
        <f>E202+H202</f>
        <v/>
      </c>
      <c r="L202" s="8">
        <f>J202+K202</f>
        <v/>
      </c>
      <c r="M202" s="9">
        <f>IF(C202=0,0,L202/C202*100)</f>
        <v/>
      </c>
    </row>
    <row r="203">
      <c r="A203" s="7" t="n">
        <v>4</v>
      </c>
      <c r="B203" s="8">
        <f>B8</f>
        <v/>
      </c>
      <c r="C203" s="8">
        <f>C8</f>
        <v/>
      </c>
      <c r="D203" s="14" t="n"/>
      <c r="E203" s="14" t="n"/>
      <c r="F203" s="8">
        <f>D203+E203</f>
        <v/>
      </c>
      <c r="G203" s="14" t="n"/>
      <c r="H203" s="14" t="n"/>
      <c r="I203" s="8">
        <f>G203+H203</f>
        <v/>
      </c>
      <c r="J203" s="8">
        <f>D203+G203</f>
        <v/>
      </c>
      <c r="K203" s="8">
        <f>E203+H203</f>
        <v/>
      </c>
      <c r="L203" s="8">
        <f>J203+K203</f>
        <v/>
      </c>
      <c r="M203" s="9">
        <f>IF(C203=0,0,L203/C203*100)</f>
        <v/>
      </c>
    </row>
    <row r="204">
      <c r="A204" s="7" t="n">
        <v>5</v>
      </c>
      <c r="B204" s="8">
        <f>B9</f>
        <v/>
      </c>
      <c r="C204" s="8">
        <f>C9</f>
        <v/>
      </c>
      <c r="D204" s="14" t="n"/>
      <c r="E204" s="14" t="n"/>
      <c r="F204" s="8">
        <f>D204+E204</f>
        <v/>
      </c>
      <c r="G204" s="14" t="n"/>
      <c r="H204" s="14" t="n"/>
      <c r="I204" s="8">
        <f>G204+H204</f>
        <v/>
      </c>
      <c r="J204" s="8">
        <f>D204+G204</f>
        <v/>
      </c>
      <c r="K204" s="8">
        <f>E204+H204</f>
        <v/>
      </c>
      <c r="L204" s="8">
        <f>J204+K204</f>
        <v/>
      </c>
      <c r="M204" s="9">
        <f>IF(C204=0,0,L204/C204*100)</f>
        <v/>
      </c>
    </row>
    <row r="205">
      <c r="A205" s="7" t="n">
        <v>6</v>
      </c>
      <c r="B205" s="8">
        <f>B10</f>
        <v/>
      </c>
      <c r="C205" s="8">
        <f>C10</f>
        <v/>
      </c>
      <c r="D205" s="14" t="n"/>
      <c r="E205" s="14" t="n"/>
      <c r="F205" s="8">
        <f>D205+E205</f>
        <v/>
      </c>
      <c r="G205" s="14" t="n"/>
      <c r="H205" s="14" t="n"/>
      <c r="I205" s="8">
        <f>G205+H205</f>
        <v/>
      </c>
      <c r="J205" s="8">
        <f>D205+G205</f>
        <v/>
      </c>
      <c r="K205" s="8">
        <f>E205+H205</f>
        <v/>
      </c>
      <c r="L205" s="8">
        <f>J205+K205</f>
        <v/>
      </c>
      <c r="M205" s="9">
        <f>IF(C205=0,0,L205/C205*100)</f>
        <v/>
      </c>
    </row>
    <row r="206">
      <c r="A206" s="7" t="n">
        <v>7</v>
      </c>
      <c r="B206" s="8">
        <f>B11</f>
        <v/>
      </c>
      <c r="C206" s="8">
        <f>C11</f>
        <v/>
      </c>
      <c r="D206" s="14" t="n"/>
      <c r="E206" s="14" t="n"/>
      <c r="F206" s="8">
        <f>D206+E206</f>
        <v/>
      </c>
      <c r="G206" s="14" t="n"/>
      <c r="H206" s="14" t="n"/>
      <c r="I206" s="8">
        <f>G206+H206</f>
        <v/>
      </c>
      <c r="J206" s="8">
        <f>D206+G206</f>
        <v/>
      </c>
      <c r="K206" s="8">
        <f>E206+H206</f>
        <v/>
      </c>
      <c r="L206" s="8">
        <f>J206+K206</f>
        <v/>
      </c>
      <c r="M206" s="9">
        <f>IF(C206=0,0,L206/C206*100)</f>
        <v/>
      </c>
    </row>
    <row r="207">
      <c r="A207" s="10" t="inlineStr">
        <is>
          <t>Total</t>
        </is>
      </c>
      <c r="B207" s="11">
        <f>SUM(B200:B206)</f>
        <v/>
      </c>
      <c r="C207" s="11">
        <f>SUM(C200:C206)</f>
        <v/>
      </c>
      <c r="D207" s="11">
        <f>SUM(D200:D206)</f>
        <v/>
      </c>
      <c r="E207" s="11">
        <f>SUM(E200:E206)</f>
        <v/>
      </c>
      <c r="F207" s="11">
        <f>D207+E207</f>
        <v/>
      </c>
      <c r="G207" s="11">
        <f>SUM(G200:G206)</f>
        <v/>
      </c>
      <c r="H207" s="11">
        <f>SUM(H200:H206)</f>
        <v/>
      </c>
      <c r="I207" s="11">
        <f>G207+H207</f>
        <v/>
      </c>
      <c r="J207" s="11">
        <f>D207+G207</f>
        <v/>
      </c>
      <c r="K207" s="11">
        <f>E207+H207</f>
        <v/>
      </c>
      <c r="L207" s="11">
        <f>J207+K207</f>
        <v/>
      </c>
      <c r="M207" s="12">
        <f>IF(C207=0,0,L207/C207*100)</f>
        <v/>
      </c>
    </row>
  </sheetData>
  <sheetProtection selectLockedCells="0" selectUnlockedCells="0" sheet="1" objects="0" insertRows="1" insertHyperlinks="1" autoFilter="1" scenarios="0" formatColumns="0" deleteColumns="1" insertColumns="1" pivotTables="1" deleteRows="1" formatCells="0" formatRows="0" sort="1"/>
  <mergeCells count="160">
    <mergeCell ref="A144:M144"/>
    <mergeCell ref="L3:L4"/>
    <mergeCell ref="M184:M186"/>
    <mergeCell ref="J146:K146"/>
    <mergeCell ref="L146:L147"/>
    <mergeCell ref="M41:M43"/>
    <mergeCell ref="L133:L134"/>
    <mergeCell ref="M106:M108"/>
    <mergeCell ref="J68:K68"/>
    <mergeCell ref="L185:L186"/>
    <mergeCell ref="A171:A173"/>
    <mergeCell ref="A40:M40"/>
    <mergeCell ref="L55:L56"/>
    <mergeCell ref="A15:A17"/>
    <mergeCell ref="M67:M69"/>
    <mergeCell ref="D133:F133"/>
    <mergeCell ref="G16:I16"/>
    <mergeCell ref="D29:F29"/>
    <mergeCell ref="D94:F94"/>
    <mergeCell ref="L94:L95"/>
    <mergeCell ref="L81:L82"/>
    <mergeCell ref="A41:A43"/>
    <mergeCell ref="C41:C43"/>
    <mergeCell ref="C93:C95"/>
    <mergeCell ref="M132:M134"/>
    <mergeCell ref="M119:M121"/>
    <mergeCell ref="D159:F159"/>
    <mergeCell ref="G42:I42"/>
    <mergeCell ref="G107:I107"/>
    <mergeCell ref="A27:M27"/>
    <mergeCell ref="J185:K185"/>
    <mergeCell ref="L16:L17"/>
    <mergeCell ref="D2:L2"/>
    <mergeCell ref="J120:K120"/>
    <mergeCell ref="G172:I172"/>
    <mergeCell ref="D120:F120"/>
    <mergeCell ref="B171:B173"/>
    <mergeCell ref="D185:F185"/>
    <mergeCell ref="D107:F107"/>
    <mergeCell ref="L198:L199"/>
    <mergeCell ref="A184:A186"/>
    <mergeCell ref="L68:L69"/>
    <mergeCell ref="D197:L197"/>
    <mergeCell ref="A106:A108"/>
    <mergeCell ref="C106:C108"/>
    <mergeCell ref="G133:I133"/>
    <mergeCell ref="B197:B199"/>
    <mergeCell ref="D146:F146"/>
    <mergeCell ref="L42:L43"/>
    <mergeCell ref="G55:I55"/>
    <mergeCell ref="D3:F3"/>
    <mergeCell ref="L29:L30"/>
    <mergeCell ref="D68:F68"/>
    <mergeCell ref="C145:C147"/>
    <mergeCell ref="D55:F55"/>
    <mergeCell ref="C54:C56"/>
    <mergeCell ref="D15:L15"/>
    <mergeCell ref="C15:C17"/>
    <mergeCell ref="G159:I159"/>
    <mergeCell ref="A79:M79"/>
    <mergeCell ref="J94:K94"/>
    <mergeCell ref="G81:I81"/>
    <mergeCell ref="A54:A56"/>
    <mergeCell ref="A197:A199"/>
    <mergeCell ref="C197:C199"/>
    <mergeCell ref="J3:K3"/>
    <mergeCell ref="G120:I120"/>
    <mergeCell ref="A105:M105"/>
    <mergeCell ref="J159:K159"/>
    <mergeCell ref="C132:C134"/>
    <mergeCell ref="C67:C69"/>
    <mergeCell ref="J29:K29"/>
    <mergeCell ref="C119:C121"/>
    <mergeCell ref="A2:A4"/>
    <mergeCell ref="J81:K81"/>
    <mergeCell ref="B158:B160"/>
    <mergeCell ref="C2:C4"/>
    <mergeCell ref="G146:I146"/>
    <mergeCell ref="A131:M131"/>
    <mergeCell ref="B15:B17"/>
    <mergeCell ref="A53:M53"/>
    <mergeCell ref="G3:I3"/>
    <mergeCell ref="B80:B82"/>
    <mergeCell ref="G68:I68"/>
    <mergeCell ref="D16:F16"/>
    <mergeCell ref="A93:A95"/>
    <mergeCell ref="D171:L171"/>
    <mergeCell ref="M197:M199"/>
    <mergeCell ref="C158:C160"/>
    <mergeCell ref="D106:L106"/>
    <mergeCell ref="D28:L28"/>
    <mergeCell ref="A28:A30"/>
    <mergeCell ref="D93:L93"/>
    <mergeCell ref="C28:C30"/>
    <mergeCell ref="A92:M92"/>
    <mergeCell ref="B41:B43"/>
    <mergeCell ref="G29:I29"/>
    <mergeCell ref="G94:I94"/>
    <mergeCell ref="D42:F42"/>
    <mergeCell ref="A1:M1"/>
    <mergeCell ref="D67:L67"/>
    <mergeCell ref="J172:K172"/>
    <mergeCell ref="J16:K16"/>
    <mergeCell ref="D54:L54"/>
    <mergeCell ref="B2:B4"/>
    <mergeCell ref="B93:B95"/>
    <mergeCell ref="D172:F172"/>
    <mergeCell ref="C184:C186"/>
    <mergeCell ref="C171:C173"/>
    <mergeCell ref="D119:L119"/>
    <mergeCell ref="J133:K133"/>
    <mergeCell ref="J42:K42"/>
    <mergeCell ref="M54:M56"/>
    <mergeCell ref="D80:L80"/>
    <mergeCell ref="L107:L108"/>
    <mergeCell ref="B132:B134"/>
    <mergeCell ref="B28:B30"/>
    <mergeCell ref="B119:B121"/>
    <mergeCell ref="A145:A147"/>
    <mergeCell ref="D198:F198"/>
    <mergeCell ref="A14:M14"/>
    <mergeCell ref="M145:M147"/>
    <mergeCell ref="D145:L145"/>
    <mergeCell ref="D41:L41"/>
    <mergeCell ref="A170:M170"/>
    <mergeCell ref="B54:B56"/>
    <mergeCell ref="A67:A69"/>
    <mergeCell ref="M171:M173"/>
    <mergeCell ref="D184:L184"/>
    <mergeCell ref="J107:K107"/>
    <mergeCell ref="B184:B186"/>
    <mergeCell ref="M93:M95"/>
    <mergeCell ref="J55:K55"/>
    <mergeCell ref="A157:M157"/>
    <mergeCell ref="L172:L173"/>
    <mergeCell ref="B106:B108"/>
    <mergeCell ref="A132:A134"/>
    <mergeCell ref="A119:A121"/>
    <mergeCell ref="D132:L132"/>
    <mergeCell ref="G198:I198"/>
    <mergeCell ref="L159:L160"/>
    <mergeCell ref="M2:M4"/>
    <mergeCell ref="A196:M196"/>
    <mergeCell ref="G185:I185"/>
    <mergeCell ref="B145:B147"/>
    <mergeCell ref="L120:L121"/>
    <mergeCell ref="A183:M183"/>
    <mergeCell ref="B67:B69"/>
    <mergeCell ref="D81:F81"/>
    <mergeCell ref="A66:M66"/>
    <mergeCell ref="A118:M118"/>
    <mergeCell ref="A158:A160"/>
    <mergeCell ref="M158:M160"/>
    <mergeCell ref="A80:A82"/>
    <mergeCell ref="J198:K198"/>
    <mergeCell ref="D158:L158"/>
    <mergeCell ref="C80:C82"/>
    <mergeCell ref="M15:M17"/>
    <mergeCell ref="M28:M30"/>
    <mergeCell ref="M80:M82"/>
  </mergeCells>
  <dataValidations count="1">
    <dataValidation sqref="D18 D19 D20 D21 D22 D23 D24 D31 D32 D33 D34 D35 D36 D37 D44 D45 D46 D47 D48 D49 D50 D57 D58 D59 D60 D61 D62 D63 D70 D71 D72 D73 D74 D75 D76 D83 D84 D85 D86 D87 D88 D89 D96 D97 D98 D99 D100 D101 D102 D109 D110 D111 D112 D113 D114 D115 D122 D123 D124 D125 D126 D127 D128 D135 D136 D137 D138 D139 D140 D141 D148 D149 D150 D151 D152 D153 D154 D161 D162 D163 D164 D165 D166 D167 D174 D175 D176 D177 D178 D179 D180 D187 D188 D189 D190 D191 D192 D193 D200 D201 D202 D203 D204 D205 D206 E18 E19 E20 E21 E22 E23 E24 E31 E32 E33 E34 E35 E36 E37 E44 E45 E46 E47 E48 E49 E50 E57 E58 E59 E60 E61 E62 E63 E70 E71 E72 E73 E74 E75 E76 E83 E84 E85 E86 E87 E88 E89 E96 E97 E98 E99 E100 E101 E102 E109 E110 E111 E112 E113 E114 E115 E122 E123 E124 E125 E126 E127 E128 E135 E136 E137 E138 E139 E140 E141 E148 E149 E150 E151 E152 E153 E154 E161 E162 E163 E164 E165 E166 E167 E174 E175 E176 E177 E178 E179 E180 E187 E188 E189 E190 E191 E192 E193 E200 E201 E202 E203 E204 E205 E206 G18 G19 G20 G21 G22 G23 G24 G31 G32 G33 G34 G35 G36 G37 G44 G45 G46 G47 G48 G49 G50 G57 G58 G59 G60 G61 G62 G63 G70 G71 G72 G73 G74 G75 G76 G83 G84 G85 G86 G87 G88 G89 G96 G97 G98 G99 G100 G101 G102 G109 G110 G111 G112 G113 G114 G115 G122 G123 G124 G125 G126 G127 G128 G135 G136 G137 G138 G139 G140 G141 G148 G149 G150 G151 G152 G153 G154 G161 G162 G163 G164 G165 G166 G167 G174 G175 G176 G177 G178 G179 G180 G187 G188 G189 G190 G191 G192 G193 G200 G201 G202 G203 G204 G205 G206 H18 H19 H20 H21 H22 H23 H24 H31 H32 H33 H34 H35 H36 H37 H44 H45 H46 H47 H48 H49 H50 H57 H58 H59 H60 H61 H62 H63 H70 H71 H72 H73 H74 H75 H76 H83 H84 H85 H86 H87 H88 H89 H96 H97 H98 H99 H100 H101 H102 H109 H110 H111 H112 H113 H114 H115 H122 H123 H124 H125 H126 H127 H128 H135 H136 H137 H138 H139 H140 H141 H148 H149 H150 H151 H152 H153 H154 H161 H162 H163 H164 H165 H166 H167 H174 H175 H176 H177 H178 H179 H180 H187 H188 H189 H190 H191 H192 H193 H200 H201 H202 H203 H204 H205 H206" showDropDown="0" showInputMessage="0" showErrorMessage="1" allowBlank="0" errorTitle="Whole number only" error="Enter a whole number of 0 or more." type="whole" operator="greaterThanOrEqual">
      <formul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71"/>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13"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10" customWidth="1" min="12" max="12"/>
    <col width="9" customWidth="1" min="13" max="13"/>
  </cols>
  <sheetData>
    <row r="1">
      <c r="A1" s="5" t="inlineStr">
        <is>
          <t>Arjundhara Municipality - Campaign Total (5-19 Oct 2026)</t>
        </is>
      </c>
    </row>
    <row r="2">
      <c r="A2" s="6" t="inlineStr">
        <is>
          <t>Ward no.</t>
        </is>
      </c>
      <c r="B2" s="6" t="inlineStr">
        <is>
          <t>Total population</t>
        </is>
      </c>
      <c r="C2" s="6" t="inlineStr">
        <is>
          <t>JE target population</t>
        </is>
      </c>
      <c r="D2" s="6" t="inlineStr">
        <is>
          <t>Vaccinated</t>
        </is>
      </c>
      <c r="E2" s="6" t="n"/>
      <c r="F2" s="6" t="n"/>
      <c r="G2" s="6" t="n"/>
      <c r="H2" s="6" t="n"/>
      <c r="I2" s="6" t="n"/>
      <c r="J2" s="6" t="n"/>
      <c r="K2" s="6" t="n"/>
      <c r="L2" s="6" t="n"/>
      <c r="M2" s="6" t="inlineStr">
        <is>
          <t>Progress %</t>
        </is>
      </c>
    </row>
    <row r="3">
      <c r="A3" s="6" t="n"/>
      <c r="B3" s="6" t="n"/>
      <c r="C3" s="6" t="n"/>
      <c r="D3" s="6" t="inlineStr">
        <is>
          <t>Age 30-60 yrs</t>
        </is>
      </c>
      <c r="E3" s="6" t="n"/>
      <c r="F3" s="6" t="n"/>
      <c r="G3" s="6" t="inlineStr">
        <is>
          <t>Age 60 above</t>
        </is>
      </c>
      <c r="H3" s="6" t="n"/>
      <c r="I3" s="6" t="n"/>
      <c r="J3" s="6" t="inlineStr">
        <is>
          <t>Total</t>
        </is>
      </c>
      <c r="K3" s="6" t="n"/>
      <c r="L3" s="6" t="inlineStr">
        <is>
          <t>Grand Total</t>
        </is>
      </c>
      <c r="M3" s="6" t="n"/>
    </row>
    <row r="4">
      <c r="A4" s="6" t="n"/>
      <c r="B4" s="6" t="n"/>
      <c r="C4" s="6" t="n"/>
      <c r="D4" s="6" t="inlineStr">
        <is>
          <t>F</t>
        </is>
      </c>
      <c r="E4" s="6" t="inlineStr">
        <is>
          <t>M</t>
        </is>
      </c>
      <c r="F4" s="6" t="inlineStr">
        <is>
          <t>Total</t>
        </is>
      </c>
      <c r="G4" s="6" t="inlineStr">
        <is>
          <t>F</t>
        </is>
      </c>
      <c r="H4" s="6" t="inlineStr">
        <is>
          <t>M</t>
        </is>
      </c>
      <c r="I4" s="6" t="inlineStr">
        <is>
          <t>Total</t>
        </is>
      </c>
      <c r="J4" s="6" t="inlineStr">
        <is>
          <t>F</t>
        </is>
      </c>
      <c r="K4" s="6" t="inlineStr">
        <is>
          <t>M</t>
        </is>
      </c>
      <c r="L4" s="6" t="n"/>
      <c r="M4" s="6" t="n"/>
    </row>
    <row r="5">
      <c r="A5" s="7" t="n">
        <v>1</v>
      </c>
      <c r="B5" s="8" t="n">
        <v>6994</v>
      </c>
      <c r="C5" s="8" t="n">
        <v>3357.12</v>
      </c>
      <c r="D5" s="8">
        <f>D22+D39+D56+D73+D90+D107+D124+D141+D158+D175+D192+D209+D226+D243+D260</f>
        <v/>
      </c>
      <c r="E5" s="8">
        <f>E22+E39+E56+E73+E90+E107+E124+E141+E158+E175+E192+E209+E226+E243+E260</f>
        <v/>
      </c>
      <c r="F5" s="8">
        <f>D5+E5</f>
        <v/>
      </c>
      <c r="G5" s="8">
        <f>G22+G39+G56+G73+G90+G107+G124+G141+G158+G175+G192+G209+G226+G243+G260</f>
        <v/>
      </c>
      <c r="H5" s="8">
        <f>H22+H39+H56+H73+H90+H107+H124+H141+H158+H175+H192+H209+H226+H243+H260</f>
        <v/>
      </c>
      <c r="I5" s="8">
        <f>G5+H5</f>
        <v/>
      </c>
      <c r="J5" s="8">
        <f>D5+G5</f>
        <v/>
      </c>
      <c r="K5" s="8">
        <f>E5+H5</f>
        <v/>
      </c>
      <c r="L5" s="8">
        <f>J5+K5</f>
        <v/>
      </c>
      <c r="M5" s="9">
        <f>IF(C5=0,0,L5/C5*100)</f>
        <v/>
      </c>
    </row>
    <row r="6">
      <c r="A6" s="7" t="n">
        <v>2</v>
      </c>
      <c r="B6" s="8" t="n">
        <v>5836</v>
      </c>
      <c r="C6" s="8" t="n">
        <v>2801.28</v>
      </c>
      <c r="D6" s="8">
        <f>D23+D40+D57+D74+D91+D108+D125+D142+D159+D176+D193+D210+D227+D244+D261</f>
        <v/>
      </c>
      <c r="E6" s="8">
        <f>E23+E40+E57+E74+E91+E108+E125+E142+E159+E176+E193+E210+E227+E244+E261</f>
        <v/>
      </c>
      <c r="F6" s="8">
        <f>D6+E6</f>
        <v/>
      </c>
      <c r="G6" s="8">
        <f>G23+G40+G57+G74+G91+G108+G125+G142+G159+G176+G193+G210+G227+G244+G261</f>
        <v/>
      </c>
      <c r="H6" s="8">
        <f>H23+H40+H57+H74+H91+H108+H125+H142+H159+H176+H193+H210+H227+H244+H261</f>
        <v/>
      </c>
      <c r="I6" s="8">
        <f>G6+H6</f>
        <v/>
      </c>
      <c r="J6" s="8">
        <f>D6+G6</f>
        <v/>
      </c>
      <c r="K6" s="8">
        <f>E6+H6</f>
        <v/>
      </c>
      <c r="L6" s="8">
        <f>J6+K6</f>
        <v/>
      </c>
      <c r="M6" s="9">
        <f>IF(C6=0,0,L6/C6*100)</f>
        <v/>
      </c>
    </row>
    <row r="7">
      <c r="A7" s="7" t="n">
        <v>3</v>
      </c>
      <c r="B7" s="8" t="n">
        <v>7049</v>
      </c>
      <c r="C7" s="8" t="n">
        <v>3383.52</v>
      </c>
      <c r="D7" s="8">
        <f>D24+D41+D58+D75+D92+D109+D126+D143+D160+D177+D194+D211+D228+D245+D262</f>
        <v/>
      </c>
      <c r="E7" s="8">
        <f>E24+E41+E58+E75+E92+E109+E126+E143+E160+E177+E194+E211+E228+E245+E262</f>
        <v/>
      </c>
      <c r="F7" s="8">
        <f>D7+E7</f>
        <v/>
      </c>
      <c r="G7" s="8">
        <f>G24+G41+G58+G75+G92+G109+G126+G143+G160+G177+G194+G211+G228+G245+G262</f>
        <v/>
      </c>
      <c r="H7" s="8">
        <f>H24+H41+H58+H75+H92+H109+H126+H143+H160+H177+H194+H211+H228+H245+H262</f>
        <v/>
      </c>
      <c r="I7" s="8">
        <f>G7+H7</f>
        <v/>
      </c>
      <c r="J7" s="8">
        <f>D7+G7</f>
        <v/>
      </c>
      <c r="K7" s="8">
        <f>E7+H7</f>
        <v/>
      </c>
      <c r="L7" s="8">
        <f>J7+K7</f>
        <v/>
      </c>
      <c r="M7" s="9">
        <f>IF(C7=0,0,L7/C7*100)</f>
        <v/>
      </c>
    </row>
    <row r="8">
      <c r="A8" s="7" t="n">
        <v>4</v>
      </c>
      <c r="B8" s="8" t="n">
        <v>6745</v>
      </c>
      <c r="C8" s="8" t="n">
        <v>3237.6</v>
      </c>
      <c r="D8" s="8">
        <f>D25+D42+D59+D76+D93+D110+D127+D144+D161+D178+D195+D212+D229+D246+D263</f>
        <v/>
      </c>
      <c r="E8" s="8">
        <f>E25+E42+E59+E76+E93+E110+E127+E144+E161+E178+E195+E212+E229+E246+E263</f>
        <v/>
      </c>
      <c r="F8" s="8">
        <f>D8+E8</f>
        <v/>
      </c>
      <c r="G8" s="8">
        <f>G25+G42+G59+G76+G93+G110+G127+G144+G161+G178+G195+G212+G229+G246+G263</f>
        <v/>
      </c>
      <c r="H8" s="8">
        <f>H25+H42+H59+H76+H93+H110+H127+H144+H161+H178+H195+H212+H229+H246+H263</f>
        <v/>
      </c>
      <c r="I8" s="8">
        <f>G8+H8</f>
        <v/>
      </c>
      <c r="J8" s="8">
        <f>D8+G8</f>
        <v/>
      </c>
      <c r="K8" s="8">
        <f>E8+H8</f>
        <v/>
      </c>
      <c r="L8" s="8">
        <f>J8+K8</f>
        <v/>
      </c>
      <c r="M8" s="9">
        <f>IF(C8=0,0,L8/C8*100)</f>
        <v/>
      </c>
    </row>
    <row r="9">
      <c r="A9" s="7" t="n">
        <v>5</v>
      </c>
      <c r="B9" s="8" t="n">
        <v>10360</v>
      </c>
      <c r="C9" s="8" t="n">
        <v>4972.8</v>
      </c>
      <c r="D9" s="8">
        <f>D26+D43+D60+D77+D94+D111+D128+D145+D162+D179+D196+D213+D230+D247+D264</f>
        <v/>
      </c>
      <c r="E9" s="8">
        <f>E26+E43+E60+E77+E94+E111+E128+E145+E162+E179+E196+E213+E230+E247+E264</f>
        <v/>
      </c>
      <c r="F9" s="8">
        <f>D9+E9</f>
        <v/>
      </c>
      <c r="G9" s="8">
        <f>G26+G43+G60+G77+G94+G111+G128+G145+G162+G179+G196+G213+G230+G247+G264</f>
        <v/>
      </c>
      <c r="H9" s="8">
        <f>H26+H43+H60+H77+H94+H111+H128+H145+H162+H179+H196+H213+H230+H247+H264</f>
        <v/>
      </c>
      <c r="I9" s="8">
        <f>G9+H9</f>
        <v/>
      </c>
      <c r="J9" s="8">
        <f>D9+G9</f>
        <v/>
      </c>
      <c r="K9" s="8">
        <f>E9+H9</f>
        <v/>
      </c>
      <c r="L9" s="8">
        <f>J9+K9</f>
        <v/>
      </c>
      <c r="M9" s="9">
        <f>IF(C9=0,0,L9/C9*100)</f>
        <v/>
      </c>
    </row>
    <row r="10">
      <c r="A10" s="7" t="n">
        <v>6</v>
      </c>
      <c r="B10" s="8" t="n">
        <v>12099</v>
      </c>
      <c r="C10" s="8" t="n">
        <v>5807.52</v>
      </c>
      <c r="D10" s="8">
        <f>D27+D44+D61+D78+D95+D112+D129+D146+D163+D180+D197+D214+D231+D248+D265</f>
        <v/>
      </c>
      <c r="E10" s="8">
        <f>E27+E44+E61+E78+E95+E112+E129+E146+E163+E180+E197+E214+E231+E248+E265</f>
        <v/>
      </c>
      <c r="F10" s="8">
        <f>D10+E10</f>
        <v/>
      </c>
      <c r="G10" s="8">
        <f>G27+G44+G61+G78+G95+G112+G129+G146+G163+G180+G197+G214+G231+G248+G265</f>
        <v/>
      </c>
      <c r="H10" s="8">
        <f>H27+H44+H61+H78+H95+H112+H129+H146+H163+H180+H197+H214+H231+H248+H265</f>
        <v/>
      </c>
      <c r="I10" s="8">
        <f>G10+H10</f>
        <v/>
      </c>
      <c r="J10" s="8">
        <f>D10+G10</f>
        <v/>
      </c>
      <c r="K10" s="8">
        <f>E10+H10</f>
        <v/>
      </c>
      <c r="L10" s="8">
        <f>J10+K10</f>
        <v/>
      </c>
      <c r="M10" s="9">
        <f>IF(C10=0,0,L10/C10*100)</f>
        <v/>
      </c>
    </row>
    <row r="11">
      <c r="A11" s="7" t="n">
        <v>7</v>
      </c>
      <c r="B11" s="8" t="n">
        <v>4939</v>
      </c>
      <c r="C11" s="8" t="n">
        <v>2370.72</v>
      </c>
      <c r="D11" s="8">
        <f>D28+D45+D62+D79+D96+D113+D130+D147+D164+D181+D198+D215+D232+D249+D266</f>
        <v/>
      </c>
      <c r="E11" s="8">
        <f>E28+E45+E62+E79+E96+E113+E130+E147+E164+E181+E198+E215+E232+E249+E266</f>
        <v/>
      </c>
      <c r="F11" s="8">
        <f>D11+E11</f>
        <v/>
      </c>
      <c r="G11" s="8">
        <f>G28+G45+G62+G79+G96+G113+G130+G147+G164+G181+G198+G215+G232+G249+G266</f>
        <v/>
      </c>
      <c r="H11" s="8">
        <f>H28+H45+H62+H79+H96+H113+H130+H147+H164+H181+H198+H215+H232+H249+H266</f>
        <v/>
      </c>
      <c r="I11" s="8">
        <f>G11+H11</f>
        <v/>
      </c>
      <c r="J11" s="8">
        <f>D11+G11</f>
        <v/>
      </c>
      <c r="K11" s="8">
        <f>E11+H11</f>
        <v/>
      </c>
      <c r="L11" s="8">
        <f>J11+K11</f>
        <v/>
      </c>
      <c r="M11" s="9">
        <f>IF(C11=0,0,L11/C11*100)</f>
        <v/>
      </c>
    </row>
    <row r="12">
      <c r="A12" s="7" t="n">
        <v>8</v>
      </c>
      <c r="B12" s="8" t="n">
        <v>6905</v>
      </c>
      <c r="C12" s="8" t="n">
        <v>3314.4</v>
      </c>
      <c r="D12" s="8">
        <f>D29+D46+D63+D80+D97+D114+D131+D148+D165+D182+D199+D216+D233+D250+D267</f>
        <v/>
      </c>
      <c r="E12" s="8">
        <f>E29+E46+E63+E80+E97+E114+E131+E148+E165+E182+E199+E216+E233+E250+E267</f>
        <v/>
      </c>
      <c r="F12" s="8">
        <f>D12+E12</f>
        <v/>
      </c>
      <c r="G12" s="8">
        <f>G29+G46+G63+G80+G97+G114+G131+G148+G165+G182+G199+G216+G233+G250+G267</f>
        <v/>
      </c>
      <c r="H12" s="8">
        <f>H29+H46+H63+H80+H97+H114+H131+H148+H165+H182+H199+H216+H233+H250+H267</f>
        <v/>
      </c>
      <c r="I12" s="8">
        <f>G12+H12</f>
        <v/>
      </c>
      <c r="J12" s="8">
        <f>D12+G12</f>
        <v/>
      </c>
      <c r="K12" s="8">
        <f>E12+H12</f>
        <v/>
      </c>
      <c r="L12" s="8">
        <f>J12+K12</f>
        <v/>
      </c>
      <c r="M12" s="9">
        <f>IF(C12=0,0,L12/C12*100)</f>
        <v/>
      </c>
    </row>
    <row r="13">
      <c r="A13" s="7" t="n">
        <v>9</v>
      </c>
      <c r="B13" s="8" t="n">
        <v>8301</v>
      </c>
      <c r="C13" s="8" t="n">
        <v>3984.48</v>
      </c>
      <c r="D13" s="8">
        <f>D30+D47+D64+D81+D98+D115+D132+D149+D166+D183+D200+D217+D234+D251+D268</f>
        <v/>
      </c>
      <c r="E13" s="8">
        <f>E30+E47+E64+E81+E98+E115+E132+E149+E166+E183+E200+E217+E234+E251+E268</f>
        <v/>
      </c>
      <c r="F13" s="8">
        <f>D13+E13</f>
        <v/>
      </c>
      <c r="G13" s="8">
        <f>G30+G47+G64+G81+G98+G115+G132+G149+G166+G183+G200+G217+G234+G251+G268</f>
        <v/>
      </c>
      <c r="H13" s="8">
        <f>H30+H47+H64+H81+H98+H115+H132+H149+H166+H183+H200+H217+H234+H251+H268</f>
        <v/>
      </c>
      <c r="I13" s="8">
        <f>G13+H13</f>
        <v/>
      </c>
      <c r="J13" s="8">
        <f>D13+G13</f>
        <v/>
      </c>
      <c r="K13" s="8">
        <f>E13+H13</f>
        <v/>
      </c>
      <c r="L13" s="8">
        <f>J13+K13</f>
        <v/>
      </c>
      <c r="M13" s="9">
        <f>IF(C13=0,0,L13/C13*100)</f>
        <v/>
      </c>
    </row>
    <row r="14">
      <c r="A14" s="7" t="n">
        <v>10</v>
      </c>
      <c r="B14" s="8" t="n">
        <v>7266</v>
      </c>
      <c r="C14" s="8" t="n">
        <v>3487.68</v>
      </c>
      <c r="D14" s="8">
        <f>D31+D48+D65+D82+D99+D116+D133+D150+D167+D184+D201+D218+D235+D252+D269</f>
        <v/>
      </c>
      <c r="E14" s="8">
        <f>E31+E48+E65+E82+E99+E116+E133+E150+E167+E184+E201+E218+E235+E252+E269</f>
        <v/>
      </c>
      <c r="F14" s="8">
        <f>D14+E14</f>
        <v/>
      </c>
      <c r="G14" s="8">
        <f>G31+G48+G65+G82+G99+G116+G133+G150+G167+G184+G201+G218+G235+G252+G269</f>
        <v/>
      </c>
      <c r="H14" s="8">
        <f>H31+H48+H65+H82+H99+H116+H133+H150+H167+H184+H201+H218+H235+H252+H269</f>
        <v/>
      </c>
      <c r="I14" s="8">
        <f>G14+H14</f>
        <v/>
      </c>
      <c r="J14" s="8">
        <f>D14+G14</f>
        <v/>
      </c>
      <c r="K14" s="8">
        <f>E14+H14</f>
        <v/>
      </c>
      <c r="L14" s="8">
        <f>J14+K14</f>
        <v/>
      </c>
      <c r="M14" s="9">
        <f>IF(C14=0,0,L14/C14*100)</f>
        <v/>
      </c>
    </row>
    <row r="15">
      <c r="A15" s="7" t="n">
        <v>11</v>
      </c>
      <c r="B15" s="8" t="n">
        <v>12394</v>
      </c>
      <c r="C15" s="8" t="n">
        <v>5949.12</v>
      </c>
      <c r="D15" s="8">
        <f>D32+D49+D66+D83+D100+D117+D134+D151+D168+D185+D202+D219+D236+D253+D270</f>
        <v/>
      </c>
      <c r="E15" s="8">
        <f>E32+E49+E66+E83+E100+E117+E134+E151+E168+E185+E202+E219+E236+E253+E270</f>
        <v/>
      </c>
      <c r="F15" s="8">
        <f>D15+E15</f>
        <v/>
      </c>
      <c r="G15" s="8">
        <f>G32+G49+G66+G83+G100+G117+G134+G151+G168+G185+G202+G219+G236+G253+G270</f>
        <v/>
      </c>
      <c r="H15" s="8">
        <f>H32+H49+H66+H83+H100+H117+H134+H151+H168+H185+H202+H219+H236+H253+H270</f>
        <v/>
      </c>
      <c r="I15" s="8">
        <f>G15+H15</f>
        <v/>
      </c>
      <c r="J15" s="8">
        <f>D15+G15</f>
        <v/>
      </c>
      <c r="K15" s="8">
        <f>E15+H15</f>
        <v/>
      </c>
      <c r="L15" s="8">
        <f>J15+K15</f>
        <v/>
      </c>
      <c r="M15" s="9">
        <f>IF(C15=0,0,L15/C15*100)</f>
        <v/>
      </c>
    </row>
    <row r="16">
      <c r="A16" s="10" t="inlineStr">
        <is>
          <t>Total</t>
        </is>
      </c>
      <c r="B16" s="11">
        <f>SUM(B5:B15)</f>
        <v/>
      </c>
      <c r="C16" s="11">
        <f>SUM(C5:C15)</f>
        <v/>
      </c>
      <c r="D16" s="11">
        <f>SUM(D5:D15)</f>
        <v/>
      </c>
      <c r="E16" s="11">
        <f>SUM(E5:E15)</f>
        <v/>
      </c>
      <c r="F16" s="11">
        <f>D16+E16</f>
        <v/>
      </c>
      <c r="G16" s="11">
        <f>SUM(G5:G15)</f>
        <v/>
      </c>
      <c r="H16" s="11">
        <f>SUM(H5:H15)</f>
        <v/>
      </c>
      <c r="I16" s="11">
        <f>G16+H16</f>
        <v/>
      </c>
      <c r="J16" s="11">
        <f>D16+G16</f>
        <v/>
      </c>
      <c r="K16" s="11">
        <f>E16+H16</f>
        <v/>
      </c>
      <c r="L16" s="11">
        <f>J16+K16</f>
        <v/>
      </c>
      <c r="M16" s="12">
        <f>IF(C16=0,0,L16/C16*100)</f>
        <v/>
      </c>
    </row>
    <row r="18">
      <c r="A18" s="13" t="inlineStr">
        <is>
          <t>Day 1 - 2026-10-05 (Mon 19 Aswin 2083)</t>
        </is>
      </c>
    </row>
    <row r="19">
      <c r="A19" s="6" t="inlineStr">
        <is>
          <t>Ward no.</t>
        </is>
      </c>
      <c r="B19" s="6" t="inlineStr">
        <is>
          <t>Total population</t>
        </is>
      </c>
      <c r="C19" s="6" t="inlineStr">
        <is>
          <t>JE target population</t>
        </is>
      </c>
      <c r="D19" s="6" t="inlineStr">
        <is>
          <t>Vaccinated</t>
        </is>
      </c>
      <c r="E19" s="6" t="n"/>
      <c r="F19" s="6" t="n"/>
      <c r="G19" s="6" t="n"/>
      <c r="H19" s="6" t="n"/>
      <c r="I19" s="6" t="n"/>
      <c r="J19" s="6" t="n"/>
      <c r="K19" s="6" t="n"/>
      <c r="L19" s="6" t="n"/>
      <c r="M19" s="6" t="inlineStr">
        <is>
          <t>Progress %</t>
        </is>
      </c>
    </row>
    <row r="20">
      <c r="A20" s="6" t="n"/>
      <c r="B20" s="6" t="n"/>
      <c r="C20" s="6" t="n"/>
      <c r="D20" s="6" t="inlineStr">
        <is>
          <t>Age 30-60 yrs</t>
        </is>
      </c>
      <c r="E20" s="6" t="n"/>
      <c r="F20" s="6" t="n"/>
      <c r="G20" s="6" t="inlineStr">
        <is>
          <t>Age 60 above</t>
        </is>
      </c>
      <c r="H20" s="6" t="n"/>
      <c r="I20" s="6" t="n"/>
      <c r="J20" s="6" t="inlineStr">
        <is>
          <t>Total</t>
        </is>
      </c>
      <c r="K20" s="6" t="n"/>
      <c r="L20" s="6" t="inlineStr">
        <is>
          <t>Grand Total</t>
        </is>
      </c>
      <c r="M20" s="6" t="n"/>
    </row>
    <row r="21">
      <c r="A21" s="6" t="n"/>
      <c r="B21" s="6" t="n"/>
      <c r="C21" s="6" t="n"/>
      <c r="D21" s="6" t="inlineStr">
        <is>
          <t>F</t>
        </is>
      </c>
      <c r="E21" s="6" t="inlineStr">
        <is>
          <t>M</t>
        </is>
      </c>
      <c r="F21" s="6" t="inlineStr">
        <is>
          <t>Total</t>
        </is>
      </c>
      <c r="G21" s="6" t="inlineStr">
        <is>
          <t>F</t>
        </is>
      </c>
      <c r="H21" s="6" t="inlineStr">
        <is>
          <t>M</t>
        </is>
      </c>
      <c r="I21" s="6" t="inlineStr">
        <is>
          <t>Total</t>
        </is>
      </c>
      <c r="J21" s="6" t="inlineStr">
        <is>
          <t>F</t>
        </is>
      </c>
      <c r="K21" s="6" t="inlineStr">
        <is>
          <t>M</t>
        </is>
      </c>
      <c r="L21" s="6" t="n"/>
      <c r="M21" s="6" t="n"/>
    </row>
    <row r="22">
      <c r="A22" s="7" t="n">
        <v>1</v>
      </c>
      <c r="B22" s="8">
        <f>B5</f>
        <v/>
      </c>
      <c r="C22" s="8">
        <f>C5</f>
        <v/>
      </c>
      <c r="D22" s="14" t="n"/>
      <c r="E22" s="14" t="n"/>
      <c r="F22" s="8">
        <f>D22+E22</f>
        <v/>
      </c>
      <c r="G22" s="14" t="n"/>
      <c r="H22" s="14" t="n"/>
      <c r="I22" s="8">
        <f>G22+H22</f>
        <v/>
      </c>
      <c r="J22" s="8">
        <f>D22+G22</f>
        <v/>
      </c>
      <c r="K22" s="8">
        <f>E22+H22</f>
        <v/>
      </c>
      <c r="L22" s="8">
        <f>J22+K22</f>
        <v/>
      </c>
      <c r="M22" s="9">
        <f>IF(C22=0,0,L22/C22*100)</f>
        <v/>
      </c>
    </row>
    <row r="23">
      <c r="A23" s="7" t="n">
        <v>2</v>
      </c>
      <c r="B23" s="8">
        <f>B6</f>
        <v/>
      </c>
      <c r="C23" s="8">
        <f>C6</f>
        <v/>
      </c>
      <c r="D23" s="14" t="n"/>
      <c r="E23" s="14" t="n"/>
      <c r="F23" s="8">
        <f>D23+E23</f>
        <v/>
      </c>
      <c r="G23" s="14" t="n"/>
      <c r="H23" s="14" t="n"/>
      <c r="I23" s="8">
        <f>G23+H23</f>
        <v/>
      </c>
      <c r="J23" s="8">
        <f>D23+G23</f>
        <v/>
      </c>
      <c r="K23" s="8">
        <f>E23+H23</f>
        <v/>
      </c>
      <c r="L23" s="8">
        <f>J23+K23</f>
        <v/>
      </c>
      <c r="M23" s="9">
        <f>IF(C23=0,0,L23/C23*100)</f>
        <v/>
      </c>
    </row>
    <row r="24">
      <c r="A24" s="7" t="n">
        <v>3</v>
      </c>
      <c r="B24" s="8">
        <f>B7</f>
        <v/>
      </c>
      <c r="C24" s="8">
        <f>C7</f>
        <v/>
      </c>
      <c r="D24" s="14" t="n"/>
      <c r="E24" s="14" t="n"/>
      <c r="F24" s="8">
        <f>D24+E24</f>
        <v/>
      </c>
      <c r="G24" s="14" t="n"/>
      <c r="H24" s="14" t="n"/>
      <c r="I24" s="8">
        <f>G24+H24</f>
        <v/>
      </c>
      <c r="J24" s="8">
        <f>D24+G24</f>
        <v/>
      </c>
      <c r="K24" s="8">
        <f>E24+H24</f>
        <v/>
      </c>
      <c r="L24" s="8">
        <f>J24+K24</f>
        <v/>
      </c>
      <c r="M24" s="9">
        <f>IF(C24=0,0,L24/C24*100)</f>
        <v/>
      </c>
    </row>
    <row r="25">
      <c r="A25" s="7" t="n">
        <v>4</v>
      </c>
      <c r="B25" s="8">
        <f>B8</f>
        <v/>
      </c>
      <c r="C25" s="8">
        <f>C8</f>
        <v/>
      </c>
      <c r="D25" s="14" t="n"/>
      <c r="E25" s="14" t="n"/>
      <c r="F25" s="8">
        <f>D25+E25</f>
        <v/>
      </c>
      <c r="G25" s="14" t="n"/>
      <c r="H25" s="14" t="n"/>
      <c r="I25" s="8">
        <f>G25+H25</f>
        <v/>
      </c>
      <c r="J25" s="8">
        <f>D25+G25</f>
        <v/>
      </c>
      <c r="K25" s="8">
        <f>E25+H25</f>
        <v/>
      </c>
      <c r="L25" s="8">
        <f>J25+K25</f>
        <v/>
      </c>
      <c r="M25" s="9">
        <f>IF(C25=0,0,L25/C25*100)</f>
        <v/>
      </c>
    </row>
    <row r="26">
      <c r="A26" s="7" t="n">
        <v>5</v>
      </c>
      <c r="B26" s="8">
        <f>B9</f>
        <v/>
      </c>
      <c r="C26" s="8">
        <f>C9</f>
        <v/>
      </c>
      <c r="D26" s="14" t="n"/>
      <c r="E26" s="14" t="n"/>
      <c r="F26" s="8">
        <f>D26+E26</f>
        <v/>
      </c>
      <c r="G26" s="14" t="n"/>
      <c r="H26" s="14" t="n"/>
      <c r="I26" s="8">
        <f>G26+H26</f>
        <v/>
      </c>
      <c r="J26" s="8">
        <f>D26+G26</f>
        <v/>
      </c>
      <c r="K26" s="8">
        <f>E26+H26</f>
        <v/>
      </c>
      <c r="L26" s="8">
        <f>J26+K26</f>
        <v/>
      </c>
      <c r="M26" s="9">
        <f>IF(C26=0,0,L26/C26*100)</f>
        <v/>
      </c>
    </row>
    <row r="27">
      <c r="A27" s="7" t="n">
        <v>6</v>
      </c>
      <c r="B27" s="8">
        <f>B10</f>
        <v/>
      </c>
      <c r="C27" s="8">
        <f>C10</f>
        <v/>
      </c>
      <c r="D27" s="14" t="n"/>
      <c r="E27" s="14" t="n"/>
      <c r="F27" s="8">
        <f>D27+E27</f>
        <v/>
      </c>
      <c r="G27" s="14" t="n"/>
      <c r="H27" s="14" t="n"/>
      <c r="I27" s="8">
        <f>G27+H27</f>
        <v/>
      </c>
      <c r="J27" s="8">
        <f>D27+G27</f>
        <v/>
      </c>
      <c r="K27" s="8">
        <f>E27+H27</f>
        <v/>
      </c>
      <c r="L27" s="8">
        <f>J27+K27</f>
        <v/>
      </c>
      <c r="M27" s="9">
        <f>IF(C27=0,0,L27/C27*100)</f>
        <v/>
      </c>
    </row>
    <row r="28">
      <c r="A28" s="7" t="n">
        <v>7</v>
      </c>
      <c r="B28" s="8">
        <f>B11</f>
        <v/>
      </c>
      <c r="C28" s="8">
        <f>C11</f>
        <v/>
      </c>
      <c r="D28" s="14" t="n"/>
      <c r="E28" s="14" t="n"/>
      <c r="F28" s="8">
        <f>D28+E28</f>
        <v/>
      </c>
      <c r="G28" s="14" t="n"/>
      <c r="H28" s="14" t="n"/>
      <c r="I28" s="8">
        <f>G28+H28</f>
        <v/>
      </c>
      <c r="J28" s="8">
        <f>D28+G28</f>
        <v/>
      </c>
      <c r="K28" s="8">
        <f>E28+H28</f>
        <v/>
      </c>
      <c r="L28" s="8">
        <f>J28+K28</f>
        <v/>
      </c>
      <c r="M28" s="9">
        <f>IF(C28=0,0,L28/C28*100)</f>
        <v/>
      </c>
    </row>
    <row r="29">
      <c r="A29" s="7" t="n">
        <v>8</v>
      </c>
      <c r="B29" s="8">
        <f>B12</f>
        <v/>
      </c>
      <c r="C29" s="8">
        <f>C12</f>
        <v/>
      </c>
      <c r="D29" s="14" t="n"/>
      <c r="E29" s="14" t="n"/>
      <c r="F29" s="8">
        <f>D29+E29</f>
        <v/>
      </c>
      <c r="G29" s="14" t="n"/>
      <c r="H29" s="14" t="n"/>
      <c r="I29" s="8">
        <f>G29+H29</f>
        <v/>
      </c>
      <c r="J29" s="8">
        <f>D29+G29</f>
        <v/>
      </c>
      <c r="K29" s="8">
        <f>E29+H29</f>
        <v/>
      </c>
      <c r="L29" s="8">
        <f>J29+K29</f>
        <v/>
      </c>
      <c r="M29" s="9">
        <f>IF(C29=0,0,L29/C29*100)</f>
        <v/>
      </c>
    </row>
    <row r="30">
      <c r="A30" s="7" t="n">
        <v>9</v>
      </c>
      <c r="B30" s="8">
        <f>B13</f>
        <v/>
      </c>
      <c r="C30" s="8">
        <f>C13</f>
        <v/>
      </c>
      <c r="D30" s="14" t="n"/>
      <c r="E30" s="14" t="n"/>
      <c r="F30" s="8">
        <f>D30+E30</f>
        <v/>
      </c>
      <c r="G30" s="14" t="n"/>
      <c r="H30" s="14" t="n"/>
      <c r="I30" s="8">
        <f>G30+H30</f>
        <v/>
      </c>
      <c r="J30" s="8">
        <f>D30+G30</f>
        <v/>
      </c>
      <c r="K30" s="8">
        <f>E30+H30</f>
        <v/>
      </c>
      <c r="L30" s="8">
        <f>J30+K30</f>
        <v/>
      </c>
      <c r="M30" s="9">
        <f>IF(C30=0,0,L30/C30*100)</f>
        <v/>
      </c>
    </row>
    <row r="31">
      <c r="A31" s="7" t="n">
        <v>10</v>
      </c>
      <c r="B31" s="8">
        <f>B14</f>
        <v/>
      </c>
      <c r="C31" s="8">
        <f>C14</f>
        <v/>
      </c>
      <c r="D31" s="14" t="n"/>
      <c r="E31" s="14" t="n"/>
      <c r="F31" s="8">
        <f>D31+E31</f>
        <v/>
      </c>
      <c r="G31" s="14" t="n"/>
      <c r="H31" s="14" t="n"/>
      <c r="I31" s="8">
        <f>G31+H31</f>
        <v/>
      </c>
      <c r="J31" s="8">
        <f>D31+G31</f>
        <v/>
      </c>
      <c r="K31" s="8">
        <f>E31+H31</f>
        <v/>
      </c>
      <c r="L31" s="8">
        <f>J31+K31</f>
        <v/>
      </c>
      <c r="M31" s="9">
        <f>IF(C31=0,0,L31/C31*100)</f>
        <v/>
      </c>
    </row>
    <row r="32">
      <c r="A32" s="7" t="n">
        <v>11</v>
      </c>
      <c r="B32" s="8">
        <f>B15</f>
        <v/>
      </c>
      <c r="C32" s="8">
        <f>C15</f>
        <v/>
      </c>
      <c r="D32" s="14" t="n"/>
      <c r="E32" s="14" t="n"/>
      <c r="F32" s="8">
        <f>D32+E32</f>
        <v/>
      </c>
      <c r="G32" s="14" t="n"/>
      <c r="H32" s="14" t="n"/>
      <c r="I32" s="8">
        <f>G32+H32</f>
        <v/>
      </c>
      <c r="J32" s="8">
        <f>D32+G32</f>
        <v/>
      </c>
      <c r="K32" s="8">
        <f>E32+H32</f>
        <v/>
      </c>
      <c r="L32" s="8">
        <f>J32+K32</f>
        <v/>
      </c>
      <c r="M32" s="9">
        <f>IF(C32=0,0,L32/C32*100)</f>
        <v/>
      </c>
    </row>
    <row r="33">
      <c r="A33" s="10" t="inlineStr">
        <is>
          <t>Total</t>
        </is>
      </c>
      <c r="B33" s="11">
        <f>SUM(B22:B32)</f>
        <v/>
      </c>
      <c r="C33" s="11">
        <f>SUM(C22:C32)</f>
        <v/>
      </c>
      <c r="D33" s="11">
        <f>SUM(D22:D32)</f>
        <v/>
      </c>
      <c r="E33" s="11">
        <f>SUM(E22:E32)</f>
        <v/>
      </c>
      <c r="F33" s="11">
        <f>D33+E33</f>
        <v/>
      </c>
      <c r="G33" s="11">
        <f>SUM(G22:G32)</f>
        <v/>
      </c>
      <c r="H33" s="11">
        <f>SUM(H22:H32)</f>
        <v/>
      </c>
      <c r="I33" s="11">
        <f>G33+H33</f>
        <v/>
      </c>
      <c r="J33" s="11">
        <f>D33+G33</f>
        <v/>
      </c>
      <c r="K33" s="11">
        <f>E33+H33</f>
        <v/>
      </c>
      <c r="L33" s="11">
        <f>J33+K33</f>
        <v/>
      </c>
      <c r="M33" s="12">
        <f>IF(C33=0,0,L33/C33*100)</f>
        <v/>
      </c>
    </row>
    <row r="35">
      <c r="A35" s="13" t="inlineStr">
        <is>
          <t>Day 2 - 2026-10-06 (Tue 20 Aswin 2083)</t>
        </is>
      </c>
    </row>
    <row r="36">
      <c r="A36" s="6" t="inlineStr">
        <is>
          <t>Ward no.</t>
        </is>
      </c>
      <c r="B36" s="6" t="inlineStr">
        <is>
          <t>Total population</t>
        </is>
      </c>
      <c r="C36" s="6" t="inlineStr">
        <is>
          <t>JE target population</t>
        </is>
      </c>
      <c r="D36" s="6" t="inlineStr">
        <is>
          <t>Vaccinated</t>
        </is>
      </c>
      <c r="E36" s="6" t="n"/>
      <c r="F36" s="6" t="n"/>
      <c r="G36" s="6" t="n"/>
      <c r="H36" s="6" t="n"/>
      <c r="I36" s="6" t="n"/>
      <c r="J36" s="6" t="n"/>
      <c r="K36" s="6" t="n"/>
      <c r="L36" s="6" t="n"/>
      <c r="M36" s="6" t="inlineStr">
        <is>
          <t>Progress %</t>
        </is>
      </c>
    </row>
    <row r="37">
      <c r="A37" s="6" t="n"/>
      <c r="B37" s="6" t="n"/>
      <c r="C37" s="6" t="n"/>
      <c r="D37" s="6" t="inlineStr">
        <is>
          <t>Age 30-60 yrs</t>
        </is>
      </c>
      <c r="E37" s="6" t="n"/>
      <c r="F37" s="6" t="n"/>
      <c r="G37" s="6" t="inlineStr">
        <is>
          <t>Age 60 above</t>
        </is>
      </c>
      <c r="H37" s="6" t="n"/>
      <c r="I37" s="6" t="n"/>
      <c r="J37" s="6" t="inlineStr">
        <is>
          <t>Total</t>
        </is>
      </c>
      <c r="K37" s="6" t="n"/>
      <c r="L37" s="6" t="inlineStr">
        <is>
          <t>Grand Total</t>
        </is>
      </c>
      <c r="M37" s="6" t="n"/>
    </row>
    <row r="38">
      <c r="A38" s="6" t="n"/>
      <c r="B38" s="6" t="n"/>
      <c r="C38" s="6" t="n"/>
      <c r="D38" s="6" t="inlineStr">
        <is>
          <t>F</t>
        </is>
      </c>
      <c r="E38" s="6" t="inlineStr">
        <is>
          <t>M</t>
        </is>
      </c>
      <c r="F38" s="6" t="inlineStr">
        <is>
          <t>Total</t>
        </is>
      </c>
      <c r="G38" s="6" t="inlineStr">
        <is>
          <t>F</t>
        </is>
      </c>
      <c r="H38" s="6" t="inlineStr">
        <is>
          <t>M</t>
        </is>
      </c>
      <c r="I38" s="6" t="inlineStr">
        <is>
          <t>Total</t>
        </is>
      </c>
      <c r="J38" s="6" t="inlineStr">
        <is>
          <t>F</t>
        </is>
      </c>
      <c r="K38" s="6" t="inlineStr">
        <is>
          <t>M</t>
        </is>
      </c>
      <c r="L38" s="6" t="n"/>
      <c r="M38" s="6" t="n"/>
    </row>
    <row r="39">
      <c r="A39" s="7" t="n">
        <v>1</v>
      </c>
      <c r="B39" s="8">
        <f>B5</f>
        <v/>
      </c>
      <c r="C39" s="8">
        <f>C5</f>
        <v/>
      </c>
      <c r="D39" s="14" t="n"/>
      <c r="E39" s="14" t="n"/>
      <c r="F39" s="8">
        <f>D39+E39</f>
        <v/>
      </c>
      <c r="G39" s="14" t="n"/>
      <c r="H39" s="14" t="n"/>
      <c r="I39" s="8">
        <f>G39+H39</f>
        <v/>
      </c>
      <c r="J39" s="8">
        <f>D39+G39</f>
        <v/>
      </c>
      <c r="K39" s="8">
        <f>E39+H39</f>
        <v/>
      </c>
      <c r="L39" s="8">
        <f>J39+K39</f>
        <v/>
      </c>
      <c r="M39" s="9">
        <f>IF(C39=0,0,L39/C39*100)</f>
        <v/>
      </c>
    </row>
    <row r="40">
      <c r="A40" s="7" t="n">
        <v>2</v>
      </c>
      <c r="B40" s="8">
        <f>B6</f>
        <v/>
      </c>
      <c r="C40" s="8">
        <f>C6</f>
        <v/>
      </c>
      <c r="D40" s="14" t="n"/>
      <c r="E40" s="14" t="n"/>
      <c r="F40" s="8">
        <f>D40+E40</f>
        <v/>
      </c>
      <c r="G40" s="14" t="n"/>
      <c r="H40" s="14" t="n"/>
      <c r="I40" s="8">
        <f>G40+H40</f>
        <v/>
      </c>
      <c r="J40" s="8">
        <f>D40+G40</f>
        <v/>
      </c>
      <c r="K40" s="8">
        <f>E40+H40</f>
        <v/>
      </c>
      <c r="L40" s="8">
        <f>J40+K40</f>
        <v/>
      </c>
      <c r="M40" s="9">
        <f>IF(C40=0,0,L40/C40*100)</f>
        <v/>
      </c>
    </row>
    <row r="41">
      <c r="A41" s="7" t="n">
        <v>3</v>
      </c>
      <c r="B41" s="8">
        <f>B7</f>
        <v/>
      </c>
      <c r="C41" s="8">
        <f>C7</f>
        <v/>
      </c>
      <c r="D41" s="14" t="n"/>
      <c r="E41" s="14" t="n"/>
      <c r="F41" s="8">
        <f>D41+E41</f>
        <v/>
      </c>
      <c r="G41" s="14" t="n"/>
      <c r="H41" s="14" t="n"/>
      <c r="I41" s="8">
        <f>G41+H41</f>
        <v/>
      </c>
      <c r="J41" s="8">
        <f>D41+G41</f>
        <v/>
      </c>
      <c r="K41" s="8">
        <f>E41+H41</f>
        <v/>
      </c>
      <c r="L41" s="8">
        <f>J41+K41</f>
        <v/>
      </c>
      <c r="M41" s="9">
        <f>IF(C41=0,0,L41/C41*100)</f>
        <v/>
      </c>
    </row>
    <row r="42">
      <c r="A42" s="7" t="n">
        <v>4</v>
      </c>
      <c r="B42" s="8">
        <f>B8</f>
        <v/>
      </c>
      <c r="C42" s="8">
        <f>C8</f>
        <v/>
      </c>
      <c r="D42" s="14" t="n"/>
      <c r="E42" s="14" t="n"/>
      <c r="F42" s="8">
        <f>D42+E42</f>
        <v/>
      </c>
      <c r="G42" s="14" t="n"/>
      <c r="H42" s="14" t="n"/>
      <c r="I42" s="8">
        <f>G42+H42</f>
        <v/>
      </c>
      <c r="J42" s="8">
        <f>D42+G42</f>
        <v/>
      </c>
      <c r="K42" s="8">
        <f>E42+H42</f>
        <v/>
      </c>
      <c r="L42" s="8">
        <f>J42+K42</f>
        <v/>
      </c>
      <c r="M42" s="9">
        <f>IF(C42=0,0,L42/C42*100)</f>
        <v/>
      </c>
    </row>
    <row r="43">
      <c r="A43" s="7" t="n">
        <v>5</v>
      </c>
      <c r="B43" s="8">
        <f>B9</f>
        <v/>
      </c>
      <c r="C43" s="8">
        <f>C9</f>
        <v/>
      </c>
      <c r="D43" s="14" t="n"/>
      <c r="E43" s="14" t="n"/>
      <c r="F43" s="8">
        <f>D43+E43</f>
        <v/>
      </c>
      <c r="G43" s="14" t="n"/>
      <c r="H43" s="14" t="n"/>
      <c r="I43" s="8">
        <f>G43+H43</f>
        <v/>
      </c>
      <c r="J43" s="8">
        <f>D43+G43</f>
        <v/>
      </c>
      <c r="K43" s="8">
        <f>E43+H43</f>
        <v/>
      </c>
      <c r="L43" s="8">
        <f>J43+K43</f>
        <v/>
      </c>
      <c r="M43" s="9">
        <f>IF(C43=0,0,L43/C43*100)</f>
        <v/>
      </c>
    </row>
    <row r="44">
      <c r="A44" s="7" t="n">
        <v>6</v>
      </c>
      <c r="B44" s="8">
        <f>B10</f>
        <v/>
      </c>
      <c r="C44" s="8">
        <f>C10</f>
        <v/>
      </c>
      <c r="D44" s="14" t="n"/>
      <c r="E44" s="14" t="n"/>
      <c r="F44" s="8">
        <f>D44+E44</f>
        <v/>
      </c>
      <c r="G44" s="14" t="n"/>
      <c r="H44" s="14" t="n"/>
      <c r="I44" s="8">
        <f>G44+H44</f>
        <v/>
      </c>
      <c r="J44" s="8">
        <f>D44+G44</f>
        <v/>
      </c>
      <c r="K44" s="8">
        <f>E44+H44</f>
        <v/>
      </c>
      <c r="L44" s="8">
        <f>J44+K44</f>
        <v/>
      </c>
      <c r="M44" s="9">
        <f>IF(C44=0,0,L44/C44*100)</f>
        <v/>
      </c>
    </row>
    <row r="45">
      <c r="A45" s="7" t="n">
        <v>7</v>
      </c>
      <c r="B45" s="8">
        <f>B11</f>
        <v/>
      </c>
      <c r="C45" s="8">
        <f>C11</f>
        <v/>
      </c>
      <c r="D45" s="14" t="n"/>
      <c r="E45" s="14" t="n"/>
      <c r="F45" s="8">
        <f>D45+E45</f>
        <v/>
      </c>
      <c r="G45" s="14" t="n"/>
      <c r="H45" s="14" t="n"/>
      <c r="I45" s="8">
        <f>G45+H45</f>
        <v/>
      </c>
      <c r="J45" s="8">
        <f>D45+G45</f>
        <v/>
      </c>
      <c r="K45" s="8">
        <f>E45+H45</f>
        <v/>
      </c>
      <c r="L45" s="8">
        <f>J45+K45</f>
        <v/>
      </c>
      <c r="M45" s="9">
        <f>IF(C45=0,0,L45/C45*100)</f>
        <v/>
      </c>
    </row>
    <row r="46">
      <c r="A46" s="7" t="n">
        <v>8</v>
      </c>
      <c r="B46" s="8">
        <f>B12</f>
        <v/>
      </c>
      <c r="C46" s="8">
        <f>C12</f>
        <v/>
      </c>
      <c r="D46" s="14" t="n"/>
      <c r="E46" s="14" t="n"/>
      <c r="F46" s="8">
        <f>D46+E46</f>
        <v/>
      </c>
      <c r="G46" s="14" t="n"/>
      <c r="H46" s="14" t="n"/>
      <c r="I46" s="8">
        <f>G46+H46</f>
        <v/>
      </c>
      <c r="J46" s="8">
        <f>D46+G46</f>
        <v/>
      </c>
      <c r="K46" s="8">
        <f>E46+H46</f>
        <v/>
      </c>
      <c r="L46" s="8">
        <f>J46+K46</f>
        <v/>
      </c>
      <c r="M46" s="9">
        <f>IF(C46=0,0,L46/C46*100)</f>
        <v/>
      </c>
    </row>
    <row r="47">
      <c r="A47" s="7" t="n">
        <v>9</v>
      </c>
      <c r="B47" s="8">
        <f>B13</f>
        <v/>
      </c>
      <c r="C47" s="8">
        <f>C13</f>
        <v/>
      </c>
      <c r="D47" s="14" t="n"/>
      <c r="E47" s="14" t="n"/>
      <c r="F47" s="8">
        <f>D47+E47</f>
        <v/>
      </c>
      <c r="G47" s="14" t="n"/>
      <c r="H47" s="14" t="n"/>
      <c r="I47" s="8">
        <f>G47+H47</f>
        <v/>
      </c>
      <c r="J47" s="8">
        <f>D47+G47</f>
        <v/>
      </c>
      <c r="K47" s="8">
        <f>E47+H47</f>
        <v/>
      </c>
      <c r="L47" s="8">
        <f>J47+K47</f>
        <v/>
      </c>
      <c r="M47" s="9">
        <f>IF(C47=0,0,L47/C47*100)</f>
        <v/>
      </c>
    </row>
    <row r="48">
      <c r="A48" s="7" t="n">
        <v>10</v>
      </c>
      <c r="B48" s="8">
        <f>B14</f>
        <v/>
      </c>
      <c r="C48" s="8">
        <f>C14</f>
        <v/>
      </c>
      <c r="D48" s="14" t="n"/>
      <c r="E48" s="14" t="n"/>
      <c r="F48" s="8">
        <f>D48+E48</f>
        <v/>
      </c>
      <c r="G48" s="14" t="n"/>
      <c r="H48" s="14" t="n"/>
      <c r="I48" s="8">
        <f>G48+H48</f>
        <v/>
      </c>
      <c r="J48" s="8">
        <f>D48+G48</f>
        <v/>
      </c>
      <c r="K48" s="8">
        <f>E48+H48</f>
        <v/>
      </c>
      <c r="L48" s="8">
        <f>J48+K48</f>
        <v/>
      </c>
      <c r="M48" s="9">
        <f>IF(C48=0,0,L48/C48*100)</f>
        <v/>
      </c>
    </row>
    <row r="49">
      <c r="A49" s="7" t="n">
        <v>11</v>
      </c>
      <c r="B49" s="8">
        <f>B15</f>
        <v/>
      </c>
      <c r="C49" s="8">
        <f>C15</f>
        <v/>
      </c>
      <c r="D49" s="14" t="n"/>
      <c r="E49" s="14" t="n"/>
      <c r="F49" s="8">
        <f>D49+E49</f>
        <v/>
      </c>
      <c r="G49" s="14" t="n"/>
      <c r="H49" s="14" t="n"/>
      <c r="I49" s="8">
        <f>G49+H49</f>
        <v/>
      </c>
      <c r="J49" s="8">
        <f>D49+G49</f>
        <v/>
      </c>
      <c r="K49" s="8">
        <f>E49+H49</f>
        <v/>
      </c>
      <c r="L49" s="8">
        <f>J49+K49</f>
        <v/>
      </c>
      <c r="M49" s="9">
        <f>IF(C49=0,0,L49/C49*100)</f>
        <v/>
      </c>
    </row>
    <row r="50">
      <c r="A50" s="10" t="inlineStr">
        <is>
          <t>Total</t>
        </is>
      </c>
      <c r="B50" s="11">
        <f>SUM(B39:B49)</f>
        <v/>
      </c>
      <c r="C50" s="11">
        <f>SUM(C39:C49)</f>
        <v/>
      </c>
      <c r="D50" s="11">
        <f>SUM(D39:D49)</f>
        <v/>
      </c>
      <c r="E50" s="11">
        <f>SUM(E39:E49)</f>
        <v/>
      </c>
      <c r="F50" s="11">
        <f>D50+E50</f>
        <v/>
      </c>
      <c r="G50" s="11">
        <f>SUM(G39:G49)</f>
        <v/>
      </c>
      <c r="H50" s="11">
        <f>SUM(H39:H49)</f>
        <v/>
      </c>
      <c r="I50" s="11">
        <f>G50+H50</f>
        <v/>
      </c>
      <c r="J50" s="11">
        <f>D50+G50</f>
        <v/>
      </c>
      <c r="K50" s="11">
        <f>E50+H50</f>
        <v/>
      </c>
      <c r="L50" s="11">
        <f>J50+K50</f>
        <v/>
      </c>
      <c r="M50" s="12">
        <f>IF(C50=0,0,L50/C50*100)</f>
        <v/>
      </c>
    </row>
    <row r="52">
      <c r="A52" s="13" t="inlineStr">
        <is>
          <t>Day 3 - 2026-10-07 (Wed 21 Aswin 2083)</t>
        </is>
      </c>
    </row>
    <row r="53">
      <c r="A53" s="6" t="inlineStr">
        <is>
          <t>Ward no.</t>
        </is>
      </c>
      <c r="B53" s="6" t="inlineStr">
        <is>
          <t>Total population</t>
        </is>
      </c>
      <c r="C53" s="6" t="inlineStr">
        <is>
          <t>JE target population</t>
        </is>
      </c>
      <c r="D53" s="6" t="inlineStr">
        <is>
          <t>Vaccinated</t>
        </is>
      </c>
      <c r="E53" s="6" t="n"/>
      <c r="F53" s="6" t="n"/>
      <c r="G53" s="6" t="n"/>
      <c r="H53" s="6" t="n"/>
      <c r="I53" s="6" t="n"/>
      <c r="J53" s="6" t="n"/>
      <c r="K53" s="6" t="n"/>
      <c r="L53" s="6" t="n"/>
      <c r="M53" s="6" t="inlineStr">
        <is>
          <t>Progress %</t>
        </is>
      </c>
    </row>
    <row r="54">
      <c r="A54" s="6" t="n"/>
      <c r="B54" s="6" t="n"/>
      <c r="C54" s="6" t="n"/>
      <c r="D54" s="6" t="inlineStr">
        <is>
          <t>Age 30-60 yrs</t>
        </is>
      </c>
      <c r="E54" s="6" t="n"/>
      <c r="F54" s="6" t="n"/>
      <c r="G54" s="6" t="inlineStr">
        <is>
          <t>Age 60 above</t>
        </is>
      </c>
      <c r="H54" s="6" t="n"/>
      <c r="I54" s="6" t="n"/>
      <c r="J54" s="6" t="inlineStr">
        <is>
          <t>Total</t>
        </is>
      </c>
      <c r="K54" s="6" t="n"/>
      <c r="L54" s="6" t="inlineStr">
        <is>
          <t>Grand Total</t>
        </is>
      </c>
      <c r="M54" s="6" t="n"/>
    </row>
    <row r="55">
      <c r="A55" s="6" t="n"/>
      <c r="B55" s="6" t="n"/>
      <c r="C55" s="6" t="n"/>
      <c r="D55" s="6" t="inlineStr">
        <is>
          <t>F</t>
        </is>
      </c>
      <c r="E55" s="6" t="inlineStr">
        <is>
          <t>M</t>
        </is>
      </c>
      <c r="F55" s="6" t="inlineStr">
        <is>
          <t>Total</t>
        </is>
      </c>
      <c r="G55" s="6" t="inlineStr">
        <is>
          <t>F</t>
        </is>
      </c>
      <c r="H55" s="6" t="inlineStr">
        <is>
          <t>M</t>
        </is>
      </c>
      <c r="I55" s="6" t="inlineStr">
        <is>
          <t>Total</t>
        </is>
      </c>
      <c r="J55" s="6" t="inlineStr">
        <is>
          <t>F</t>
        </is>
      </c>
      <c r="K55" s="6" t="inlineStr">
        <is>
          <t>M</t>
        </is>
      </c>
      <c r="L55" s="6" t="n"/>
      <c r="M55" s="6" t="n"/>
    </row>
    <row r="56">
      <c r="A56" s="7" t="n">
        <v>1</v>
      </c>
      <c r="B56" s="8">
        <f>B5</f>
        <v/>
      </c>
      <c r="C56" s="8">
        <f>C5</f>
        <v/>
      </c>
      <c r="D56" s="14" t="n"/>
      <c r="E56" s="14" t="n"/>
      <c r="F56" s="8">
        <f>D56+E56</f>
        <v/>
      </c>
      <c r="G56" s="14" t="n"/>
      <c r="H56" s="14" t="n"/>
      <c r="I56" s="8">
        <f>G56+H56</f>
        <v/>
      </c>
      <c r="J56" s="8">
        <f>D56+G56</f>
        <v/>
      </c>
      <c r="K56" s="8">
        <f>E56+H56</f>
        <v/>
      </c>
      <c r="L56" s="8">
        <f>J56+K56</f>
        <v/>
      </c>
      <c r="M56" s="9">
        <f>IF(C56=0,0,L56/C56*100)</f>
        <v/>
      </c>
    </row>
    <row r="57">
      <c r="A57" s="7" t="n">
        <v>2</v>
      </c>
      <c r="B57" s="8">
        <f>B6</f>
        <v/>
      </c>
      <c r="C57" s="8">
        <f>C6</f>
        <v/>
      </c>
      <c r="D57" s="14" t="n"/>
      <c r="E57" s="14" t="n"/>
      <c r="F57" s="8">
        <f>D57+E57</f>
        <v/>
      </c>
      <c r="G57" s="14" t="n"/>
      <c r="H57" s="14" t="n"/>
      <c r="I57" s="8">
        <f>G57+H57</f>
        <v/>
      </c>
      <c r="J57" s="8">
        <f>D57+G57</f>
        <v/>
      </c>
      <c r="K57" s="8">
        <f>E57+H57</f>
        <v/>
      </c>
      <c r="L57" s="8">
        <f>J57+K57</f>
        <v/>
      </c>
      <c r="M57" s="9">
        <f>IF(C57=0,0,L57/C57*100)</f>
        <v/>
      </c>
    </row>
    <row r="58">
      <c r="A58" s="7" t="n">
        <v>3</v>
      </c>
      <c r="B58" s="8">
        <f>B7</f>
        <v/>
      </c>
      <c r="C58" s="8">
        <f>C7</f>
        <v/>
      </c>
      <c r="D58" s="14" t="n"/>
      <c r="E58" s="14" t="n"/>
      <c r="F58" s="8">
        <f>D58+E58</f>
        <v/>
      </c>
      <c r="G58" s="14" t="n"/>
      <c r="H58" s="14" t="n"/>
      <c r="I58" s="8">
        <f>G58+H58</f>
        <v/>
      </c>
      <c r="J58" s="8">
        <f>D58+G58</f>
        <v/>
      </c>
      <c r="K58" s="8">
        <f>E58+H58</f>
        <v/>
      </c>
      <c r="L58" s="8">
        <f>J58+K58</f>
        <v/>
      </c>
      <c r="M58" s="9">
        <f>IF(C58=0,0,L58/C58*100)</f>
        <v/>
      </c>
    </row>
    <row r="59">
      <c r="A59" s="7" t="n">
        <v>4</v>
      </c>
      <c r="B59" s="8">
        <f>B8</f>
        <v/>
      </c>
      <c r="C59" s="8">
        <f>C8</f>
        <v/>
      </c>
      <c r="D59" s="14" t="n"/>
      <c r="E59" s="14" t="n"/>
      <c r="F59" s="8">
        <f>D59+E59</f>
        <v/>
      </c>
      <c r="G59" s="14" t="n"/>
      <c r="H59" s="14" t="n"/>
      <c r="I59" s="8">
        <f>G59+H59</f>
        <v/>
      </c>
      <c r="J59" s="8">
        <f>D59+G59</f>
        <v/>
      </c>
      <c r="K59" s="8">
        <f>E59+H59</f>
        <v/>
      </c>
      <c r="L59" s="8">
        <f>J59+K59</f>
        <v/>
      </c>
      <c r="M59" s="9">
        <f>IF(C59=0,0,L59/C59*100)</f>
        <v/>
      </c>
    </row>
    <row r="60">
      <c r="A60" s="7" t="n">
        <v>5</v>
      </c>
      <c r="B60" s="8">
        <f>B9</f>
        <v/>
      </c>
      <c r="C60" s="8">
        <f>C9</f>
        <v/>
      </c>
      <c r="D60" s="14" t="n"/>
      <c r="E60" s="14" t="n"/>
      <c r="F60" s="8">
        <f>D60+E60</f>
        <v/>
      </c>
      <c r="G60" s="14" t="n"/>
      <c r="H60" s="14" t="n"/>
      <c r="I60" s="8">
        <f>G60+H60</f>
        <v/>
      </c>
      <c r="J60" s="8">
        <f>D60+G60</f>
        <v/>
      </c>
      <c r="K60" s="8">
        <f>E60+H60</f>
        <v/>
      </c>
      <c r="L60" s="8">
        <f>J60+K60</f>
        <v/>
      </c>
      <c r="M60" s="9">
        <f>IF(C60=0,0,L60/C60*100)</f>
        <v/>
      </c>
    </row>
    <row r="61">
      <c r="A61" s="7" t="n">
        <v>6</v>
      </c>
      <c r="B61" s="8">
        <f>B10</f>
        <v/>
      </c>
      <c r="C61" s="8">
        <f>C10</f>
        <v/>
      </c>
      <c r="D61" s="14" t="n"/>
      <c r="E61" s="14" t="n"/>
      <c r="F61" s="8">
        <f>D61+E61</f>
        <v/>
      </c>
      <c r="G61" s="14" t="n"/>
      <c r="H61" s="14" t="n"/>
      <c r="I61" s="8">
        <f>G61+H61</f>
        <v/>
      </c>
      <c r="J61" s="8">
        <f>D61+G61</f>
        <v/>
      </c>
      <c r="K61" s="8">
        <f>E61+H61</f>
        <v/>
      </c>
      <c r="L61" s="8">
        <f>J61+K61</f>
        <v/>
      </c>
      <c r="M61" s="9">
        <f>IF(C61=0,0,L61/C61*100)</f>
        <v/>
      </c>
    </row>
    <row r="62">
      <c r="A62" s="7" t="n">
        <v>7</v>
      </c>
      <c r="B62" s="8">
        <f>B11</f>
        <v/>
      </c>
      <c r="C62" s="8">
        <f>C11</f>
        <v/>
      </c>
      <c r="D62" s="14" t="n"/>
      <c r="E62" s="14" t="n"/>
      <c r="F62" s="8">
        <f>D62+E62</f>
        <v/>
      </c>
      <c r="G62" s="14" t="n"/>
      <c r="H62" s="14" t="n"/>
      <c r="I62" s="8">
        <f>G62+H62</f>
        <v/>
      </c>
      <c r="J62" s="8">
        <f>D62+G62</f>
        <v/>
      </c>
      <c r="K62" s="8">
        <f>E62+H62</f>
        <v/>
      </c>
      <c r="L62" s="8">
        <f>J62+K62</f>
        <v/>
      </c>
      <c r="M62" s="9">
        <f>IF(C62=0,0,L62/C62*100)</f>
        <v/>
      </c>
    </row>
    <row r="63">
      <c r="A63" s="7" t="n">
        <v>8</v>
      </c>
      <c r="B63" s="8">
        <f>B12</f>
        <v/>
      </c>
      <c r="C63" s="8">
        <f>C12</f>
        <v/>
      </c>
      <c r="D63" s="14" t="n"/>
      <c r="E63" s="14" t="n"/>
      <c r="F63" s="8">
        <f>D63+E63</f>
        <v/>
      </c>
      <c r="G63" s="14" t="n"/>
      <c r="H63" s="14" t="n"/>
      <c r="I63" s="8">
        <f>G63+H63</f>
        <v/>
      </c>
      <c r="J63" s="8">
        <f>D63+G63</f>
        <v/>
      </c>
      <c r="K63" s="8">
        <f>E63+H63</f>
        <v/>
      </c>
      <c r="L63" s="8">
        <f>J63+K63</f>
        <v/>
      </c>
      <c r="M63" s="9">
        <f>IF(C63=0,0,L63/C63*100)</f>
        <v/>
      </c>
    </row>
    <row r="64">
      <c r="A64" s="7" t="n">
        <v>9</v>
      </c>
      <c r="B64" s="8">
        <f>B13</f>
        <v/>
      </c>
      <c r="C64" s="8">
        <f>C13</f>
        <v/>
      </c>
      <c r="D64" s="14" t="n"/>
      <c r="E64" s="14" t="n"/>
      <c r="F64" s="8">
        <f>D64+E64</f>
        <v/>
      </c>
      <c r="G64" s="14" t="n"/>
      <c r="H64" s="14" t="n"/>
      <c r="I64" s="8">
        <f>G64+H64</f>
        <v/>
      </c>
      <c r="J64" s="8">
        <f>D64+G64</f>
        <v/>
      </c>
      <c r="K64" s="8">
        <f>E64+H64</f>
        <v/>
      </c>
      <c r="L64" s="8">
        <f>J64+K64</f>
        <v/>
      </c>
      <c r="M64" s="9">
        <f>IF(C64=0,0,L64/C64*100)</f>
        <v/>
      </c>
    </row>
    <row r="65">
      <c r="A65" s="7" t="n">
        <v>10</v>
      </c>
      <c r="B65" s="8">
        <f>B14</f>
        <v/>
      </c>
      <c r="C65" s="8">
        <f>C14</f>
        <v/>
      </c>
      <c r="D65" s="14" t="n"/>
      <c r="E65" s="14" t="n"/>
      <c r="F65" s="8">
        <f>D65+E65</f>
        <v/>
      </c>
      <c r="G65" s="14" t="n"/>
      <c r="H65" s="14" t="n"/>
      <c r="I65" s="8">
        <f>G65+H65</f>
        <v/>
      </c>
      <c r="J65" s="8">
        <f>D65+G65</f>
        <v/>
      </c>
      <c r="K65" s="8">
        <f>E65+H65</f>
        <v/>
      </c>
      <c r="L65" s="8">
        <f>J65+K65</f>
        <v/>
      </c>
      <c r="M65" s="9">
        <f>IF(C65=0,0,L65/C65*100)</f>
        <v/>
      </c>
    </row>
    <row r="66">
      <c r="A66" s="7" t="n">
        <v>11</v>
      </c>
      <c r="B66" s="8">
        <f>B15</f>
        <v/>
      </c>
      <c r="C66" s="8">
        <f>C15</f>
        <v/>
      </c>
      <c r="D66" s="14" t="n"/>
      <c r="E66" s="14" t="n"/>
      <c r="F66" s="8">
        <f>D66+E66</f>
        <v/>
      </c>
      <c r="G66" s="14" t="n"/>
      <c r="H66" s="14" t="n"/>
      <c r="I66" s="8">
        <f>G66+H66</f>
        <v/>
      </c>
      <c r="J66" s="8">
        <f>D66+G66</f>
        <v/>
      </c>
      <c r="K66" s="8">
        <f>E66+H66</f>
        <v/>
      </c>
      <c r="L66" s="8">
        <f>J66+K66</f>
        <v/>
      </c>
      <c r="M66" s="9">
        <f>IF(C66=0,0,L66/C66*100)</f>
        <v/>
      </c>
    </row>
    <row r="67">
      <c r="A67" s="10" t="inlineStr">
        <is>
          <t>Total</t>
        </is>
      </c>
      <c r="B67" s="11">
        <f>SUM(B56:B66)</f>
        <v/>
      </c>
      <c r="C67" s="11">
        <f>SUM(C56:C66)</f>
        <v/>
      </c>
      <c r="D67" s="11">
        <f>SUM(D56:D66)</f>
        <v/>
      </c>
      <c r="E67" s="11">
        <f>SUM(E56:E66)</f>
        <v/>
      </c>
      <c r="F67" s="11">
        <f>D67+E67</f>
        <v/>
      </c>
      <c r="G67" s="11">
        <f>SUM(G56:G66)</f>
        <v/>
      </c>
      <c r="H67" s="11">
        <f>SUM(H56:H66)</f>
        <v/>
      </c>
      <c r="I67" s="11">
        <f>G67+H67</f>
        <v/>
      </c>
      <c r="J67" s="11">
        <f>D67+G67</f>
        <v/>
      </c>
      <c r="K67" s="11">
        <f>E67+H67</f>
        <v/>
      </c>
      <c r="L67" s="11">
        <f>J67+K67</f>
        <v/>
      </c>
      <c r="M67" s="12">
        <f>IF(C67=0,0,L67/C67*100)</f>
        <v/>
      </c>
    </row>
    <row r="69">
      <c r="A69" s="13" t="inlineStr">
        <is>
          <t>Day 4 - 2026-10-08 (Thu 22 Aswin 2083)</t>
        </is>
      </c>
    </row>
    <row r="70">
      <c r="A70" s="6" t="inlineStr">
        <is>
          <t>Ward no.</t>
        </is>
      </c>
      <c r="B70" s="6" t="inlineStr">
        <is>
          <t>Total population</t>
        </is>
      </c>
      <c r="C70" s="6" t="inlineStr">
        <is>
          <t>JE target population</t>
        </is>
      </c>
      <c r="D70" s="6" t="inlineStr">
        <is>
          <t>Vaccinated</t>
        </is>
      </c>
      <c r="E70" s="6" t="n"/>
      <c r="F70" s="6" t="n"/>
      <c r="G70" s="6" t="n"/>
      <c r="H70" s="6" t="n"/>
      <c r="I70" s="6" t="n"/>
      <c r="J70" s="6" t="n"/>
      <c r="K70" s="6" t="n"/>
      <c r="L70" s="6" t="n"/>
      <c r="M70" s="6" t="inlineStr">
        <is>
          <t>Progress %</t>
        </is>
      </c>
    </row>
    <row r="71">
      <c r="A71" s="6" t="n"/>
      <c r="B71" s="6" t="n"/>
      <c r="C71" s="6" t="n"/>
      <c r="D71" s="6" t="inlineStr">
        <is>
          <t>Age 30-60 yrs</t>
        </is>
      </c>
      <c r="E71" s="6" t="n"/>
      <c r="F71" s="6" t="n"/>
      <c r="G71" s="6" t="inlineStr">
        <is>
          <t>Age 60 above</t>
        </is>
      </c>
      <c r="H71" s="6" t="n"/>
      <c r="I71" s="6" t="n"/>
      <c r="J71" s="6" t="inlineStr">
        <is>
          <t>Total</t>
        </is>
      </c>
      <c r="K71" s="6" t="n"/>
      <c r="L71" s="6" t="inlineStr">
        <is>
          <t>Grand Total</t>
        </is>
      </c>
      <c r="M71" s="6" t="n"/>
    </row>
    <row r="72">
      <c r="A72" s="6" t="n"/>
      <c r="B72" s="6" t="n"/>
      <c r="C72" s="6" t="n"/>
      <c r="D72" s="6" t="inlineStr">
        <is>
          <t>F</t>
        </is>
      </c>
      <c r="E72" s="6" t="inlineStr">
        <is>
          <t>M</t>
        </is>
      </c>
      <c r="F72" s="6" t="inlineStr">
        <is>
          <t>Total</t>
        </is>
      </c>
      <c r="G72" s="6" t="inlineStr">
        <is>
          <t>F</t>
        </is>
      </c>
      <c r="H72" s="6" t="inlineStr">
        <is>
          <t>M</t>
        </is>
      </c>
      <c r="I72" s="6" t="inlineStr">
        <is>
          <t>Total</t>
        </is>
      </c>
      <c r="J72" s="6" t="inlineStr">
        <is>
          <t>F</t>
        </is>
      </c>
      <c r="K72" s="6" t="inlineStr">
        <is>
          <t>M</t>
        </is>
      </c>
      <c r="L72" s="6" t="n"/>
      <c r="M72" s="6" t="n"/>
    </row>
    <row r="73">
      <c r="A73" s="7" t="n">
        <v>1</v>
      </c>
      <c r="B73" s="8">
        <f>B5</f>
        <v/>
      </c>
      <c r="C73" s="8">
        <f>C5</f>
        <v/>
      </c>
      <c r="D73" s="14" t="n"/>
      <c r="E73" s="14" t="n"/>
      <c r="F73" s="8">
        <f>D73+E73</f>
        <v/>
      </c>
      <c r="G73" s="14" t="n"/>
      <c r="H73" s="14" t="n"/>
      <c r="I73" s="8">
        <f>G73+H73</f>
        <v/>
      </c>
      <c r="J73" s="8">
        <f>D73+G73</f>
        <v/>
      </c>
      <c r="K73" s="8">
        <f>E73+H73</f>
        <v/>
      </c>
      <c r="L73" s="8">
        <f>J73+K73</f>
        <v/>
      </c>
      <c r="M73" s="9">
        <f>IF(C73=0,0,L73/C73*100)</f>
        <v/>
      </c>
    </row>
    <row r="74">
      <c r="A74" s="7" t="n">
        <v>2</v>
      </c>
      <c r="B74" s="8">
        <f>B6</f>
        <v/>
      </c>
      <c r="C74" s="8">
        <f>C6</f>
        <v/>
      </c>
      <c r="D74" s="14" t="n"/>
      <c r="E74" s="14" t="n"/>
      <c r="F74" s="8">
        <f>D74+E74</f>
        <v/>
      </c>
      <c r="G74" s="14" t="n"/>
      <c r="H74" s="14" t="n"/>
      <c r="I74" s="8">
        <f>G74+H74</f>
        <v/>
      </c>
      <c r="J74" s="8">
        <f>D74+G74</f>
        <v/>
      </c>
      <c r="K74" s="8">
        <f>E74+H74</f>
        <v/>
      </c>
      <c r="L74" s="8">
        <f>J74+K74</f>
        <v/>
      </c>
      <c r="M74" s="9">
        <f>IF(C74=0,0,L74/C74*100)</f>
        <v/>
      </c>
    </row>
    <row r="75">
      <c r="A75" s="7" t="n">
        <v>3</v>
      </c>
      <c r="B75" s="8">
        <f>B7</f>
        <v/>
      </c>
      <c r="C75" s="8">
        <f>C7</f>
        <v/>
      </c>
      <c r="D75" s="14" t="n"/>
      <c r="E75" s="14" t="n"/>
      <c r="F75" s="8">
        <f>D75+E75</f>
        <v/>
      </c>
      <c r="G75" s="14" t="n"/>
      <c r="H75" s="14" t="n"/>
      <c r="I75" s="8">
        <f>G75+H75</f>
        <v/>
      </c>
      <c r="J75" s="8">
        <f>D75+G75</f>
        <v/>
      </c>
      <c r="K75" s="8">
        <f>E75+H75</f>
        <v/>
      </c>
      <c r="L75" s="8">
        <f>J75+K75</f>
        <v/>
      </c>
      <c r="M75" s="9">
        <f>IF(C75=0,0,L75/C75*100)</f>
        <v/>
      </c>
    </row>
    <row r="76">
      <c r="A76" s="7" t="n">
        <v>4</v>
      </c>
      <c r="B76" s="8">
        <f>B8</f>
        <v/>
      </c>
      <c r="C76" s="8">
        <f>C8</f>
        <v/>
      </c>
      <c r="D76" s="14" t="n"/>
      <c r="E76" s="14" t="n"/>
      <c r="F76" s="8">
        <f>D76+E76</f>
        <v/>
      </c>
      <c r="G76" s="14" t="n"/>
      <c r="H76" s="14" t="n"/>
      <c r="I76" s="8">
        <f>G76+H76</f>
        <v/>
      </c>
      <c r="J76" s="8">
        <f>D76+G76</f>
        <v/>
      </c>
      <c r="K76" s="8">
        <f>E76+H76</f>
        <v/>
      </c>
      <c r="L76" s="8">
        <f>J76+K76</f>
        <v/>
      </c>
      <c r="M76" s="9">
        <f>IF(C76=0,0,L76/C76*100)</f>
        <v/>
      </c>
    </row>
    <row r="77">
      <c r="A77" s="7" t="n">
        <v>5</v>
      </c>
      <c r="B77" s="8">
        <f>B9</f>
        <v/>
      </c>
      <c r="C77" s="8">
        <f>C9</f>
        <v/>
      </c>
      <c r="D77" s="14" t="n"/>
      <c r="E77" s="14" t="n"/>
      <c r="F77" s="8">
        <f>D77+E77</f>
        <v/>
      </c>
      <c r="G77" s="14" t="n"/>
      <c r="H77" s="14" t="n"/>
      <c r="I77" s="8">
        <f>G77+H77</f>
        <v/>
      </c>
      <c r="J77" s="8">
        <f>D77+G77</f>
        <v/>
      </c>
      <c r="K77" s="8">
        <f>E77+H77</f>
        <v/>
      </c>
      <c r="L77" s="8">
        <f>J77+K77</f>
        <v/>
      </c>
      <c r="M77" s="9">
        <f>IF(C77=0,0,L77/C77*100)</f>
        <v/>
      </c>
    </row>
    <row r="78">
      <c r="A78" s="7" t="n">
        <v>6</v>
      </c>
      <c r="B78" s="8">
        <f>B10</f>
        <v/>
      </c>
      <c r="C78" s="8">
        <f>C10</f>
        <v/>
      </c>
      <c r="D78" s="14" t="n"/>
      <c r="E78" s="14" t="n"/>
      <c r="F78" s="8">
        <f>D78+E78</f>
        <v/>
      </c>
      <c r="G78" s="14" t="n"/>
      <c r="H78" s="14" t="n"/>
      <c r="I78" s="8">
        <f>G78+H78</f>
        <v/>
      </c>
      <c r="J78" s="8">
        <f>D78+G78</f>
        <v/>
      </c>
      <c r="K78" s="8">
        <f>E78+H78</f>
        <v/>
      </c>
      <c r="L78" s="8">
        <f>J78+K78</f>
        <v/>
      </c>
      <c r="M78" s="9">
        <f>IF(C78=0,0,L78/C78*100)</f>
        <v/>
      </c>
    </row>
    <row r="79">
      <c r="A79" s="7" t="n">
        <v>7</v>
      </c>
      <c r="B79" s="8">
        <f>B11</f>
        <v/>
      </c>
      <c r="C79" s="8">
        <f>C11</f>
        <v/>
      </c>
      <c r="D79" s="14" t="n"/>
      <c r="E79" s="14" t="n"/>
      <c r="F79" s="8">
        <f>D79+E79</f>
        <v/>
      </c>
      <c r="G79" s="14" t="n"/>
      <c r="H79" s="14" t="n"/>
      <c r="I79" s="8">
        <f>G79+H79</f>
        <v/>
      </c>
      <c r="J79" s="8">
        <f>D79+G79</f>
        <v/>
      </c>
      <c r="K79" s="8">
        <f>E79+H79</f>
        <v/>
      </c>
      <c r="L79" s="8">
        <f>J79+K79</f>
        <v/>
      </c>
      <c r="M79" s="9">
        <f>IF(C79=0,0,L79/C79*100)</f>
        <v/>
      </c>
    </row>
    <row r="80">
      <c r="A80" s="7" t="n">
        <v>8</v>
      </c>
      <c r="B80" s="8">
        <f>B12</f>
        <v/>
      </c>
      <c r="C80" s="8">
        <f>C12</f>
        <v/>
      </c>
      <c r="D80" s="14" t="n"/>
      <c r="E80" s="14" t="n"/>
      <c r="F80" s="8">
        <f>D80+E80</f>
        <v/>
      </c>
      <c r="G80" s="14" t="n"/>
      <c r="H80" s="14" t="n"/>
      <c r="I80" s="8">
        <f>G80+H80</f>
        <v/>
      </c>
      <c r="J80" s="8">
        <f>D80+G80</f>
        <v/>
      </c>
      <c r="K80" s="8">
        <f>E80+H80</f>
        <v/>
      </c>
      <c r="L80" s="8">
        <f>J80+K80</f>
        <v/>
      </c>
      <c r="M80" s="9">
        <f>IF(C80=0,0,L80/C80*100)</f>
        <v/>
      </c>
    </row>
    <row r="81">
      <c r="A81" s="7" t="n">
        <v>9</v>
      </c>
      <c r="B81" s="8">
        <f>B13</f>
        <v/>
      </c>
      <c r="C81" s="8">
        <f>C13</f>
        <v/>
      </c>
      <c r="D81" s="14" t="n"/>
      <c r="E81" s="14" t="n"/>
      <c r="F81" s="8">
        <f>D81+E81</f>
        <v/>
      </c>
      <c r="G81" s="14" t="n"/>
      <c r="H81" s="14" t="n"/>
      <c r="I81" s="8">
        <f>G81+H81</f>
        <v/>
      </c>
      <c r="J81" s="8">
        <f>D81+G81</f>
        <v/>
      </c>
      <c r="K81" s="8">
        <f>E81+H81</f>
        <v/>
      </c>
      <c r="L81" s="8">
        <f>J81+K81</f>
        <v/>
      </c>
      <c r="M81" s="9">
        <f>IF(C81=0,0,L81/C81*100)</f>
        <v/>
      </c>
    </row>
    <row r="82">
      <c r="A82" s="7" t="n">
        <v>10</v>
      </c>
      <c r="B82" s="8">
        <f>B14</f>
        <v/>
      </c>
      <c r="C82" s="8">
        <f>C14</f>
        <v/>
      </c>
      <c r="D82" s="14" t="n"/>
      <c r="E82" s="14" t="n"/>
      <c r="F82" s="8">
        <f>D82+E82</f>
        <v/>
      </c>
      <c r="G82" s="14" t="n"/>
      <c r="H82" s="14" t="n"/>
      <c r="I82" s="8">
        <f>G82+H82</f>
        <v/>
      </c>
      <c r="J82" s="8">
        <f>D82+G82</f>
        <v/>
      </c>
      <c r="K82" s="8">
        <f>E82+H82</f>
        <v/>
      </c>
      <c r="L82" s="8">
        <f>J82+K82</f>
        <v/>
      </c>
      <c r="M82" s="9">
        <f>IF(C82=0,0,L82/C82*100)</f>
        <v/>
      </c>
    </row>
    <row r="83">
      <c r="A83" s="7" t="n">
        <v>11</v>
      </c>
      <c r="B83" s="8">
        <f>B15</f>
        <v/>
      </c>
      <c r="C83" s="8">
        <f>C15</f>
        <v/>
      </c>
      <c r="D83" s="14" t="n"/>
      <c r="E83" s="14" t="n"/>
      <c r="F83" s="8">
        <f>D83+E83</f>
        <v/>
      </c>
      <c r="G83" s="14" t="n"/>
      <c r="H83" s="14" t="n"/>
      <c r="I83" s="8">
        <f>G83+H83</f>
        <v/>
      </c>
      <c r="J83" s="8">
        <f>D83+G83</f>
        <v/>
      </c>
      <c r="K83" s="8">
        <f>E83+H83</f>
        <v/>
      </c>
      <c r="L83" s="8">
        <f>J83+K83</f>
        <v/>
      </c>
      <c r="M83" s="9">
        <f>IF(C83=0,0,L83/C83*100)</f>
        <v/>
      </c>
    </row>
    <row r="84">
      <c r="A84" s="10" t="inlineStr">
        <is>
          <t>Total</t>
        </is>
      </c>
      <c r="B84" s="11">
        <f>SUM(B73:B83)</f>
        <v/>
      </c>
      <c r="C84" s="11">
        <f>SUM(C73:C83)</f>
        <v/>
      </c>
      <c r="D84" s="11">
        <f>SUM(D73:D83)</f>
        <v/>
      </c>
      <c r="E84" s="11">
        <f>SUM(E73:E83)</f>
        <v/>
      </c>
      <c r="F84" s="11">
        <f>D84+E84</f>
        <v/>
      </c>
      <c r="G84" s="11">
        <f>SUM(G73:G83)</f>
        <v/>
      </c>
      <c r="H84" s="11">
        <f>SUM(H73:H83)</f>
        <v/>
      </c>
      <c r="I84" s="11">
        <f>G84+H84</f>
        <v/>
      </c>
      <c r="J84" s="11">
        <f>D84+G84</f>
        <v/>
      </c>
      <c r="K84" s="11">
        <f>E84+H84</f>
        <v/>
      </c>
      <c r="L84" s="11">
        <f>J84+K84</f>
        <v/>
      </c>
      <c r="M84" s="12">
        <f>IF(C84=0,0,L84/C84*100)</f>
        <v/>
      </c>
    </row>
    <row r="86">
      <c r="A86" s="13" t="inlineStr">
        <is>
          <t>Day 5 - 2026-10-09 (Fri 23 Aswin 2083)</t>
        </is>
      </c>
    </row>
    <row r="87">
      <c r="A87" s="6" t="inlineStr">
        <is>
          <t>Ward no.</t>
        </is>
      </c>
      <c r="B87" s="6" t="inlineStr">
        <is>
          <t>Total population</t>
        </is>
      </c>
      <c r="C87" s="6" t="inlineStr">
        <is>
          <t>JE target population</t>
        </is>
      </c>
      <c r="D87" s="6" t="inlineStr">
        <is>
          <t>Vaccinated</t>
        </is>
      </c>
      <c r="E87" s="6" t="n"/>
      <c r="F87" s="6" t="n"/>
      <c r="G87" s="6" t="n"/>
      <c r="H87" s="6" t="n"/>
      <c r="I87" s="6" t="n"/>
      <c r="J87" s="6" t="n"/>
      <c r="K87" s="6" t="n"/>
      <c r="L87" s="6" t="n"/>
      <c r="M87" s="6" t="inlineStr">
        <is>
          <t>Progress %</t>
        </is>
      </c>
    </row>
    <row r="88">
      <c r="A88" s="6" t="n"/>
      <c r="B88" s="6" t="n"/>
      <c r="C88" s="6" t="n"/>
      <c r="D88" s="6" t="inlineStr">
        <is>
          <t>Age 30-60 yrs</t>
        </is>
      </c>
      <c r="E88" s="6" t="n"/>
      <c r="F88" s="6" t="n"/>
      <c r="G88" s="6" t="inlineStr">
        <is>
          <t>Age 60 above</t>
        </is>
      </c>
      <c r="H88" s="6" t="n"/>
      <c r="I88" s="6" t="n"/>
      <c r="J88" s="6" t="inlineStr">
        <is>
          <t>Total</t>
        </is>
      </c>
      <c r="K88" s="6" t="n"/>
      <c r="L88" s="6" t="inlineStr">
        <is>
          <t>Grand Total</t>
        </is>
      </c>
      <c r="M88" s="6" t="n"/>
    </row>
    <row r="89">
      <c r="A89" s="6" t="n"/>
      <c r="B89" s="6" t="n"/>
      <c r="C89" s="6" t="n"/>
      <c r="D89" s="6" t="inlineStr">
        <is>
          <t>F</t>
        </is>
      </c>
      <c r="E89" s="6" t="inlineStr">
        <is>
          <t>M</t>
        </is>
      </c>
      <c r="F89" s="6" t="inlineStr">
        <is>
          <t>Total</t>
        </is>
      </c>
      <c r="G89" s="6" t="inlineStr">
        <is>
          <t>F</t>
        </is>
      </c>
      <c r="H89" s="6" t="inlineStr">
        <is>
          <t>M</t>
        </is>
      </c>
      <c r="I89" s="6" t="inlineStr">
        <is>
          <t>Total</t>
        </is>
      </c>
      <c r="J89" s="6" t="inlineStr">
        <is>
          <t>F</t>
        </is>
      </c>
      <c r="K89" s="6" t="inlineStr">
        <is>
          <t>M</t>
        </is>
      </c>
      <c r="L89" s="6" t="n"/>
      <c r="M89" s="6" t="n"/>
    </row>
    <row r="90">
      <c r="A90" s="7" t="n">
        <v>1</v>
      </c>
      <c r="B90" s="8">
        <f>B5</f>
        <v/>
      </c>
      <c r="C90" s="8">
        <f>C5</f>
        <v/>
      </c>
      <c r="D90" s="14" t="n"/>
      <c r="E90" s="14" t="n"/>
      <c r="F90" s="8">
        <f>D90+E90</f>
        <v/>
      </c>
      <c r="G90" s="14" t="n"/>
      <c r="H90" s="14" t="n"/>
      <c r="I90" s="8">
        <f>G90+H90</f>
        <v/>
      </c>
      <c r="J90" s="8">
        <f>D90+G90</f>
        <v/>
      </c>
      <c r="K90" s="8">
        <f>E90+H90</f>
        <v/>
      </c>
      <c r="L90" s="8">
        <f>J90+K90</f>
        <v/>
      </c>
      <c r="M90" s="9">
        <f>IF(C90=0,0,L90/C90*100)</f>
        <v/>
      </c>
    </row>
    <row r="91">
      <c r="A91" s="7" t="n">
        <v>2</v>
      </c>
      <c r="B91" s="8">
        <f>B6</f>
        <v/>
      </c>
      <c r="C91" s="8">
        <f>C6</f>
        <v/>
      </c>
      <c r="D91" s="14" t="n"/>
      <c r="E91" s="14" t="n"/>
      <c r="F91" s="8">
        <f>D91+E91</f>
        <v/>
      </c>
      <c r="G91" s="14" t="n"/>
      <c r="H91" s="14" t="n"/>
      <c r="I91" s="8">
        <f>G91+H91</f>
        <v/>
      </c>
      <c r="J91" s="8">
        <f>D91+G91</f>
        <v/>
      </c>
      <c r="K91" s="8">
        <f>E91+H91</f>
        <v/>
      </c>
      <c r="L91" s="8">
        <f>J91+K91</f>
        <v/>
      </c>
      <c r="M91" s="9">
        <f>IF(C91=0,0,L91/C91*100)</f>
        <v/>
      </c>
    </row>
    <row r="92">
      <c r="A92" s="7" t="n">
        <v>3</v>
      </c>
      <c r="B92" s="8">
        <f>B7</f>
        <v/>
      </c>
      <c r="C92" s="8">
        <f>C7</f>
        <v/>
      </c>
      <c r="D92" s="14" t="n"/>
      <c r="E92" s="14" t="n"/>
      <c r="F92" s="8">
        <f>D92+E92</f>
        <v/>
      </c>
      <c r="G92" s="14" t="n"/>
      <c r="H92" s="14" t="n"/>
      <c r="I92" s="8">
        <f>G92+H92</f>
        <v/>
      </c>
      <c r="J92" s="8">
        <f>D92+G92</f>
        <v/>
      </c>
      <c r="K92" s="8">
        <f>E92+H92</f>
        <v/>
      </c>
      <c r="L92" s="8">
        <f>J92+K92</f>
        <v/>
      </c>
      <c r="M92" s="9">
        <f>IF(C92=0,0,L92/C92*100)</f>
        <v/>
      </c>
    </row>
    <row r="93">
      <c r="A93" s="7" t="n">
        <v>4</v>
      </c>
      <c r="B93" s="8">
        <f>B8</f>
        <v/>
      </c>
      <c r="C93" s="8">
        <f>C8</f>
        <v/>
      </c>
      <c r="D93" s="14" t="n"/>
      <c r="E93" s="14" t="n"/>
      <c r="F93" s="8">
        <f>D93+E93</f>
        <v/>
      </c>
      <c r="G93" s="14" t="n"/>
      <c r="H93" s="14" t="n"/>
      <c r="I93" s="8">
        <f>G93+H93</f>
        <v/>
      </c>
      <c r="J93" s="8">
        <f>D93+G93</f>
        <v/>
      </c>
      <c r="K93" s="8">
        <f>E93+H93</f>
        <v/>
      </c>
      <c r="L93" s="8">
        <f>J93+K93</f>
        <v/>
      </c>
      <c r="M93" s="9">
        <f>IF(C93=0,0,L93/C93*100)</f>
        <v/>
      </c>
    </row>
    <row r="94">
      <c r="A94" s="7" t="n">
        <v>5</v>
      </c>
      <c r="B94" s="8">
        <f>B9</f>
        <v/>
      </c>
      <c r="C94" s="8">
        <f>C9</f>
        <v/>
      </c>
      <c r="D94" s="14" t="n"/>
      <c r="E94" s="14" t="n"/>
      <c r="F94" s="8">
        <f>D94+E94</f>
        <v/>
      </c>
      <c r="G94" s="14" t="n"/>
      <c r="H94" s="14" t="n"/>
      <c r="I94" s="8">
        <f>G94+H94</f>
        <v/>
      </c>
      <c r="J94" s="8">
        <f>D94+G94</f>
        <v/>
      </c>
      <c r="K94" s="8">
        <f>E94+H94</f>
        <v/>
      </c>
      <c r="L94" s="8">
        <f>J94+K94</f>
        <v/>
      </c>
      <c r="M94" s="9">
        <f>IF(C94=0,0,L94/C94*100)</f>
        <v/>
      </c>
    </row>
    <row r="95">
      <c r="A95" s="7" t="n">
        <v>6</v>
      </c>
      <c r="B95" s="8">
        <f>B10</f>
        <v/>
      </c>
      <c r="C95" s="8">
        <f>C10</f>
        <v/>
      </c>
      <c r="D95" s="14" t="n"/>
      <c r="E95" s="14" t="n"/>
      <c r="F95" s="8">
        <f>D95+E95</f>
        <v/>
      </c>
      <c r="G95" s="14" t="n"/>
      <c r="H95" s="14" t="n"/>
      <c r="I95" s="8">
        <f>G95+H95</f>
        <v/>
      </c>
      <c r="J95" s="8">
        <f>D95+G95</f>
        <v/>
      </c>
      <c r="K95" s="8">
        <f>E95+H95</f>
        <v/>
      </c>
      <c r="L95" s="8">
        <f>J95+K95</f>
        <v/>
      </c>
      <c r="M95" s="9">
        <f>IF(C95=0,0,L95/C95*100)</f>
        <v/>
      </c>
    </row>
    <row r="96">
      <c r="A96" s="7" t="n">
        <v>7</v>
      </c>
      <c r="B96" s="8">
        <f>B11</f>
        <v/>
      </c>
      <c r="C96" s="8">
        <f>C11</f>
        <v/>
      </c>
      <c r="D96" s="14" t="n"/>
      <c r="E96" s="14" t="n"/>
      <c r="F96" s="8">
        <f>D96+E96</f>
        <v/>
      </c>
      <c r="G96" s="14" t="n"/>
      <c r="H96" s="14" t="n"/>
      <c r="I96" s="8">
        <f>G96+H96</f>
        <v/>
      </c>
      <c r="J96" s="8">
        <f>D96+G96</f>
        <v/>
      </c>
      <c r="K96" s="8">
        <f>E96+H96</f>
        <v/>
      </c>
      <c r="L96" s="8">
        <f>J96+K96</f>
        <v/>
      </c>
      <c r="M96" s="9">
        <f>IF(C96=0,0,L96/C96*100)</f>
        <v/>
      </c>
    </row>
    <row r="97">
      <c r="A97" s="7" t="n">
        <v>8</v>
      </c>
      <c r="B97" s="8">
        <f>B12</f>
        <v/>
      </c>
      <c r="C97" s="8">
        <f>C12</f>
        <v/>
      </c>
      <c r="D97" s="14" t="n"/>
      <c r="E97" s="14" t="n"/>
      <c r="F97" s="8">
        <f>D97+E97</f>
        <v/>
      </c>
      <c r="G97" s="14" t="n"/>
      <c r="H97" s="14" t="n"/>
      <c r="I97" s="8">
        <f>G97+H97</f>
        <v/>
      </c>
      <c r="J97" s="8">
        <f>D97+G97</f>
        <v/>
      </c>
      <c r="K97" s="8">
        <f>E97+H97</f>
        <v/>
      </c>
      <c r="L97" s="8">
        <f>J97+K97</f>
        <v/>
      </c>
      <c r="M97" s="9">
        <f>IF(C97=0,0,L97/C97*100)</f>
        <v/>
      </c>
    </row>
    <row r="98">
      <c r="A98" s="7" t="n">
        <v>9</v>
      </c>
      <c r="B98" s="8">
        <f>B13</f>
        <v/>
      </c>
      <c r="C98" s="8">
        <f>C13</f>
        <v/>
      </c>
      <c r="D98" s="14" t="n"/>
      <c r="E98" s="14" t="n"/>
      <c r="F98" s="8">
        <f>D98+E98</f>
        <v/>
      </c>
      <c r="G98" s="14" t="n"/>
      <c r="H98" s="14" t="n"/>
      <c r="I98" s="8">
        <f>G98+H98</f>
        <v/>
      </c>
      <c r="J98" s="8">
        <f>D98+G98</f>
        <v/>
      </c>
      <c r="K98" s="8">
        <f>E98+H98</f>
        <v/>
      </c>
      <c r="L98" s="8">
        <f>J98+K98</f>
        <v/>
      </c>
      <c r="M98" s="9">
        <f>IF(C98=0,0,L98/C98*100)</f>
        <v/>
      </c>
    </row>
    <row r="99">
      <c r="A99" s="7" t="n">
        <v>10</v>
      </c>
      <c r="B99" s="8">
        <f>B14</f>
        <v/>
      </c>
      <c r="C99" s="8">
        <f>C14</f>
        <v/>
      </c>
      <c r="D99" s="14" t="n"/>
      <c r="E99" s="14" t="n"/>
      <c r="F99" s="8">
        <f>D99+E99</f>
        <v/>
      </c>
      <c r="G99" s="14" t="n"/>
      <c r="H99" s="14" t="n"/>
      <c r="I99" s="8">
        <f>G99+H99</f>
        <v/>
      </c>
      <c r="J99" s="8">
        <f>D99+G99</f>
        <v/>
      </c>
      <c r="K99" s="8">
        <f>E99+H99</f>
        <v/>
      </c>
      <c r="L99" s="8">
        <f>J99+K99</f>
        <v/>
      </c>
      <c r="M99" s="9">
        <f>IF(C99=0,0,L99/C99*100)</f>
        <v/>
      </c>
    </row>
    <row r="100">
      <c r="A100" s="7" t="n">
        <v>11</v>
      </c>
      <c r="B100" s="8">
        <f>B15</f>
        <v/>
      </c>
      <c r="C100" s="8">
        <f>C15</f>
        <v/>
      </c>
      <c r="D100" s="14" t="n"/>
      <c r="E100" s="14" t="n"/>
      <c r="F100" s="8">
        <f>D100+E100</f>
        <v/>
      </c>
      <c r="G100" s="14" t="n"/>
      <c r="H100" s="14" t="n"/>
      <c r="I100" s="8">
        <f>G100+H100</f>
        <v/>
      </c>
      <c r="J100" s="8">
        <f>D100+G100</f>
        <v/>
      </c>
      <c r="K100" s="8">
        <f>E100+H100</f>
        <v/>
      </c>
      <c r="L100" s="8">
        <f>J100+K100</f>
        <v/>
      </c>
      <c r="M100" s="9">
        <f>IF(C100=0,0,L100/C100*100)</f>
        <v/>
      </c>
    </row>
    <row r="101">
      <c r="A101" s="10" t="inlineStr">
        <is>
          <t>Total</t>
        </is>
      </c>
      <c r="B101" s="11">
        <f>SUM(B90:B100)</f>
        <v/>
      </c>
      <c r="C101" s="11">
        <f>SUM(C90:C100)</f>
        <v/>
      </c>
      <c r="D101" s="11">
        <f>SUM(D90:D100)</f>
        <v/>
      </c>
      <c r="E101" s="11">
        <f>SUM(E90:E100)</f>
        <v/>
      </c>
      <c r="F101" s="11">
        <f>D101+E101</f>
        <v/>
      </c>
      <c r="G101" s="11">
        <f>SUM(G90:G100)</f>
        <v/>
      </c>
      <c r="H101" s="11">
        <f>SUM(H90:H100)</f>
        <v/>
      </c>
      <c r="I101" s="11">
        <f>G101+H101</f>
        <v/>
      </c>
      <c r="J101" s="11">
        <f>D101+G101</f>
        <v/>
      </c>
      <c r="K101" s="11">
        <f>E101+H101</f>
        <v/>
      </c>
      <c r="L101" s="11">
        <f>J101+K101</f>
        <v/>
      </c>
      <c r="M101" s="12">
        <f>IF(C101=0,0,L101/C101*100)</f>
        <v/>
      </c>
    </row>
    <row r="103">
      <c r="A103" s="13" t="inlineStr">
        <is>
          <t>Day 6 - 2026-10-10 (Sat 24 Aswin 2083)</t>
        </is>
      </c>
    </row>
    <row r="104">
      <c r="A104" s="6" t="inlineStr">
        <is>
          <t>Ward no.</t>
        </is>
      </c>
      <c r="B104" s="6" t="inlineStr">
        <is>
          <t>Total population</t>
        </is>
      </c>
      <c r="C104" s="6" t="inlineStr">
        <is>
          <t>JE target population</t>
        </is>
      </c>
      <c r="D104" s="6" t="inlineStr">
        <is>
          <t>Vaccinated</t>
        </is>
      </c>
      <c r="E104" s="6" t="n"/>
      <c r="F104" s="6" t="n"/>
      <c r="G104" s="6" t="n"/>
      <c r="H104" s="6" t="n"/>
      <c r="I104" s="6" t="n"/>
      <c r="J104" s="6" t="n"/>
      <c r="K104" s="6" t="n"/>
      <c r="L104" s="6" t="n"/>
      <c r="M104" s="6" t="inlineStr">
        <is>
          <t>Progress %</t>
        </is>
      </c>
    </row>
    <row r="105">
      <c r="A105" s="6" t="n"/>
      <c r="B105" s="6" t="n"/>
      <c r="C105" s="6" t="n"/>
      <c r="D105" s="6" t="inlineStr">
        <is>
          <t>Age 30-60 yrs</t>
        </is>
      </c>
      <c r="E105" s="6" t="n"/>
      <c r="F105" s="6" t="n"/>
      <c r="G105" s="6" t="inlineStr">
        <is>
          <t>Age 60 above</t>
        </is>
      </c>
      <c r="H105" s="6" t="n"/>
      <c r="I105" s="6" t="n"/>
      <c r="J105" s="6" t="inlineStr">
        <is>
          <t>Total</t>
        </is>
      </c>
      <c r="K105" s="6" t="n"/>
      <c r="L105" s="6" t="inlineStr">
        <is>
          <t>Grand Total</t>
        </is>
      </c>
      <c r="M105" s="6" t="n"/>
    </row>
    <row r="106">
      <c r="A106" s="6" t="n"/>
      <c r="B106" s="6" t="n"/>
      <c r="C106" s="6" t="n"/>
      <c r="D106" s="6" t="inlineStr">
        <is>
          <t>F</t>
        </is>
      </c>
      <c r="E106" s="6" t="inlineStr">
        <is>
          <t>M</t>
        </is>
      </c>
      <c r="F106" s="6" t="inlineStr">
        <is>
          <t>Total</t>
        </is>
      </c>
      <c r="G106" s="6" t="inlineStr">
        <is>
          <t>F</t>
        </is>
      </c>
      <c r="H106" s="6" t="inlineStr">
        <is>
          <t>M</t>
        </is>
      </c>
      <c r="I106" s="6" t="inlineStr">
        <is>
          <t>Total</t>
        </is>
      </c>
      <c r="J106" s="6" t="inlineStr">
        <is>
          <t>F</t>
        </is>
      </c>
      <c r="K106" s="6" t="inlineStr">
        <is>
          <t>M</t>
        </is>
      </c>
      <c r="L106" s="6" t="n"/>
      <c r="M106" s="6" t="n"/>
    </row>
    <row r="107">
      <c r="A107" s="7" t="n">
        <v>1</v>
      </c>
      <c r="B107" s="8">
        <f>B5</f>
        <v/>
      </c>
      <c r="C107" s="8">
        <f>C5</f>
        <v/>
      </c>
      <c r="D107" s="14" t="n"/>
      <c r="E107" s="14" t="n"/>
      <c r="F107" s="8">
        <f>D107+E107</f>
        <v/>
      </c>
      <c r="G107" s="14" t="n"/>
      <c r="H107" s="14" t="n"/>
      <c r="I107" s="8">
        <f>G107+H107</f>
        <v/>
      </c>
      <c r="J107" s="8">
        <f>D107+G107</f>
        <v/>
      </c>
      <c r="K107" s="8">
        <f>E107+H107</f>
        <v/>
      </c>
      <c r="L107" s="8">
        <f>J107+K107</f>
        <v/>
      </c>
      <c r="M107" s="9">
        <f>IF(C107=0,0,L107/C107*100)</f>
        <v/>
      </c>
    </row>
    <row r="108">
      <c r="A108" s="7" t="n">
        <v>2</v>
      </c>
      <c r="B108" s="8">
        <f>B6</f>
        <v/>
      </c>
      <c r="C108" s="8">
        <f>C6</f>
        <v/>
      </c>
      <c r="D108" s="14" t="n"/>
      <c r="E108" s="14" t="n"/>
      <c r="F108" s="8">
        <f>D108+E108</f>
        <v/>
      </c>
      <c r="G108" s="14" t="n"/>
      <c r="H108" s="14" t="n"/>
      <c r="I108" s="8">
        <f>G108+H108</f>
        <v/>
      </c>
      <c r="J108" s="8">
        <f>D108+G108</f>
        <v/>
      </c>
      <c r="K108" s="8">
        <f>E108+H108</f>
        <v/>
      </c>
      <c r="L108" s="8">
        <f>J108+K108</f>
        <v/>
      </c>
      <c r="M108" s="9">
        <f>IF(C108=0,0,L108/C108*100)</f>
        <v/>
      </c>
    </row>
    <row r="109">
      <c r="A109" s="7" t="n">
        <v>3</v>
      </c>
      <c r="B109" s="8">
        <f>B7</f>
        <v/>
      </c>
      <c r="C109" s="8">
        <f>C7</f>
        <v/>
      </c>
      <c r="D109" s="14" t="n"/>
      <c r="E109" s="14" t="n"/>
      <c r="F109" s="8">
        <f>D109+E109</f>
        <v/>
      </c>
      <c r="G109" s="14" t="n"/>
      <c r="H109" s="14" t="n"/>
      <c r="I109" s="8">
        <f>G109+H109</f>
        <v/>
      </c>
      <c r="J109" s="8">
        <f>D109+G109</f>
        <v/>
      </c>
      <c r="K109" s="8">
        <f>E109+H109</f>
        <v/>
      </c>
      <c r="L109" s="8">
        <f>J109+K109</f>
        <v/>
      </c>
      <c r="M109" s="9">
        <f>IF(C109=0,0,L109/C109*100)</f>
        <v/>
      </c>
    </row>
    <row r="110">
      <c r="A110" s="7" t="n">
        <v>4</v>
      </c>
      <c r="B110" s="8">
        <f>B8</f>
        <v/>
      </c>
      <c r="C110" s="8">
        <f>C8</f>
        <v/>
      </c>
      <c r="D110" s="14" t="n"/>
      <c r="E110" s="14" t="n"/>
      <c r="F110" s="8">
        <f>D110+E110</f>
        <v/>
      </c>
      <c r="G110" s="14" t="n"/>
      <c r="H110" s="14" t="n"/>
      <c r="I110" s="8">
        <f>G110+H110</f>
        <v/>
      </c>
      <c r="J110" s="8">
        <f>D110+G110</f>
        <v/>
      </c>
      <c r="K110" s="8">
        <f>E110+H110</f>
        <v/>
      </c>
      <c r="L110" s="8">
        <f>J110+K110</f>
        <v/>
      </c>
      <c r="M110" s="9">
        <f>IF(C110=0,0,L110/C110*100)</f>
        <v/>
      </c>
    </row>
    <row r="111">
      <c r="A111" s="7" t="n">
        <v>5</v>
      </c>
      <c r="B111" s="8">
        <f>B9</f>
        <v/>
      </c>
      <c r="C111" s="8">
        <f>C9</f>
        <v/>
      </c>
      <c r="D111" s="14" t="n"/>
      <c r="E111" s="14" t="n"/>
      <c r="F111" s="8">
        <f>D111+E111</f>
        <v/>
      </c>
      <c r="G111" s="14" t="n"/>
      <c r="H111" s="14" t="n"/>
      <c r="I111" s="8">
        <f>G111+H111</f>
        <v/>
      </c>
      <c r="J111" s="8">
        <f>D111+G111</f>
        <v/>
      </c>
      <c r="K111" s="8">
        <f>E111+H111</f>
        <v/>
      </c>
      <c r="L111" s="8">
        <f>J111+K111</f>
        <v/>
      </c>
      <c r="M111" s="9">
        <f>IF(C111=0,0,L111/C111*100)</f>
        <v/>
      </c>
    </row>
    <row r="112">
      <c r="A112" s="7" t="n">
        <v>6</v>
      </c>
      <c r="B112" s="8">
        <f>B10</f>
        <v/>
      </c>
      <c r="C112" s="8">
        <f>C10</f>
        <v/>
      </c>
      <c r="D112" s="14" t="n"/>
      <c r="E112" s="14" t="n"/>
      <c r="F112" s="8">
        <f>D112+E112</f>
        <v/>
      </c>
      <c r="G112" s="14" t="n"/>
      <c r="H112" s="14" t="n"/>
      <c r="I112" s="8">
        <f>G112+H112</f>
        <v/>
      </c>
      <c r="J112" s="8">
        <f>D112+G112</f>
        <v/>
      </c>
      <c r="K112" s="8">
        <f>E112+H112</f>
        <v/>
      </c>
      <c r="L112" s="8">
        <f>J112+K112</f>
        <v/>
      </c>
      <c r="M112" s="9">
        <f>IF(C112=0,0,L112/C112*100)</f>
        <v/>
      </c>
    </row>
    <row r="113">
      <c r="A113" s="7" t="n">
        <v>7</v>
      </c>
      <c r="B113" s="8">
        <f>B11</f>
        <v/>
      </c>
      <c r="C113" s="8">
        <f>C11</f>
        <v/>
      </c>
      <c r="D113" s="14" t="n"/>
      <c r="E113" s="14" t="n"/>
      <c r="F113" s="8">
        <f>D113+E113</f>
        <v/>
      </c>
      <c r="G113" s="14" t="n"/>
      <c r="H113" s="14" t="n"/>
      <c r="I113" s="8">
        <f>G113+H113</f>
        <v/>
      </c>
      <c r="J113" s="8">
        <f>D113+G113</f>
        <v/>
      </c>
      <c r="K113" s="8">
        <f>E113+H113</f>
        <v/>
      </c>
      <c r="L113" s="8">
        <f>J113+K113</f>
        <v/>
      </c>
      <c r="M113" s="9">
        <f>IF(C113=0,0,L113/C113*100)</f>
        <v/>
      </c>
    </row>
    <row r="114">
      <c r="A114" s="7" t="n">
        <v>8</v>
      </c>
      <c r="B114" s="8">
        <f>B12</f>
        <v/>
      </c>
      <c r="C114" s="8">
        <f>C12</f>
        <v/>
      </c>
      <c r="D114" s="14" t="n"/>
      <c r="E114" s="14" t="n"/>
      <c r="F114" s="8">
        <f>D114+E114</f>
        <v/>
      </c>
      <c r="G114" s="14" t="n"/>
      <c r="H114" s="14" t="n"/>
      <c r="I114" s="8">
        <f>G114+H114</f>
        <v/>
      </c>
      <c r="J114" s="8">
        <f>D114+G114</f>
        <v/>
      </c>
      <c r="K114" s="8">
        <f>E114+H114</f>
        <v/>
      </c>
      <c r="L114" s="8">
        <f>J114+K114</f>
        <v/>
      </c>
      <c r="M114" s="9">
        <f>IF(C114=0,0,L114/C114*100)</f>
        <v/>
      </c>
    </row>
    <row r="115">
      <c r="A115" s="7" t="n">
        <v>9</v>
      </c>
      <c r="B115" s="8">
        <f>B13</f>
        <v/>
      </c>
      <c r="C115" s="8">
        <f>C13</f>
        <v/>
      </c>
      <c r="D115" s="14" t="n"/>
      <c r="E115" s="14" t="n"/>
      <c r="F115" s="8">
        <f>D115+E115</f>
        <v/>
      </c>
      <c r="G115" s="14" t="n"/>
      <c r="H115" s="14" t="n"/>
      <c r="I115" s="8">
        <f>G115+H115</f>
        <v/>
      </c>
      <c r="J115" s="8">
        <f>D115+G115</f>
        <v/>
      </c>
      <c r="K115" s="8">
        <f>E115+H115</f>
        <v/>
      </c>
      <c r="L115" s="8">
        <f>J115+K115</f>
        <v/>
      </c>
      <c r="M115" s="9">
        <f>IF(C115=0,0,L115/C115*100)</f>
        <v/>
      </c>
    </row>
    <row r="116">
      <c r="A116" s="7" t="n">
        <v>10</v>
      </c>
      <c r="B116" s="8">
        <f>B14</f>
        <v/>
      </c>
      <c r="C116" s="8">
        <f>C14</f>
        <v/>
      </c>
      <c r="D116" s="14" t="n"/>
      <c r="E116" s="14" t="n"/>
      <c r="F116" s="8">
        <f>D116+E116</f>
        <v/>
      </c>
      <c r="G116" s="14" t="n"/>
      <c r="H116" s="14" t="n"/>
      <c r="I116" s="8">
        <f>G116+H116</f>
        <v/>
      </c>
      <c r="J116" s="8">
        <f>D116+G116</f>
        <v/>
      </c>
      <c r="K116" s="8">
        <f>E116+H116</f>
        <v/>
      </c>
      <c r="L116" s="8">
        <f>J116+K116</f>
        <v/>
      </c>
      <c r="M116" s="9">
        <f>IF(C116=0,0,L116/C116*100)</f>
        <v/>
      </c>
    </row>
    <row r="117">
      <c r="A117" s="7" t="n">
        <v>11</v>
      </c>
      <c r="B117" s="8">
        <f>B15</f>
        <v/>
      </c>
      <c r="C117" s="8">
        <f>C15</f>
        <v/>
      </c>
      <c r="D117" s="14" t="n"/>
      <c r="E117" s="14" t="n"/>
      <c r="F117" s="8">
        <f>D117+E117</f>
        <v/>
      </c>
      <c r="G117" s="14" t="n"/>
      <c r="H117" s="14" t="n"/>
      <c r="I117" s="8">
        <f>G117+H117</f>
        <v/>
      </c>
      <c r="J117" s="8">
        <f>D117+G117</f>
        <v/>
      </c>
      <c r="K117" s="8">
        <f>E117+H117</f>
        <v/>
      </c>
      <c r="L117" s="8">
        <f>J117+K117</f>
        <v/>
      </c>
      <c r="M117" s="9">
        <f>IF(C117=0,0,L117/C117*100)</f>
        <v/>
      </c>
    </row>
    <row r="118">
      <c r="A118" s="10" t="inlineStr">
        <is>
          <t>Total</t>
        </is>
      </c>
      <c r="B118" s="11">
        <f>SUM(B107:B117)</f>
        <v/>
      </c>
      <c r="C118" s="11">
        <f>SUM(C107:C117)</f>
        <v/>
      </c>
      <c r="D118" s="11">
        <f>SUM(D107:D117)</f>
        <v/>
      </c>
      <c r="E118" s="11">
        <f>SUM(E107:E117)</f>
        <v/>
      </c>
      <c r="F118" s="11">
        <f>D118+E118</f>
        <v/>
      </c>
      <c r="G118" s="11">
        <f>SUM(G107:G117)</f>
        <v/>
      </c>
      <c r="H118" s="11">
        <f>SUM(H107:H117)</f>
        <v/>
      </c>
      <c r="I118" s="11">
        <f>G118+H118</f>
        <v/>
      </c>
      <c r="J118" s="11">
        <f>D118+G118</f>
        <v/>
      </c>
      <c r="K118" s="11">
        <f>E118+H118</f>
        <v/>
      </c>
      <c r="L118" s="11">
        <f>J118+K118</f>
        <v/>
      </c>
      <c r="M118" s="12">
        <f>IF(C118=0,0,L118/C118*100)</f>
        <v/>
      </c>
    </row>
    <row r="120">
      <c r="A120" s="13" t="inlineStr">
        <is>
          <t>Day 7 - 2026-10-11 (Sun 25 Aswin 2083)</t>
        </is>
      </c>
    </row>
    <row r="121">
      <c r="A121" s="6" t="inlineStr">
        <is>
          <t>Ward no.</t>
        </is>
      </c>
      <c r="B121" s="6" t="inlineStr">
        <is>
          <t>Total population</t>
        </is>
      </c>
      <c r="C121" s="6" t="inlineStr">
        <is>
          <t>JE target population</t>
        </is>
      </c>
      <c r="D121" s="6" t="inlineStr">
        <is>
          <t>Vaccinated</t>
        </is>
      </c>
      <c r="E121" s="6" t="n"/>
      <c r="F121" s="6" t="n"/>
      <c r="G121" s="6" t="n"/>
      <c r="H121" s="6" t="n"/>
      <c r="I121" s="6" t="n"/>
      <c r="J121" s="6" t="n"/>
      <c r="K121" s="6" t="n"/>
      <c r="L121" s="6" t="n"/>
      <c r="M121" s="6" t="inlineStr">
        <is>
          <t>Progress %</t>
        </is>
      </c>
    </row>
    <row r="122">
      <c r="A122" s="6" t="n"/>
      <c r="B122" s="6" t="n"/>
      <c r="C122" s="6" t="n"/>
      <c r="D122" s="6" t="inlineStr">
        <is>
          <t>Age 30-60 yrs</t>
        </is>
      </c>
      <c r="E122" s="6" t="n"/>
      <c r="F122" s="6" t="n"/>
      <c r="G122" s="6" t="inlineStr">
        <is>
          <t>Age 60 above</t>
        </is>
      </c>
      <c r="H122" s="6" t="n"/>
      <c r="I122" s="6" t="n"/>
      <c r="J122" s="6" t="inlineStr">
        <is>
          <t>Total</t>
        </is>
      </c>
      <c r="K122" s="6" t="n"/>
      <c r="L122" s="6" t="inlineStr">
        <is>
          <t>Grand Total</t>
        </is>
      </c>
      <c r="M122" s="6" t="n"/>
    </row>
    <row r="123">
      <c r="A123" s="6" t="n"/>
      <c r="B123" s="6" t="n"/>
      <c r="C123" s="6" t="n"/>
      <c r="D123" s="6" t="inlineStr">
        <is>
          <t>F</t>
        </is>
      </c>
      <c r="E123" s="6" t="inlineStr">
        <is>
          <t>M</t>
        </is>
      </c>
      <c r="F123" s="6" t="inlineStr">
        <is>
          <t>Total</t>
        </is>
      </c>
      <c r="G123" s="6" t="inlineStr">
        <is>
          <t>F</t>
        </is>
      </c>
      <c r="H123" s="6" t="inlineStr">
        <is>
          <t>M</t>
        </is>
      </c>
      <c r="I123" s="6" t="inlineStr">
        <is>
          <t>Total</t>
        </is>
      </c>
      <c r="J123" s="6" t="inlineStr">
        <is>
          <t>F</t>
        </is>
      </c>
      <c r="K123" s="6" t="inlineStr">
        <is>
          <t>M</t>
        </is>
      </c>
      <c r="L123" s="6" t="n"/>
      <c r="M123" s="6" t="n"/>
    </row>
    <row r="124">
      <c r="A124" s="7" t="n">
        <v>1</v>
      </c>
      <c r="B124" s="8">
        <f>B5</f>
        <v/>
      </c>
      <c r="C124" s="8">
        <f>C5</f>
        <v/>
      </c>
      <c r="D124" s="14" t="n"/>
      <c r="E124" s="14" t="n"/>
      <c r="F124" s="8">
        <f>D124+E124</f>
        <v/>
      </c>
      <c r="G124" s="14" t="n"/>
      <c r="H124" s="14" t="n"/>
      <c r="I124" s="8">
        <f>G124+H124</f>
        <v/>
      </c>
      <c r="J124" s="8">
        <f>D124+G124</f>
        <v/>
      </c>
      <c r="K124" s="8">
        <f>E124+H124</f>
        <v/>
      </c>
      <c r="L124" s="8">
        <f>J124+K124</f>
        <v/>
      </c>
      <c r="M124" s="9">
        <f>IF(C124=0,0,L124/C124*100)</f>
        <v/>
      </c>
    </row>
    <row r="125">
      <c r="A125" s="7" t="n">
        <v>2</v>
      </c>
      <c r="B125" s="8">
        <f>B6</f>
        <v/>
      </c>
      <c r="C125" s="8">
        <f>C6</f>
        <v/>
      </c>
      <c r="D125" s="14" t="n"/>
      <c r="E125" s="14" t="n"/>
      <c r="F125" s="8">
        <f>D125+E125</f>
        <v/>
      </c>
      <c r="G125" s="14" t="n"/>
      <c r="H125" s="14" t="n"/>
      <c r="I125" s="8">
        <f>G125+H125</f>
        <v/>
      </c>
      <c r="J125" s="8">
        <f>D125+G125</f>
        <v/>
      </c>
      <c r="K125" s="8">
        <f>E125+H125</f>
        <v/>
      </c>
      <c r="L125" s="8">
        <f>J125+K125</f>
        <v/>
      </c>
      <c r="M125" s="9">
        <f>IF(C125=0,0,L125/C125*100)</f>
        <v/>
      </c>
    </row>
    <row r="126">
      <c r="A126" s="7" t="n">
        <v>3</v>
      </c>
      <c r="B126" s="8">
        <f>B7</f>
        <v/>
      </c>
      <c r="C126" s="8">
        <f>C7</f>
        <v/>
      </c>
      <c r="D126" s="14" t="n"/>
      <c r="E126" s="14" t="n"/>
      <c r="F126" s="8">
        <f>D126+E126</f>
        <v/>
      </c>
      <c r="G126" s="14" t="n"/>
      <c r="H126" s="14" t="n"/>
      <c r="I126" s="8">
        <f>G126+H126</f>
        <v/>
      </c>
      <c r="J126" s="8">
        <f>D126+G126</f>
        <v/>
      </c>
      <c r="K126" s="8">
        <f>E126+H126</f>
        <v/>
      </c>
      <c r="L126" s="8">
        <f>J126+K126</f>
        <v/>
      </c>
      <c r="M126" s="9">
        <f>IF(C126=0,0,L126/C126*100)</f>
        <v/>
      </c>
    </row>
    <row r="127">
      <c r="A127" s="7" t="n">
        <v>4</v>
      </c>
      <c r="B127" s="8">
        <f>B8</f>
        <v/>
      </c>
      <c r="C127" s="8">
        <f>C8</f>
        <v/>
      </c>
      <c r="D127" s="14" t="n"/>
      <c r="E127" s="14" t="n"/>
      <c r="F127" s="8">
        <f>D127+E127</f>
        <v/>
      </c>
      <c r="G127" s="14" t="n"/>
      <c r="H127" s="14" t="n"/>
      <c r="I127" s="8">
        <f>G127+H127</f>
        <v/>
      </c>
      <c r="J127" s="8">
        <f>D127+G127</f>
        <v/>
      </c>
      <c r="K127" s="8">
        <f>E127+H127</f>
        <v/>
      </c>
      <c r="L127" s="8">
        <f>J127+K127</f>
        <v/>
      </c>
      <c r="M127" s="9">
        <f>IF(C127=0,0,L127/C127*100)</f>
        <v/>
      </c>
    </row>
    <row r="128">
      <c r="A128" s="7" t="n">
        <v>5</v>
      </c>
      <c r="B128" s="8">
        <f>B9</f>
        <v/>
      </c>
      <c r="C128" s="8">
        <f>C9</f>
        <v/>
      </c>
      <c r="D128" s="14" t="n"/>
      <c r="E128" s="14" t="n"/>
      <c r="F128" s="8">
        <f>D128+E128</f>
        <v/>
      </c>
      <c r="G128" s="14" t="n"/>
      <c r="H128" s="14" t="n"/>
      <c r="I128" s="8">
        <f>G128+H128</f>
        <v/>
      </c>
      <c r="J128" s="8">
        <f>D128+G128</f>
        <v/>
      </c>
      <c r="K128" s="8">
        <f>E128+H128</f>
        <v/>
      </c>
      <c r="L128" s="8">
        <f>J128+K128</f>
        <v/>
      </c>
      <c r="M128" s="9">
        <f>IF(C128=0,0,L128/C128*100)</f>
        <v/>
      </c>
    </row>
    <row r="129">
      <c r="A129" s="7" t="n">
        <v>6</v>
      </c>
      <c r="B129" s="8">
        <f>B10</f>
        <v/>
      </c>
      <c r="C129" s="8">
        <f>C10</f>
        <v/>
      </c>
      <c r="D129" s="14" t="n"/>
      <c r="E129" s="14" t="n"/>
      <c r="F129" s="8">
        <f>D129+E129</f>
        <v/>
      </c>
      <c r="G129" s="14" t="n"/>
      <c r="H129" s="14" t="n"/>
      <c r="I129" s="8">
        <f>G129+H129</f>
        <v/>
      </c>
      <c r="J129" s="8">
        <f>D129+G129</f>
        <v/>
      </c>
      <c r="K129" s="8">
        <f>E129+H129</f>
        <v/>
      </c>
      <c r="L129" s="8">
        <f>J129+K129</f>
        <v/>
      </c>
      <c r="M129" s="9">
        <f>IF(C129=0,0,L129/C129*100)</f>
        <v/>
      </c>
    </row>
    <row r="130">
      <c r="A130" s="7" t="n">
        <v>7</v>
      </c>
      <c r="B130" s="8">
        <f>B11</f>
        <v/>
      </c>
      <c r="C130" s="8">
        <f>C11</f>
        <v/>
      </c>
      <c r="D130" s="14" t="n"/>
      <c r="E130" s="14" t="n"/>
      <c r="F130" s="8">
        <f>D130+E130</f>
        <v/>
      </c>
      <c r="G130" s="14" t="n"/>
      <c r="H130" s="14" t="n"/>
      <c r="I130" s="8">
        <f>G130+H130</f>
        <v/>
      </c>
      <c r="J130" s="8">
        <f>D130+G130</f>
        <v/>
      </c>
      <c r="K130" s="8">
        <f>E130+H130</f>
        <v/>
      </c>
      <c r="L130" s="8">
        <f>J130+K130</f>
        <v/>
      </c>
      <c r="M130" s="9">
        <f>IF(C130=0,0,L130/C130*100)</f>
        <v/>
      </c>
    </row>
    <row r="131">
      <c r="A131" s="7" t="n">
        <v>8</v>
      </c>
      <c r="B131" s="8">
        <f>B12</f>
        <v/>
      </c>
      <c r="C131" s="8">
        <f>C12</f>
        <v/>
      </c>
      <c r="D131" s="14" t="n"/>
      <c r="E131" s="14" t="n"/>
      <c r="F131" s="8">
        <f>D131+E131</f>
        <v/>
      </c>
      <c r="G131" s="14" t="n"/>
      <c r="H131" s="14" t="n"/>
      <c r="I131" s="8">
        <f>G131+H131</f>
        <v/>
      </c>
      <c r="J131" s="8">
        <f>D131+G131</f>
        <v/>
      </c>
      <c r="K131" s="8">
        <f>E131+H131</f>
        <v/>
      </c>
      <c r="L131" s="8">
        <f>J131+K131</f>
        <v/>
      </c>
      <c r="M131" s="9">
        <f>IF(C131=0,0,L131/C131*100)</f>
        <v/>
      </c>
    </row>
    <row r="132">
      <c r="A132" s="7" t="n">
        <v>9</v>
      </c>
      <c r="B132" s="8">
        <f>B13</f>
        <v/>
      </c>
      <c r="C132" s="8">
        <f>C13</f>
        <v/>
      </c>
      <c r="D132" s="14" t="n"/>
      <c r="E132" s="14" t="n"/>
      <c r="F132" s="8">
        <f>D132+E132</f>
        <v/>
      </c>
      <c r="G132" s="14" t="n"/>
      <c r="H132" s="14" t="n"/>
      <c r="I132" s="8">
        <f>G132+H132</f>
        <v/>
      </c>
      <c r="J132" s="8">
        <f>D132+G132</f>
        <v/>
      </c>
      <c r="K132" s="8">
        <f>E132+H132</f>
        <v/>
      </c>
      <c r="L132" s="8">
        <f>J132+K132</f>
        <v/>
      </c>
      <c r="M132" s="9">
        <f>IF(C132=0,0,L132/C132*100)</f>
        <v/>
      </c>
    </row>
    <row r="133">
      <c r="A133" s="7" t="n">
        <v>10</v>
      </c>
      <c r="B133" s="8">
        <f>B14</f>
        <v/>
      </c>
      <c r="C133" s="8">
        <f>C14</f>
        <v/>
      </c>
      <c r="D133" s="14" t="n"/>
      <c r="E133" s="14" t="n"/>
      <c r="F133" s="8">
        <f>D133+E133</f>
        <v/>
      </c>
      <c r="G133" s="14" t="n"/>
      <c r="H133" s="14" t="n"/>
      <c r="I133" s="8">
        <f>G133+H133</f>
        <v/>
      </c>
      <c r="J133" s="8">
        <f>D133+G133</f>
        <v/>
      </c>
      <c r="K133" s="8">
        <f>E133+H133</f>
        <v/>
      </c>
      <c r="L133" s="8">
        <f>J133+K133</f>
        <v/>
      </c>
      <c r="M133" s="9">
        <f>IF(C133=0,0,L133/C133*100)</f>
        <v/>
      </c>
    </row>
    <row r="134">
      <c r="A134" s="7" t="n">
        <v>11</v>
      </c>
      <c r="B134" s="8">
        <f>B15</f>
        <v/>
      </c>
      <c r="C134" s="8">
        <f>C15</f>
        <v/>
      </c>
      <c r="D134" s="14" t="n"/>
      <c r="E134" s="14" t="n"/>
      <c r="F134" s="8">
        <f>D134+E134</f>
        <v/>
      </c>
      <c r="G134" s="14" t="n"/>
      <c r="H134" s="14" t="n"/>
      <c r="I134" s="8">
        <f>G134+H134</f>
        <v/>
      </c>
      <c r="J134" s="8">
        <f>D134+G134</f>
        <v/>
      </c>
      <c r="K134" s="8">
        <f>E134+H134</f>
        <v/>
      </c>
      <c r="L134" s="8">
        <f>J134+K134</f>
        <v/>
      </c>
      <c r="M134" s="9">
        <f>IF(C134=0,0,L134/C134*100)</f>
        <v/>
      </c>
    </row>
    <row r="135">
      <c r="A135" s="10" t="inlineStr">
        <is>
          <t>Total</t>
        </is>
      </c>
      <c r="B135" s="11">
        <f>SUM(B124:B134)</f>
        <v/>
      </c>
      <c r="C135" s="11">
        <f>SUM(C124:C134)</f>
        <v/>
      </c>
      <c r="D135" s="11">
        <f>SUM(D124:D134)</f>
        <v/>
      </c>
      <c r="E135" s="11">
        <f>SUM(E124:E134)</f>
        <v/>
      </c>
      <c r="F135" s="11">
        <f>D135+E135</f>
        <v/>
      </c>
      <c r="G135" s="11">
        <f>SUM(G124:G134)</f>
        <v/>
      </c>
      <c r="H135" s="11">
        <f>SUM(H124:H134)</f>
        <v/>
      </c>
      <c r="I135" s="11">
        <f>G135+H135</f>
        <v/>
      </c>
      <c r="J135" s="11">
        <f>D135+G135</f>
        <v/>
      </c>
      <c r="K135" s="11">
        <f>E135+H135</f>
        <v/>
      </c>
      <c r="L135" s="11">
        <f>J135+K135</f>
        <v/>
      </c>
      <c r="M135" s="12">
        <f>IF(C135=0,0,L135/C135*100)</f>
        <v/>
      </c>
    </row>
    <row r="137">
      <c r="A137" s="13" t="inlineStr">
        <is>
          <t>Day 8 - 2026-10-12 (Mon 26 Aswin 2083)</t>
        </is>
      </c>
    </row>
    <row r="138">
      <c r="A138" s="6" t="inlineStr">
        <is>
          <t>Ward no.</t>
        </is>
      </c>
      <c r="B138" s="6" t="inlineStr">
        <is>
          <t>Total population</t>
        </is>
      </c>
      <c r="C138" s="6" t="inlineStr">
        <is>
          <t>JE target population</t>
        </is>
      </c>
      <c r="D138" s="6" t="inlineStr">
        <is>
          <t>Vaccinated</t>
        </is>
      </c>
      <c r="E138" s="6" t="n"/>
      <c r="F138" s="6" t="n"/>
      <c r="G138" s="6" t="n"/>
      <c r="H138" s="6" t="n"/>
      <c r="I138" s="6" t="n"/>
      <c r="J138" s="6" t="n"/>
      <c r="K138" s="6" t="n"/>
      <c r="L138" s="6" t="n"/>
      <c r="M138" s="6" t="inlineStr">
        <is>
          <t>Progress %</t>
        </is>
      </c>
    </row>
    <row r="139">
      <c r="A139" s="6" t="n"/>
      <c r="B139" s="6" t="n"/>
      <c r="C139" s="6" t="n"/>
      <c r="D139" s="6" t="inlineStr">
        <is>
          <t>Age 30-60 yrs</t>
        </is>
      </c>
      <c r="E139" s="6" t="n"/>
      <c r="F139" s="6" t="n"/>
      <c r="G139" s="6" t="inlineStr">
        <is>
          <t>Age 60 above</t>
        </is>
      </c>
      <c r="H139" s="6" t="n"/>
      <c r="I139" s="6" t="n"/>
      <c r="J139" s="6" t="inlineStr">
        <is>
          <t>Total</t>
        </is>
      </c>
      <c r="K139" s="6" t="n"/>
      <c r="L139" s="6" t="inlineStr">
        <is>
          <t>Grand Total</t>
        </is>
      </c>
      <c r="M139" s="6" t="n"/>
    </row>
    <row r="140">
      <c r="A140" s="6" t="n"/>
      <c r="B140" s="6" t="n"/>
      <c r="C140" s="6" t="n"/>
      <c r="D140" s="6" t="inlineStr">
        <is>
          <t>F</t>
        </is>
      </c>
      <c r="E140" s="6" t="inlineStr">
        <is>
          <t>M</t>
        </is>
      </c>
      <c r="F140" s="6" t="inlineStr">
        <is>
          <t>Total</t>
        </is>
      </c>
      <c r="G140" s="6" t="inlineStr">
        <is>
          <t>F</t>
        </is>
      </c>
      <c r="H140" s="6" t="inlineStr">
        <is>
          <t>M</t>
        </is>
      </c>
      <c r="I140" s="6" t="inlineStr">
        <is>
          <t>Total</t>
        </is>
      </c>
      <c r="J140" s="6" t="inlineStr">
        <is>
          <t>F</t>
        </is>
      </c>
      <c r="K140" s="6" t="inlineStr">
        <is>
          <t>M</t>
        </is>
      </c>
      <c r="L140" s="6" t="n"/>
      <c r="M140" s="6" t="n"/>
    </row>
    <row r="141">
      <c r="A141" s="7" t="n">
        <v>1</v>
      </c>
      <c r="B141" s="8">
        <f>B5</f>
        <v/>
      </c>
      <c r="C141" s="8">
        <f>C5</f>
        <v/>
      </c>
      <c r="D141" s="14" t="n"/>
      <c r="E141" s="14" t="n"/>
      <c r="F141" s="8">
        <f>D141+E141</f>
        <v/>
      </c>
      <c r="G141" s="14" t="n"/>
      <c r="H141" s="14" t="n"/>
      <c r="I141" s="8">
        <f>G141+H141</f>
        <v/>
      </c>
      <c r="J141" s="8">
        <f>D141+G141</f>
        <v/>
      </c>
      <c r="K141" s="8">
        <f>E141+H141</f>
        <v/>
      </c>
      <c r="L141" s="8">
        <f>J141+K141</f>
        <v/>
      </c>
      <c r="M141" s="9">
        <f>IF(C141=0,0,L141/C141*100)</f>
        <v/>
      </c>
    </row>
    <row r="142">
      <c r="A142" s="7" t="n">
        <v>2</v>
      </c>
      <c r="B142" s="8">
        <f>B6</f>
        <v/>
      </c>
      <c r="C142" s="8">
        <f>C6</f>
        <v/>
      </c>
      <c r="D142" s="14" t="n"/>
      <c r="E142" s="14" t="n"/>
      <c r="F142" s="8">
        <f>D142+E142</f>
        <v/>
      </c>
      <c r="G142" s="14" t="n"/>
      <c r="H142" s="14" t="n"/>
      <c r="I142" s="8">
        <f>G142+H142</f>
        <v/>
      </c>
      <c r="J142" s="8">
        <f>D142+G142</f>
        <v/>
      </c>
      <c r="K142" s="8">
        <f>E142+H142</f>
        <v/>
      </c>
      <c r="L142" s="8">
        <f>J142+K142</f>
        <v/>
      </c>
      <c r="M142" s="9">
        <f>IF(C142=0,0,L142/C142*100)</f>
        <v/>
      </c>
    </row>
    <row r="143">
      <c r="A143" s="7" t="n">
        <v>3</v>
      </c>
      <c r="B143" s="8">
        <f>B7</f>
        <v/>
      </c>
      <c r="C143" s="8">
        <f>C7</f>
        <v/>
      </c>
      <c r="D143" s="14" t="n"/>
      <c r="E143" s="14" t="n"/>
      <c r="F143" s="8">
        <f>D143+E143</f>
        <v/>
      </c>
      <c r="G143" s="14" t="n"/>
      <c r="H143" s="14" t="n"/>
      <c r="I143" s="8">
        <f>G143+H143</f>
        <v/>
      </c>
      <c r="J143" s="8">
        <f>D143+G143</f>
        <v/>
      </c>
      <c r="K143" s="8">
        <f>E143+H143</f>
        <v/>
      </c>
      <c r="L143" s="8">
        <f>J143+K143</f>
        <v/>
      </c>
      <c r="M143" s="9">
        <f>IF(C143=0,0,L143/C143*100)</f>
        <v/>
      </c>
    </row>
    <row r="144">
      <c r="A144" s="7" t="n">
        <v>4</v>
      </c>
      <c r="B144" s="8">
        <f>B8</f>
        <v/>
      </c>
      <c r="C144" s="8">
        <f>C8</f>
        <v/>
      </c>
      <c r="D144" s="14" t="n"/>
      <c r="E144" s="14" t="n"/>
      <c r="F144" s="8">
        <f>D144+E144</f>
        <v/>
      </c>
      <c r="G144" s="14" t="n"/>
      <c r="H144" s="14" t="n"/>
      <c r="I144" s="8">
        <f>G144+H144</f>
        <v/>
      </c>
      <c r="J144" s="8">
        <f>D144+G144</f>
        <v/>
      </c>
      <c r="K144" s="8">
        <f>E144+H144</f>
        <v/>
      </c>
      <c r="L144" s="8">
        <f>J144+K144</f>
        <v/>
      </c>
      <c r="M144" s="9">
        <f>IF(C144=0,0,L144/C144*100)</f>
        <v/>
      </c>
    </row>
    <row r="145">
      <c r="A145" s="7" t="n">
        <v>5</v>
      </c>
      <c r="B145" s="8">
        <f>B9</f>
        <v/>
      </c>
      <c r="C145" s="8">
        <f>C9</f>
        <v/>
      </c>
      <c r="D145" s="14" t="n"/>
      <c r="E145" s="14" t="n"/>
      <c r="F145" s="8">
        <f>D145+E145</f>
        <v/>
      </c>
      <c r="G145" s="14" t="n"/>
      <c r="H145" s="14" t="n"/>
      <c r="I145" s="8">
        <f>G145+H145</f>
        <v/>
      </c>
      <c r="J145" s="8">
        <f>D145+G145</f>
        <v/>
      </c>
      <c r="K145" s="8">
        <f>E145+H145</f>
        <v/>
      </c>
      <c r="L145" s="8">
        <f>J145+K145</f>
        <v/>
      </c>
      <c r="M145" s="9">
        <f>IF(C145=0,0,L145/C145*100)</f>
        <v/>
      </c>
    </row>
    <row r="146">
      <c r="A146" s="7" t="n">
        <v>6</v>
      </c>
      <c r="B146" s="8">
        <f>B10</f>
        <v/>
      </c>
      <c r="C146" s="8">
        <f>C10</f>
        <v/>
      </c>
      <c r="D146" s="14" t="n"/>
      <c r="E146" s="14" t="n"/>
      <c r="F146" s="8">
        <f>D146+E146</f>
        <v/>
      </c>
      <c r="G146" s="14" t="n"/>
      <c r="H146" s="14" t="n"/>
      <c r="I146" s="8">
        <f>G146+H146</f>
        <v/>
      </c>
      <c r="J146" s="8">
        <f>D146+G146</f>
        <v/>
      </c>
      <c r="K146" s="8">
        <f>E146+H146</f>
        <v/>
      </c>
      <c r="L146" s="8">
        <f>J146+K146</f>
        <v/>
      </c>
      <c r="M146" s="9">
        <f>IF(C146=0,0,L146/C146*100)</f>
        <v/>
      </c>
    </row>
    <row r="147">
      <c r="A147" s="7" t="n">
        <v>7</v>
      </c>
      <c r="B147" s="8">
        <f>B11</f>
        <v/>
      </c>
      <c r="C147" s="8">
        <f>C11</f>
        <v/>
      </c>
      <c r="D147" s="14" t="n"/>
      <c r="E147" s="14" t="n"/>
      <c r="F147" s="8">
        <f>D147+E147</f>
        <v/>
      </c>
      <c r="G147" s="14" t="n"/>
      <c r="H147" s="14" t="n"/>
      <c r="I147" s="8">
        <f>G147+H147</f>
        <v/>
      </c>
      <c r="J147" s="8">
        <f>D147+G147</f>
        <v/>
      </c>
      <c r="K147" s="8">
        <f>E147+H147</f>
        <v/>
      </c>
      <c r="L147" s="8">
        <f>J147+K147</f>
        <v/>
      </c>
      <c r="M147" s="9">
        <f>IF(C147=0,0,L147/C147*100)</f>
        <v/>
      </c>
    </row>
    <row r="148">
      <c r="A148" s="7" t="n">
        <v>8</v>
      </c>
      <c r="B148" s="8">
        <f>B12</f>
        <v/>
      </c>
      <c r="C148" s="8">
        <f>C12</f>
        <v/>
      </c>
      <c r="D148" s="14" t="n"/>
      <c r="E148" s="14" t="n"/>
      <c r="F148" s="8">
        <f>D148+E148</f>
        <v/>
      </c>
      <c r="G148" s="14" t="n"/>
      <c r="H148" s="14" t="n"/>
      <c r="I148" s="8">
        <f>G148+H148</f>
        <v/>
      </c>
      <c r="J148" s="8">
        <f>D148+G148</f>
        <v/>
      </c>
      <c r="K148" s="8">
        <f>E148+H148</f>
        <v/>
      </c>
      <c r="L148" s="8">
        <f>J148+K148</f>
        <v/>
      </c>
      <c r="M148" s="9">
        <f>IF(C148=0,0,L148/C148*100)</f>
        <v/>
      </c>
    </row>
    <row r="149">
      <c r="A149" s="7" t="n">
        <v>9</v>
      </c>
      <c r="B149" s="8">
        <f>B13</f>
        <v/>
      </c>
      <c r="C149" s="8">
        <f>C13</f>
        <v/>
      </c>
      <c r="D149" s="14" t="n"/>
      <c r="E149" s="14" t="n"/>
      <c r="F149" s="8">
        <f>D149+E149</f>
        <v/>
      </c>
      <c r="G149" s="14" t="n"/>
      <c r="H149" s="14" t="n"/>
      <c r="I149" s="8">
        <f>G149+H149</f>
        <v/>
      </c>
      <c r="J149" s="8">
        <f>D149+G149</f>
        <v/>
      </c>
      <c r="K149" s="8">
        <f>E149+H149</f>
        <v/>
      </c>
      <c r="L149" s="8">
        <f>J149+K149</f>
        <v/>
      </c>
      <c r="M149" s="9">
        <f>IF(C149=0,0,L149/C149*100)</f>
        <v/>
      </c>
    </row>
    <row r="150">
      <c r="A150" s="7" t="n">
        <v>10</v>
      </c>
      <c r="B150" s="8">
        <f>B14</f>
        <v/>
      </c>
      <c r="C150" s="8">
        <f>C14</f>
        <v/>
      </c>
      <c r="D150" s="14" t="n"/>
      <c r="E150" s="14" t="n"/>
      <c r="F150" s="8">
        <f>D150+E150</f>
        <v/>
      </c>
      <c r="G150" s="14" t="n"/>
      <c r="H150" s="14" t="n"/>
      <c r="I150" s="8">
        <f>G150+H150</f>
        <v/>
      </c>
      <c r="J150" s="8">
        <f>D150+G150</f>
        <v/>
      </c>
      <c r="K150" s="8">
        <f>E150+H150</f>
        <v/>
      </c>
      <c r="L150" s="8">
        <f>J150+K150</f>
        <v/>
      </c>
      <c r="M150" s="9">
        <f>IF(C150=0,0,L150/C150*100)</f>
        <v/>
      </c>
    </row>
    <row r="151">
      <c r="A151" s="7" t="n">
        <v>11</v>
      </c>
      <c r="B151" s="8">
        <f>B15</f>
        <v/>
      </c>
      <c r="C151" s="8">
        <f>C15</f>
        <v/>
      </c>
      <c r="D151" s="14" t="n"/>
      <c r="E151" s="14" t="n"/>
      <c r="F151" s="8">
        <f>D151+E151</f>
        <v/>
      </c>
      <c r="G151" s="14" t="n"/>
      <c r="H151" s="14" t="n"/>
      <c r="I151" s="8">
        <f>G151+H151</f>
        <v/>
      </c>
      <c r="J151" s="8">
        <f>D151+G151</f>
        <v/>
      </c>
      <c r="K151" s="8">
        <f>E151+H151</f>
        <v/>
      </c>
      <c r="L151" s="8">
        <f>J151+K151</f>
        <v/>
      </c>
      <c r="M151" s="9">
        <f>IF(C151=0,0,L151/C151*100)</f>
        <v/>
      </c>
    </row>
    <row r="152">
      <c r="A152" s="10" t="inlineStr">
        <is>
          <t>Total</t>
        </is>
      </c>
      <c r="B152" s="11">
        <f>SUM(B141:B151)</f>
        <v/>
      </c>
      <c r="C152" s="11">
        <f>SUM(C141:C151)</f>
        <v/>
      </c>
      <c r="D152" s="11">
        <f>SUM(D141:D151)</f>
        <v/>
      </c>
      <c r="E152" s="11">
        <f>SUM(E141:E151)</f>
        <v/>
      </c>
      <c r="F152" s="11">
        <f>D152+E152</f>
        <v/>
      </c>
      <c r="G152" s="11">
        <f>SUM(G141:G151)</f>
        <v/>
      </c>
      <c r="H152" s="11">
        <f>SUM(H141:H151)</f>
        <v/>
      </c>
      <c r="I152" s="11">
        <f>G152+H152</f>
        <v/>
      </c>
      <c r="J152" s="11">
        <f>D152+G152</f>
        <v/>
      </c>
      <c r="K152" s="11">
        <f>E152+H152</f>
        <v/>
      </c>
      <c r="L152" s="11">
        <f>J152+K152</f>
        <v/>
      </c>
      <c r="M152" s="12">
        <f>IF(C152=0,0,L152/C152*100)</f>
        <v/>
      </c>
    </row>
    <row r="154">
      <c r="A154" s="13" t="inlineStr">
        <is>
          <t>Day 9 - 2026-10-13 (Tue 27 Aswin 2083)</t>
        </is>
      </c>
    </row>
    <row r="155">
      <c r="A155" s="6" t="inlineStr">
        <is>
          <t>Ward no.</t>
        </is>
      </c>
      <c r="B155" s="6" t="inlineStr">
        <is>
          <t>Total population</t>
        </is>
      </c>
      <c r="C155" s="6" t="inlineStr">
        <is>
          <t>JE target population</t>
        </is>
      </c>
      <c r="D155" s="6" t="inlineStr">
        <is>
          <t>Vaccinated</t>
        </is>
      </c>
      <c r="E155" s="6" t="n"/>
      <c r="F155" s="6" t="n"/>
      <c r="G155" s="6" t="n"/>
      <c r="H155" s="6" t="n"/>
      <c r="I155" s="6" t="n"/>
      <c r="J155" s="6" t="n"/>
      <c r="K155" s="6" t="n"/>
      <c r="L155" s="6" t="n"/>
      <c r="M155" s="6" t="inlineStr">
        <is>
          <t>Progress %</t>
        </is>
      </c>
    </row>
    <row r="156">
      <c r="A156" s="6" t="n"/>
      <c r="B156" s="6" t="n"/>
      <c r="C156" s="6" t="n"/>
      <c r="D156" s="6" t="inlineStr">
        <is>
          <t>Age 30-60 yrs</t>
        </is>
      </c>
      <c r="E156" s="6" t="n"/>
      <c r="F156" s="6" t="n"/>
      <c r="G156" s="6" t="inlineStr">
        <is>
          <t>Age 60 above</t>
        </is>
      </c>
      <c r="H156" s="6" t="n"/>
      <c r="I156" s="6" t="n"/>
      <c r="J156" s="6" t="inlineStr">
        <is>
          <t>Total</t>
        </is>
      </c>
      <c r="K156" s="6" t="n"/>
      <c r="L156" s="6" t="inlineStr">
        <is>
          <t>Grand Total</t>
        </is>
      </c>
      <c r="M156" s="6" t="n"/>
    </row>
    <row r="157">
      <c r="A157" s="6" t="n"/>
      <c r="B157" s="6" t="n"/>
      <c r="C157" s="6" t="n"/>
      <c r="D157" s="6" t="inlineStr">
        <is>
          <t>F</t>
        </is>
      </c>
      <c r="E157" s="6" t="inlineStr">
        <is>
          <t>M</t>
        </is>
      </c>
      <c r="F157" s="6" t="inlineStr">
        <is>
          <t>Total</t>
        </is>
      </c>
      <c r="G157" s="6" t="inlineStr">
        <is>
          <t>F</t>
        </is>
      </c>
      <c r="H157" s="6" t="inlineStr">
        <is>
          <t>M</t>
        </is>
      </c>
      <c r="I157" s="6" t="inlineStr">
        <is>
          <t>Total</t>
        </is>
      </c>
      <c r="J157" s="6" t="inlineStr">
        <is>
          <t>F</t>
        </is>
      </c>
      <c r="K157" s="6" t="inlineStr">
        <is>
          <t>M</t>
        </is>
      </c>
      <c r="L157" s="6" t="n"/>
      <c r="M157" s="6" t="n"/>
    </row>
    <row r="158">
      <c r="A158" s="7" t="n">
        <v>1</v>
      </c>
      <c r="B158" s="8">
        <f>B5</f>
        <v/>
      </c>
      <c r="C158" s="8">
        <f>C5</f>
        <v/>
      </c>
      <c r="D158" s="14" t="n"/>
      <c r="E158" s="14" t="n"/>
      <c r="F158" s="8">
        <f>D158+E158</f>
        <v/>
      </c>
      <c r="G158" s="14" t="n"/>
      <c r="H158" s="14" t="n"/>
      <c r="I158" s="8">
        <f>G158+H158</f>
        <v/>
      </c>
      <c r="J158" s="8">
        <f>D158+G158</f>
        <v/>
      </c>
      <c r="K158" s="8">
        <f>E158+H158</f>
        <v/>
      </c>
      <c r="L158" s="8">
        <f>J158+K158</f>
        <v/>
      </c>
      <c r="M158" s="9">
        <f>IF(C158=0,0,L158/C158*100)</f>
        <v/>
      </c>
    </row>
    <row r="159">
      <c r="A159" s="7" t="n">
        <v>2</v>
      </c>
      <c r="B159" s="8">
        <f>B6</f>
        <v/>
      </c>
      <c r="C159" s="8">
        <f>C6</f>
        <v/>
      </c>
      <c r="D159" s="14" t="n"/>
      <c r="E159" s="14" t="n"/>
      <c r="F159" s="8">
        <f>D159+E159</f>
        <v/>
      </c>
      <c r="G159" s="14" t="n"/>
      <c r="H159" s="14" t="n"/>
      <c r="I159" s="8">
        <f>G159+H159</f>
        <v/>
      </c>
      <c r="J159" s="8">
        <f>D159+G159</f>
        <v/>
      </c>
      <c r="K159" s="8">
        <f>E159+H159</f>
        <v/>
      </c>
      <c r="L159" s="8">
        <f>J159+K159</f>
        <v/>
      </c>
      <c r="M159" s="9">
        <f>IF(C159=0,0,L159/C159*100)</f>
        <v/>
      </c>
    </row>
    <row r="160">
      <c r="A160" s="7" t="n">
        <v>3</v>
      </c>
      <c r="B160" s="8">
        <f>B7</f>
        <v/>
      </c>
      <c r="C160" s="8">
        <f>C7</f>
        <v/>
      </c>
      <c r="D160" s="14" t="n"/>
      <c r="E160" s="14" t="n"/>
      <c r="F160" s="8">
        <f>D160+E160</f>
        <v/>
      </c>
      <c r="G160" s="14" t="n"/>
      <c r="H160" s="14" t="n"/>
      <c r="I160" s="8">
        <f>G160+H160</f>
        <v/>
      </c>
      <c r="J160" s="8">
        <f>D160+G160</f>
        <v/>
      </c>
      <c r="K160" s="8">
        <f>E160+H160</f>
        <v/>
      </c>
      <c r="L160" s="8">
        <f>J160+K160</f>
        <v/>
      </c>
      <c r="M160" s="9">
        <f>IF(C160=0,0,L160/C160*100)</f>
        <v/>
      </c>
    </row>
    <row r="161">
      <c r="A161" s="7" t="n">
        <v>4</v>
      </c>
      <c r="B161" s="8">
        <f>B8</f>
        <v/>
      </c>
      <c r="C161" s="8">
        <f>C8</f>
        <v/>
      </c>
      <c r="D161" s="14" t="n"/>
      <c r="E161" s="14" t="n"/>
      <c r="F161" s="8">
        <f>D161+E161</f>
        <v/>
      </c>
      <c r="G161" s="14" t="n"/>
      <c r="H161" s="14" t="n"/>
      <c r="I161" s="8">
        <f>G161+H161</f>
        <v/>
      </c>
      <c r="J161" s="8">
        <f>D161+G161</f>
        <v/>
      </c>
      <c r="K161" s="8">
        <f>E161+H161</f>
        <v/>
      </c>
      <c r="L161" s="8">
        <f>J161+K161</f>
        <v/>
      </c>
      <c r="M161" s="9">
        <f>IF(C161=0,0,L161/C161*100)</f>
        <v/>
      </c>
    </row>
    <row r="162">
      <c r="A162" s="7" t="n">
        <v>5</v>
      </c>
      <c r="B162" s="8">
        <f>B9</f>
        <v/>
      </c>
      <c r="C162" s="8">
        <f>C9</f>
        <v/>
      </c>
      <c r="D162" s="14" t="n"/>
      <c r="E162" s="14" t="n"/>
      <c r="F162" s="8">
        <f>D162+E162</f>
        <v/>
      </c>
      <c r="G162" s="14" t="n"/>
      <c r="H162" s="14" t="n"/>
      <c r="I162" s="8">
        <f>G162+H162</f>
        <v/>
      </c>
      <c r="J162" s="8">
        <f>D162+G162</f>
        <v/>
      </c>
      <c r="K162" s="8">
        <f>E162+H162</f>
        <v/>
      </c>
      <c r="L162" s="8">
        <f>J162+K162</f>
        <v/>
      </c>
      <c r="M162" s="9">
        <f>IF(C162=0,0,L162/C162*100)</f>
        <v/>
      </c>
    </row>
    <row r="163">
      <c r="A163" s="7" t="n">
        <v>6</v>
      </c>
      <c r="B163" s="8">
        <f>B10</f>
        <v/>
      </c>
      <c r="C163" s="8">
        <f>C10</f>
        <v/>
      </c>
      <c r="D163" s="14" t="n"/>
      <c r="E163" s="14" t="n"/>
      <c r="F163" s="8">
        <f>D163+E163</f>
        <v/>
      </c>
      <c r="G163" s="14" t="n"/>
      <c r="H163" s="14" t="n"/>
      <c r="I163" s="8">
        <f>G163+H163</f>
        <v/>
      </c>
      <c r="J163" s="8">
        <f>D163+G163</f>
        <v/>
      </c>
      <c r="K163" s="8">
        <f>E163+H163</f>
        <v/>
      </c>
      <c r="L163" s="8">
        <f>J163+K163</f>
        <v/>
      </c>
      <c r="M163" s="9">
        <f>IF(C163=0,0,L163/C163*100)</f>
        <v/>
      </c>
    </row>
    <row r="164">
      <c r="A164" s="7" t="n">
        <v>7</v>
      </c>
      <c r="B164" s="8">
        <f>B11</f>
        <v/>
      </c>
      <c r="C164" s="8">
        <f>C11</f>
        <v/>
      </c>
      <c r="D164" s="14" t="n"/>
      <c r="E164" s="14" t="n"/>
      <c r="F164" s="8">
        <f>D164+E164</f>
        <v/>
      </c>
      <c r="G164" s="14" t="n"/>
      <c r="H164" s="14" t="n"/>
      <c r="I164" s="8">
        <f>G164+H164</f>
        <v/>
      </c>
      <c r="J164" s="8">
        <f>D164+G164</f>
        <v/>
      </c>
      <c r="K164" s="8">
        <f>E164+H164</f>
        <v/>
      </c>
      <c r="L164" s="8">
        <f>J164+K164</f>
        <v/>
      </c>
      <c r="M164" s="9">
        <f>IF(C164=0,0,L164/C164*100)</f>
        <v/>
      </c>
    </row>
    <row r="165">
      <c r="A165" s="7" t="n">
        <v>8</v>
      </c>
      <c r="B165" s="8">
        <f>B12</f>
        <v/>
      </c>
      <c r="C165" s="8">
        <f>C12</f>
        <v/>
      </c>
      <c r="D165" s="14" t="n"/>
      <c r="E165" s="14" t="n"/>
      <c r="F165" s="8">
        <f>D165+E165</f>
        <v/>
      </c>
      <c r="G165" s="14" t="n"/>
      <c r="H165" s="14" t="n"/>
      <c r="I165" s="8">
        <f>G165+H165</f>
        <v/>
      </c>
      <c r="J165" s="8">
        <f>D165+G165</f>
        <v/>
      </c>
      <c r="K165" s="8">
        <f>E165+H165</f>
        <v/>
      </c>
      <c r="L165" s="8">
        <f>J165+K165</f>
        <v/>
      </c>
      <c r="M165" s="9">
        <f>IF(C165=0,0,L165/C165*100)</f>
        <v/>
      </c>
    </row>
    <row r="166">
      <c r="A166" s="7" t="n">
        <v>9</v>
      </c>
      <c r="B166" s="8">
        <f>B13</f>
        <v/>
      </c>
      <c r="C166" s="8">
        <f>C13</f>
        <v/>
      </c>
      <c r="D166" s="14" t="n"/>
      <c r="E166" s="14" t="n"/>
      <c r="F166" s="8">
        <f>D166+E166</f>
        <v/>
      </c>
      <c r="G166" s="14" t="n"/>
      <c r="H166" s="14" t="n"/>
      <c r="I166" s="8">
        <f>G166+H166</f>
        <v/>
      </c>
      <c r="J166" s="8">
        <f>D166+G166</f>
        <v/>
      </c>
      <c r="K166" s="8">
        <f>E166+H166</f>
        <v/>
      </c>
      <c r="L166" s="8">
        <f>J166+K166</f>
        <v/>
      </c>
      <c r="M166" s="9">
        <f>IF(C166=0,0,L166/C166*100)</f>
        <v/>
      </c>
    </row>
    <row r="167">
      <c r="A167" s="7" t="n">
        <v>10</v>
      </c>
      <c r="B167" s="8">
        <f>B14</f>
        <v/>
      </c>
      <c r="C167" s="8">
        <f>C14</f>
        <v/>
      </c>
      <c r="D167" s="14" t="n"/>
      <c r="E167" s="14" t="n"/>
      <c r="F167" s="8">
        <f>D167+E167</f>
        <v/>
      </c>
      <c r="G167" s="14" t="n"/>
      <c r="H167" s="14" t="n"/>
      <c r="I167" s="8">
        <f>G167+H167</f>
        <v/>
      </c>
      <c r="J167" s="8">
        <f>D167+G167</f>
        <v/>
      </c>
      <c r="K167" s="8">
        <f>E167+H167</f>
        <v/>
      </c>
      <c r="L167" s="8">
        <f>J167+K167</f>
        <v/>
      </c>
      <c r="M167" s="9">
        <f>IF(C167=0,0,L167/C167*100)</f>
        <v/>
      </c>
    </row>
    <row r="168">
      <c r="A168" s="7" t="n">
        <v>11</v>
      </c>
      <c r="B168" s="8">
        <f>B15</f>
        <v/>
      </c>
      <c r="C168" s="8">
        <f>C15</f>
        <v/>
      </c>
      <c r="D168" s="14" t="n"/>
      <c r="E168" s="14" t="n"/>
      <c r="F168" s="8">
        <f>D168+E168</f>
        <v/>
      </c>
      <c r="G168" s="14" t="n"/>
      <c r="H168" s="14" t="n"/>
      <c r="I168" s="8">
        <f>G168+H168</f>
        <v/>
      </c>
      <c r="J168" s="8">
        <f>D168+G168</f>
        <v/>
      </c>
      <c r="K168" s="8">
        <f>E168+H168</f>
        <v/>
      </c>
      <c r="L168" s="8">
        <f>J168+K168</f>
        <v/>
      </c>
      <c r="M168" s="9">
        <f>IF(C168=0,0,L168/C168*100)</f>
        <v/>
      </c>
    </row>
    <row r="169">
      <c r="A169" s="10" t="inlineStr">
        <is>
          <t>Total</t>
        </is>
      </c>
      <c r="B169" s="11">
        <f>SUM(B158:B168)</f>
        <v/>
      </c>
      <c r="C169" s="11">
        <f>SUM(C158:C168)</f>
        <v/>
      </c>
      <c r="D169" s="11">
        <f>SUM(D158:D168)</f>
        <v/>
      </c>
      <c r="E169" s="11">
        <f>SUM(E158:E168)</f>
        <v/>
      </c>
      <c r="F169" s="11">
        <f>D169+E169</f>
        <v/>
      </c>
      <c r="G169" s="11">
        <f>SUM(G158:G168)</f>
        <v/>
      </c>
      <c r="H169" s="11">
        <f>SUM(H158:H168)</f>
        <v/>
      </c>
      <c r="I169" s="11">
        <f>G169+H169</f>
        <v/>
      </c>
      <c r="J169" s="11">
        <f>D169+G169</f>
        <v/>
      </c>
      <c r="K169" s="11">
        <f>E169+H169</f>
        <v/>
      </c>
      <c r="L169" s="11">
        <f>J169+K169</f>
        <v/>
      </c>
      <c r="M169" s="12">
        <f>IF(C169=0,0,L169/C169*100)</f>
        <v/>
      </c>
    </row>
    <row r="171">
      <c r="A171" s="13" t="inlineStr">
        <is>
          <t>Day 10 - 2026-10-14 (Wed 28 Aswin 2083)</t>
        </is>
      </c>
    </row>
    <row r="172">
      <c r="A172" s="6" t="inlineStr">
        <is>
          <t>Ward no.</t>
        </is>
      </c>
      <c r="B172" s="6" t="inlineStr">
        <is>
          <t>Total population</t>
        </is>
      </c>
      <c r="C172" s="6" t="inlineStr">
        <is>
          <t>JE target population</t>
        </is>
      </c>
      <c r="D172" s="6" t="inlineStr">
        <is>
          <t>Vaccinated</t>
        </is>
      </c>
      <c r="E172" s="6" t="n"/>
      <c r="F172" s="6" t="n"/>
      <c r="G172" s="6" t="n"/>
      <c r="H172" s="6" t="n"/>
      <c r="I172" s="6" t="n"/>
      <c r="J172" s="6" t="n"/>
      <c r="K172" s="6" t="n"/>
      <c r="L172" s="6" t="n"/>
      <c r="M172" s="6" t="inlineStr">
        <is>
          <t>Progress %</t>
        </is>
      </c>
    </row>
    <row r="173">
      <c r="A173" s="6" t="n"/>
      <c r="B173" s="6" t="n"/>
      <c r="C173" s="6" t="n"/>
      <c r="D173" s="6" t="inlineStr">
        <is>
          <t>Age 30-60 yrs</t>
        </is>
      </c>
      <c r="E173" s="6" t="n"/>
      <c r="F173" s="6" t="n"/>
      <c r="G173" s="6" t="inlineStr">
        <is>
          <t>Age 60 above</t>
        </is>
      </c>
      <c r="H173" s="6" t="n"/>
      <c r="I173" s="6" t="n"/>
      <c r="J173" s="6" t="inlineStr">
        <is>
          <t>Total</t>
        </is>
      </c>
      <c r="K173" s="6" t="n"/>
      <c r="L173" s="6" t="inlineStr">
        <is>
          <t>Grand Total</t>
        </is>
      </c>
      <c r="M173" s="6" t="n"/>
    </row>
    <row r="174">
      <c r="A174" s="6" t="n"/>
      <c r="B174" s="6" t="n"/>
      <c r="C174" s="6" t="n"/>
      <c r="D174" s="6" t="inlineStr">
        <is>
          <t>F</t>
        </is>
      </c>
      <c r="E174" s="6" t="inlineStr">
        <is>
          <t>M</t>
        </is>
      </c>
      <c r="F174" s="6" t="inlineStr">
        <is>
          <t>Total</t>
        </is>
      </c>
      <c r="G174" s="6" t="inlineStr">
        <is>
          <t>F</t>
        </is>
      </c>
      <c r="H174" s="6" t="inlineStr">
        <is>
          <t>M</t>
        </is>
      </c>
      <c r="I174" s="6" t="inlineStr">
        <is>
          <t>Total</t>
        </is>
      </c>
      <c r="J174" s="6" t="inlineStr">
        <is>
          <t>F</t>
        </is>
      </c>
      <c r="K174" s="6" t="inlineStr">
        <is>
          <t>M</t>
        </is>
      </c>
      <c r="L174" s="6" t="n"/>
      <c r="M174" s="6" t="n"/>
    </row>
    <row r="175">
      <c r="A175" s="7" t="n">
        <v>1</v>
      </c>
      <c r="B175" s="8">
        <f>B5</f>
        <v/>
      </c>
      <c r="C175" s="8">
        <f>C5</f>
        <v/>
      </c>
      <c r="D175" s="14" t="n"/>
      <c r="E175" s="14" t="n"/>
      <c r="F175" s="8">
        <f>D175+E175</f>
        <v/>
      </c>
      <c r="G175" s="14" t="n"/>
      <c r="H175" s="14" t="n"/>
      <c r="I175" s="8">
        <f>G175+H175</f>
        <v/>
      </c>
      <c r="J175" s="8">
        <f>D175+G175</f>
        <v/>
      </c>
      <c r="K175" s="8">
        <f>E175+H175</f>
        <v/>
      </c>
      <c r="L175" s="8">
        <f>J175+K175</f>
        <v/>
      </c>
      <c r="M175" s="9">
        <f>IF(C175=0,0,L175/C175*100)</f>
        <v/>
      </c>
    </row>
    <row r="176">
      <c r="A176" s="7" t="n">
        <v>2</v>
      </c>
      <c r="B176" s="8">
        <f>B6</f>
        <v/>
      </c>
      <c r="C176" s="8">
        <f>C6</f>
        <v/>
      </c>
      <c r="D176" s="14" t="n"/>
      <c r="E176" s="14" t="n"/>
      <c r="F176" s="8">
        <f>D176+E176</f>
        <v/>
      </c>
      <c r="G176" s="14" t="n"/>
      <c r="H176" s="14" t="n"/>
      <c r="I176" s="8">
        <f>G176+H176</f>
        <v/>
      </c>
      <c r="J176" s="8">
        <f>D176+G176</f>
        <v/>
      </c>
      <c r="K176" s="8">
        <f>E176+H176</f>
        <v/>
      </c>
      <c r="L176" s="8">
        <f>J176+K176</f>
        <v/>
      </c>
      <c r="M176" s="9">
        <f>IF(C176=0,0,L176/C176*100)</f>
        <v/>
      </c>
    </row>
    <row r="177">
      <c r="A177" s="7" t="n">
        <v>3</v>
      </c>
      <c r="B177" s="8">
        <f>B7</f>
        <v/>
      </c>
      <c r="C177" s="8">
        <f>C7</f>
        <v/>
      </c>
      <c r="D177" s="14" t="n"/>
      <c r="E177" s="14" t="n"/>
      <c r="F177" s="8">
        <f>D177+E177</f>
        <v/>
      </c>
      <c r="G177" s="14" t="n"/>
      <c r="H177" s="14" t="n"/>
      <c r="I177" s="8">
        <f>G177+H177</f>
        <v/>
      </c>
      <c r="J177" s="8">
        <f>D177+G177</f>
        <v/>
      </c>
      <c r="K177" s="8">
        <f>E177+H177</f>
        <v/>
      </c>
      <c r="L177" s="8">
        <f>J177+K177</f>
        <v/>
      </c>
      <c r="M177" s="9">
        <f>IF(C177=0,0,L177/C177*100)</f>
        <v/>
      </c>
    </row>
    <row r="178">
      <c r="A178" s="7" t="n">
        <v>4</v>
      </c>
      <c r="B178" s="8">
        <f>B8</f>
        <v/>
      </c>
      <c r="C178" s="8">
        <f>C8</f>
        <v/>
      </c>
      <c r="D178" s="14" t="n"/>
      <c r="E178" s="14" t="n"/>
      <c r="F178" s="8">
        <f>D178+E178</f>
        <v/>
      </c>
      <c r="G178" s="14" t="n"/>
      <c r="H178" s="14" t="n"/>
      <c r="I178" s="8">
        <f>G178+H178</f>
        <v/>
      </c>
      <c r="J178" s="8">
        <f>D178+G178</f>
        <v/>
      </c>
      <c r="K178" s="8">
        <f>E178+H178</f>
        <v/>
      </c>
      <c r="L178" s="8">
        <f>J178+K178</f>
        <v/>
      </c>
      <c r="M178" s="9">
        <f>IF(C178=0,0,L178/C178*100)</f>
        <v/>
      </c>
    </row>
    <row r="179">
      <c r="A179" s="7" t="n">
        <v>5</v>
      </c>
      <c r="B179" s="8">
        <f>B9</f>
        <v/>
      </c>
      <c r="C179" s="8">
        <f>C9</f>
        <v/>
      </c>
      <c r="D179" s="14" t="n"/>
      <c r="E179" s="14" t="n"/>
      <c r="F179" s="8">
        <f>D179+E179</f>
        <v/>
      </c>
      <c r="G179" s="14" t="n"/>
      <c r="H179" s="14" t="n"/>
      <c r="I179" s="8">
        <f>G179+H179</f>
        <v/>
      </c>
      <c r="J179" s="8">
        <f>D179+G179</f>
        <v/>
      </c>
      <c r="K179" s="8">
        <f>E179+H179</f>
        <v/>
      </c>
      <c r="L179" s="8">
        <f>J179+K179</f>
        <v/>
      </c>
      <c r="M179" s="9">
        <f>IF(C179=0,0,L179/C179*100)</f>
        <v/>
      </c>
    </row>
    <row r="180">
      <c r="A180" s="7" t="n">
        <v>6</v>
      </c>
      <c r="B180" s="8">
        <f>B10</f>
        <v/>
      </c>
      <c r="C180" s="8">
        <f>C10</f>
        <v/>
      </c>
      <c r="D180" s="14" t="n"/>
      <c r="E180" s="14" t="n"/>
      <c r="F180" s="8">
        <f>D180+E180</f>
        <v/>
      </c>
      <c r="G180" s="14" t="n"/>
      <c r="H180" s="14" t="n"/>
      <c r="I180" s="8">
        <f>G180+H180</f>
        <v/>
      </c>
      <c r="J180" s="8">
        <f>D180+G180</f>
        <v/>
      </c>
      <c r="K180" s="8">
        <f>E180+H180</f>
        <v/>
      </c>
      <c r="L180" s="8">
        <f>J180+K180</f>
        <v/>
      </c>
      <c r="M180" s="9">
        <f>IF(C180=0,0,L180/C180*100)</f>
        <v/>
      </c>
    </row>
    <row r="181">
      <c r="A181" s="7" t="n">
        <v>7</v>
      </c>
      <c r="B181" s="8">
        <f>B11</f>
        <v/>
      </c>
      <c r="C181" s="8">
        <f>C11</f>
        <v/>
      </c>
      <c r="D181" s="14" t="n"/>
      <c r="E181" s="14" t="n"/>
      <c r="F181" s="8">
        <f>D181+E181</f>
        <v/>
      </c>
      <c r="G181" s="14" t="n"/>
      <c r="H181" s="14" t="n"/>
      <c r="I181" s="8">
        <f>G181+H181</f>
        <v/>
      </c>
      <c r="J181" s="8">
        <f>D181+G181</f>
        <v/>
      </c>
      <c r="K181" s="8">
        <f>E181+H181</f>
        <v/>
      </c>
      <c r="L181" s="8">
        <f>J181+K181</f>
        <v/>
      </c>
      <c r="M181" s="9">
        <f>IF(C181=0,0,L181/C181*100)</f>
        <v/>
      </c>
    </row>
    <row r="182">
      <c r="A182" s="7" t="n">
        <v>8</v>
      </c>
      <c r="B182" s="8">
        <f>B12</f>
        <v/>
      </c>
      <c r="C182" s="8">
        <f>C12</f>
        <v/>
      </c>
      <c r="D182" s="14" t="n"/>
      <c r="E182" s="14" t="n"/>
      <c r="F182" s="8">
        <f>D182+E182</f>
        <v/>
      </c>
      <c r="G182" s="14" t="n"/>
      <c r="H182" s="14" t="n"/>
      <c r="I182" s="8">
        <f>G182+H182</f>
        <v/>
      </c>
      <c r="J182" s="8">
        <f>D182+G182</f>
        <v/>
      </c>
      <c r="K182" s="8">
        <f>E182+H182</f>
        <v/>
      </c>
      <c r="L182" s="8">
        <f>J182+K182</f>
        <v/>
      </c>
      <c r="M182" s="9">
        <f>IF(C182=0,0,L182/C182*100)</f>
        <v/>
      </c>
    </row>
    <row r="183">
      <c r="A183" s="7" t="n">
        <v>9</v>
      </c>
      <c r="B183" s="8">
        <f>B13</f>
        <v/>
      </c>
      <c r="C183" s="8">
        <f>C13</f>
        <v/>
      </c>
      <c r="D183" s="14" t="n"/>
      <c r="E183" s="14" t="n"/>
      <c r="F183" s="8">
        <f>D183+E183</f>
        <v/>
      </c>
      <c r="G183" s="14" t="n"/>
      <c r="H183" s="14" t="n"/>
      <c r="I183" s="8">
        <f>G183+H183</f>
        <v/>
      </c>
      <c r="J183" s="8">
        <f>D183+G183</f>
        <v/>
      </c>
      <c r="K183" s="8">
        <f>E183+H183</f>
        <v/>
      </c>
      <c r="L183" s="8">
        <f>J183+K183</f>
        <v/>
      </c>
      <c r="M183" s="9">
        <f>IF(C183=0,0,L183/C183*100)</f>
        <v/>
      </c>
    </row>
    <row r="184">
      <c r="A184" s="7" t="n">
        <v>10</v>
      </c>
      <c r="B184" s="8">
        <f>B14</f>
        <v/>
      </c>
      <c r="C184" s="8">
        <f>C14</f>
        <v/>
      </c>
      <c r="D184" s="14" t="n"/>
      <c r="E184" s="14" t="n"/>
      <c r="F184" s="8">
        <f>D184+E184</f>
        <v/>
      </c>
      <c r="G184" s="14" t="n"/>
      <c r="H184" s="14" t="n"/>
      <c r="I184" s="8">
        <f>G184+H184</f>
        <v/>
      </c>
      <c r="J184" s="8">
        <f>D184+G184</f>
        <v/>
      </c>
      <c r="K184" s="8">
        <f>E184+H184</f>
        <v/>
      </c>
      <c r="L184" s="8">
        <f>J184+K184</f>
        <v/>
      </c>
      <c r="M184" s="9">
        <f>IF(C184=0,0,L184/C184*100)</f>
        <v/>
      </c>
    </row>
    <row r="185">
      <c r="A185" s="7" t="n">
        <v>11</v>
      </c>
      <c r="B185" s="8">
        <f>B15</f>
        <v/>
      </c>
      <c r="C185" s="8">
        <f>C15</f>
        <v/>
      </c>
      <c r="D185" s="14" t="n"/>
      <c r="E185" s="14" t="n"/>
      <c r="F185" s="8">
        <f>D185+E185</f>
        <v/>
      </c>
      <c r="G185" s="14" t="n"/>
      <c r="H185" s="14" t="n"/>
      <c r="I185" s="8">
        <f>G185+H185</f>
        <v/>
      </c>
      <c r="J185" s="8">
        <f>D185+G185</f>
        <v/>
      </c>
      <c r="K185" s="8">
        <f>E185+H185</f>
        <v/>
      </c>
      <c r="L185" s="8">
        <f>J185+K185</f>
        <v/>
      </c>
      <c r="M185" s="9">
        <f>IF(C185=0,0,L185/C185*100)</f>
        <v/>
      </c>
    </row>
    <row r="186">
      <c r="A186" s="10" t="inlineStr">
        <is>
          <t>Total</t>
        </is>
      </c>
      <c r="B186" s="11">
        <f>SUM(B175:B185)</f>
        <v/>
      </c>
      <c r="C186" s="11">
        <f>SUM(C175:C185)</f>
        <v/>
      </c>
      <c r="D186" s="11">
        <f>SUM(D175:D185)</f>
        <v/>
      </c>
      <c r="E186" s="11">
        <f>SUM(E175:E185)</f>
        <v/>
      </c>
      <c r="F186" s="11">
        <f>D186+E186</f>
        <v/>
      </c>
      <c r="G186" s="11">
        <f>SUM(G175:G185)</f>
        <v/>
      </c>
      <c r="H186" s="11">
        <f>SUM(H175:H185)</f>
        <v/>
      </c>
      <c r="I186" s="11">
        <f>G186+H186</f>
        <v/>
      </c>
      <c r="J186" s="11">
        <f>D186+G186</f>
        <v/>
      </c>
      <c r="K186" s="11">
        <f>E186+H186</f>
        <v/>
      </c>
      <c r="L186" s="11">
        <f>J186+K186</f>
        <v/>
      </c>
      <c r="M186" s="12">
        <f>IF(C186=0,0,L186/C186*100)</f>
        <v/>
      </c>
    </row>
    <row r="188">
      <c r="A188" s="13" t="inlineStr">
        <is>
          <t>Day 11 - 2026-10-15 (Thu 29 Aswin 2083)</t>
        </is>
      </c>
    </row>
    <row r="189">
      <c r="A189" s="6" t="inlineStr">
        <is>
          <t>Ward no.</t>
        </is>
      </c>
      <c r="B189" s="6" t="inlineStr">
        <is>
          <t>Total population</t>
        </is>
      </c>
      <c r="C189" s="6" t="inlineStr">
        <is>
          <t>JE target population</t>
        </is>
      </c>
      <c r="D189" s="6" t="inlineStr">
        <is>
          <t>Vaccinated</t>
        </is>
      </c>
      <c r="E189" s="6" t="n"/>
      <c r="F189" s="6" t="n"/>
      <c r="G189" s="6" t="n"/>
      <c r="H189" s="6" t="n"/>
      <c r="I189" s="6" t="n"/>
      <c r="J189" s="6" t="n"/>
      <c r="K189" s="6" t="n"/>
      <c r="L189" s="6" t="n"/>
      <c r="M189" s="6" t="inlineStr">
        <is>
          <t>Progress %</t>
        </is>
      </c>
    </row>
    <row r="190">
      <c r="A190" s="6" t="n"/>
      <c r="B190" s="6" t="n"/>
      <c r="C190" s="6" t="n"/>
      <c r="D190" s="6" t="inlineStr">
        <is>
          <t>Age 30-60 yrs</t>
        </is>
      </c>
      <c r="E190" s="6" t="n"/>
      <c r="F190" s="6" t="n"/>
      <c r="G190" s="6" t="inlineStr">
        <is>
          <t>Age 60 above</t>
        </is>
      </c>
      <c r="H190" s="6" t="n"/>
      <c r="I190" s="6" t="n"/>
      <c r="J190" s="6" t="inlineStr">
        <is>
          <t>Total</t>
        </is>
      </c>
      <c r="K190" s="6" t="n"/>
      <c r="L190" s="6" t="inlineStr">
        <is>
          <t>Grand Total</t>
        </is>
      </c>
      <c r="M190" s="6" t="n"/>
    </row>
    <row r="191">
      <c r="A191" s="6" t="n"/>
      <c r="B191" s="6" t="n"/>
      <c r="C191" s="6" t="n"/>
      <c r="D191" s="6" t="inlineStr">
        <is>
          <t>F</t>
        </is>
      </c>
      <c r="E191" s="6" t="inlineStr">
        <is>
          <t>M</t>
        </is>
      </c>
      <c r="F191" s="6" t="inlineStr">
        <is>
          <t>Total</t>
        </is>
      </c>
      <c r="G191" s="6" t="inlineStr">
        <is>
          <t>F</t>
        </is>
      </c>
      <c r="H191" s="6" t="inlineStr">
        <is>
          <t>M</t>
        </is>
      </c>
      <c r="I191" s="6" t="inlineStr">
        <is>
          <t>Total</t>
        </is>
      </c>
      <c r="J191" s="6" t="inlineStr">
        <is>
          <t>F</t>
        </is>
      </c>
      <c r="K191" s="6" t="inlineStr">
        <is>
          <t>M</t>
        </is>
      </c>
      <c r="L191" s="6" t="n"/>
      <c r="M191" s="6" t="n"/>
    </row>
    <row r="192">
      <c r="A192" s="7" t="n">
        <v>1</v>
      </c>
      <c r="B192" s="8">
        <f>B5</f>
        <v/>
      </c>
      <c r="C192" s="8">
        <f>C5</f>
        <v/>
      </c>
      <c r="D192" s="14" t="n"/>
      <c r="E192" s="14" t="n"/>
      <c r="F192" s="8">
        <f>D192+E192</f>
        <v/>
      </c>
      <c r="G192" s="14" t="n"/>
      <c r="H192" s="14" t="n"/>
      <c r="I192" s="8">
        <f>G192+H192</f>
        <v/>
      </c>
      <c r="J192" s="8">
        <f>D192+G192</f>
        <v/>
      </c>
      <c r="K192" s="8">
        <f>E192+H192</f>
        <v/>
      </c>
      <c r="L192" s="8">
        <f>J192+K192</f>
        <v/>
      </c>
      <c r="M192" s="9">
        <f>IF(C192=0,0,L192/C192*100)</f>
        <v/>
      </c>
    </row>
    <row r="193">
      <c r="A193" s="7" t="n">
        <v>2</v>
      </c>
      <c r="B193" s="8">
        <f>B6</f>
        <v/>
      </c>
      <c r="C193" s="8">
        <f>C6</f>
        <v/>
      </c>
      <c r="D193" s="14" t="n"/>
      <c r="E193" s="14" t="n"/>
      <c r="F193" s="8">
        <f>D193+E193</f>
        <v/>
      </c>
      <c r="G193" s="14" t="n"/>
      <c r="H193" s="14" t="n"/>
      <c r="I193" s="8">
        <f>G193+H193</f>
        <v/>
      </c>
      <c r="J193" s="8">
        <f>D193+G193</f>
        <v/>
      </c>
      <c r="K193" s="8">
        <f>E193+H193</f>
        <v/>
      </c>
      <c r="L193" s="8">
        <f>J193+K193</f>
        <v/>
      </c>
      <c r="M193" s="9">
        <f>IF(C193=0,0,L193/C193*100)</f>
        <v/>
      </c>
    </row>
    <row r="194">
      <c r="A194" s="7" t="n">
        <v>3</v>
      </c>
      <c r="B194" s="8">
        <f>B7</f>
        <v/>
      </c>
      <c r="C194" s="8">
        <f>C7</f>
        <v/>
      </c>
      <c r="D194" s="14" t="n"/>
      <c r="E194" s="14" t="n"/>
      <c r="F194" s="8">
        <f>D194+E194</f>
        <v/>
      </c>
      <c r="G194" s="14" t="n"/>
      <c r="H194" s="14" t="n"/>
      <c r="I194" s="8">
        <f>G194+H194</f>
        <v/>
      </c>
      <c r="J194" s="8">
        <f>D194+G194</f>
        <v/>
      </c>
      <c r="K194" s="8">
        <f>E194+H194</f>
        <v/>
      </c>
      <c r="L194" s="8">
        <f>J194+K194</f>
        <v/>
      </c>
      <c r="M194" s="9">
        <f>IF(C194=0,0,L194/C194*100)</f>
        <v/>
      </c>
    </row>
    <row r="195">
      <c r="A195" s="7" t="n">
        <v>4</v>
      </c>
      <c r="B195" s="8">
        <f>B8</f>
        <v/>
      </c>
      <c r="C195" s="8">
        <f>C8</f>
        <v/>
      </c>
      <c r="D195" s="14" t="n"/>
      <c r="E195" s="14" t="n"/>
      <c r="F195" s="8">
        <f>D195+E195</f>
        <v/>
      </c>
      <c r="G195" s="14" t="n"/>
      <c r="H195" s="14" t="n"/>
      <c r="I195" s="8">
        <f>G195+H195</f>
        <v/>
      </c>
      <c r="J195" s="8">
        <f>D195+G195</f>
        <v/>
      </c>
      <c r="K195" s="8">
        <f>E195+H195</f>
        <v/>
      </c>
      <c r="L195" s="8">
        <f>J195+K195</f>
        <v/>
      </c>
      <c r="M195" s="9">
        <f>IF(C195=0,0,L195/C195*100)</f>
        <v/>
      </c>
    </row>
    <row r="196">
      <c r="A196" s="7" t="n">
        <v>5</v>
      </c>
      <c r="B196" s="8">
        <f>B9</f>
        <v/>
      </c>
      <c r="C196" s="8">
        <f>C9</f>
        <v/>
      </c>
      <c r="D196" s="14" t="n"/>
      <c r="E196" s="14" t="n"/>
      <c r="F196" s="8">
        <f>D196+E196</f>
        <v/>
      </c>
      <c r="G196" s="14" t="n"/>
      <c r="H196" s="14" t="n"/>
      <c r="I196" s="8">
        <f>G196+H196</f>
        <v/>
      </c>
      <c r="J196" s="8">
        <f>D196+G196</f>
        <v/>
      </c>
      <c r="K196" s="8">
        <f>E196+H196</f>
        <v/>
      </c>
      <c r="L196" s="8">
        <f>J196+K196</f>
        <v/>
      </c>
      <c r="M196" s="9">
        <f>IF(C196=0,0,L196/C196*100)</f>
        <v/>
      </c>
    </row>
    <row r="197">
      <c r="A197" s="7" t="n">
        <v>6</v>
      </c>
      <c r="B197" s="8">
        <f>B10</f>
        <v/>
      </c>
      <c r="C197" s="8">
        <f>C10</f>
        <v/>
      </c>
      <c r="D197" s="14" t="n"/>
      <c r="E197" s="14" t="n"/>
      <c r="F197" s="8">
        <f>D197+E197</f>
        <v/>
      </c>
      <c r="G197" s="14" t="n"/>
      <c r="H197" s="14" t="n"/>
      <c r="I197" s="8">
        <f>G197+H197</f>
        <v/>
      </c>
      <c r="J197" s="8">
        <f>D197+G197</f>
        <v/>
      </c>
      <c r="K197" s="8">
        <f>E197+H197</f>
        <v/>
      </c>
      <c r="L197" s="8">
        <f>J197+K197</f>
        <v/>
      </c>
      <c r="M197" s="9">
        <f>IF(C197=0,0,L197/C197*100)</f>
        <v/>
      </c>
    </row>
    <row r="198">
      <c r="A198" s="7" t="n">
        <v>7</v>
      </c>
      <c r="B198" s="8">
        <f>B11</f>
        <v/>
      </c>
      <c r="C198" s="8">
        <f>C11</f>
        <v/>
      </c>
      <c r="D198" s="14" t="n"/>
      <c r="E198" s="14" t="n"/>
      <c r="F198" s="8">
        <f>D198+E198</f>
        <v/>
      </c>
      <c r="G198" s="14" t="n"/>
      <c r="H198" s="14" t="n"/>
      <c r="I198" s="8">
        <f>G198+H198</f>
        <v/>
      </c>
      <c r="J198" s="8">
        <f>D198+G198</f>
        <v/>
      </c>
      <c r="K198" s="8">
        <f>E198+H198</f>
        <v/>
      </c>
      <c r="L198" s="8">
        <f>J198+K198</f>
        <v/>
      </c>
      <c r="M198" s="9">
        <f>IF(C198=0,0,L198/C198*100)</f>
        <v/>
      </c>
    </row>
    <row r="199">
      <c r="A199" s="7" t="n">
        <v>8</v>
      </c>
      <c r="B199" s="8">
        <f>B12</f>
        <v/>
      </c>
      <c r="C199" s="8">
        <f>C12</f>
        <v/>
      </c>
      <c r="D199" s="14" t="n"/>
      <c r="E199" s="14" t="n"/>
      <c r="F199" s="8">
        <f>D199+E199</f>
        <v/>
      </c>
      <c r="G199" s="14" t="n"/>
      <c r="H199" s="14" t="n"/>
      <c r="I199" s="8">
        <f>G199+H199</f>
        <v/>
      </c>
      <c r="J199" s="8">
        <f>D199+G199</f>
        <v/>
      </c>
      <c r="K199" s="8">
        <f>E199+H199</f>
        <v/>
      </c>
      <c r="L199" s="8">
        <f>J199+K199</f>
        <v/>
      </c>
      <c r="M199" s="9">
        <f>IF(C199=0,0,L199/C199*100)</f>
        <v/>
      </c>
    </row>
    <row r="200">
      <c r="A200" s="7" t="n">
        <v>9</v>
      </c>
      <c r="B200" s="8">
        <f>B13</f>
        <v/>
      </c>
      <c r="C200" s="8">
        <f>C13</f>
        <v/>
      </c>
      <c r="D200" s="14" t="n"/>
      <c r="E200" s="14" t="n"/>
      <c r="F200" s="8">
        <f>D200+E200</f>
        <v/>
      </c>
      <c r="G200" s="14" t="n"/>
      <c r="H200" s="14" t="n"/>
      <c r="I200" s="8">
        <f>G200+H200</f>
        <v/>
      </c>
      <c r="J200" s="8">
        <f>D200+G200</f>
        <v/>
      </c>
      <c r="K200" s="8">
        <f>E200+H200</f>
        <v/>
      </c>
      <c r="L200" s="8">
        <f>J200+K200</f>
        <v/>
      </c>
      <c r="M200" s="9">
        <f>IF(C200=0,0,L200/C200*100)</f>
        <v/>
      </c>
    </row>
    <row r="201">
      <c r="A201" s="7" t="n">
        <v>10</v>
      </c>
      <c r="B201" s="8">
        <f>B14</f>
        <v/>
      </c>
      <c r="C201" s="8">
        <f>C14</f>
        <v/>
      </c>
      <c r="D201" s="14" t="n"/>
      <c r="E201" s="14" t="n"/>
      <c r="F201" s="8">
        <f>D201+E201</f>
        <v/>
      </c>
      <c r="G201" s="14" t="n"/>
      <c r="H201" s="14" t="n"/>
      <c r="I201" s="8">
        <f>G201+H201</f>
        <v/>
      </c>
      <c r="J201" s="8">
        <f>D201+G201</f>
        <v/>
      </c>
      <c r="K201" s="8">
        <f>E201+H201</f>
        <v/>
      </c>
      <c r="L201" s="8">
        <f>J201+K201</f>
        <v/>
      </c>
      <c r="M201" s="9">
        <f>IF(C201=0,0,L201/C201*100)</f>
        <v/>
      </c>
    </row>
    <row r="202">
      <c r="A202" s="7" t="n">
        <v>11</v>
      </c>
      <c r="B202" s="8">
        <f>B15</f>
        <v/>
      </c>
      <c r="C202" s="8">
        <f>C15</f>
        <v/>
      </c>
      <c r="D202" s="14" t="n"/>
      <c r="E202" s="14" t="n"/>
      <c r="F202" s="8">
        <f>D202+E202</f>
        <v/>
      </c>
      <c r="G202" s="14" t="n"/>
      <c r="H202" s="14" t="n"/>
      <c r="I202" s="8">
        <f>G202+H202</f>
        <v/>
      </c>
      <c r="J202" s="8">
        <f>D202+G202</f>
        <v/>
      </c>
      <c r="K202" s="8">
        <f>E202+H202</f>
        <v/>
      </c>
      <c r="L202" s="8">
        <f>J202+K202</f>
        <v/>
      </c>
      <c r="M202" s="9">
        <f>IF(C202=0,0,L202/C202*100)</f>
        <v/>
      </c>
    </row>
    <row r="203">
      <c r="A203" s="10" t="inlineStr">
        <is>
          <t>Total</t>
        </is>
      </c>
      <c r="B203" s="11">
        <f>SUM(B192:B202)</f>
        <v/>
      </c>
      <c r="C203" s="11">
        <f>SUM(C192:C202)</f>
        <v/>
      </c>
      <c r="D203" s="11">
        <f>SUM(D192:D202)</f>
        <v/>
      </c>
      <c r="E203" s="11">
        <f>SUM(E192:E202)</f>
        <v/>
      </c>
      <c r="F203" s="11">
        <f>D203+E203</f>
        <v/>
      </c>
      <c r="G203" s="11">
        <f>SUM(G192:G202)</f>
        <v/>
      </c>
      <c r="H203" s="11">
        <f>SUM(H192:H202)</f>
        <v/>
      </c>
      <c r="I203" s="11">
        <f>G203+H203</f>
        <v/>
      </c>
      <c r="J203" s="11">
        <f>D203+G203</f>
        <v/>
      </c>
      <c r="K203" s="11">
        <f>E203+H203</f>
        <v/>
      </c>
      <c r="L203" s="11">
        <f>J203+K203</f>
        <v/>
      </c>
      <c r="M203" s="12">
        <f>IF(C203=0,0,L203/C203*100)</f>
        <v/>
      </c>
    </row>
    <row r="205">
      <c r="A205" s="13" t="inlineStr">
        <is>
          <t>Day 12 - 2026-10-16 (Fri 30 Aswin 2083)</t>
        </is>
      </c>
    </row>
    <row r="206">
      <c r="A206" s="6" t="inlineStr">
        <is>
          <t>Ward no.</t>
        </is>
      </c>
      <c r="B206" s="6" t="inlineStr">
        <is>
          <t>Total population</t>
        </is>
      </c>
      <c r="C206" s="6" t="inlineStr">
        <is>
          <t>JE target population</t>
        </is>
      </c>
      <c r="D206" s="6" t="inlineStr">
        <is>
          <t>Vaccinated</t>
        </is>
      </c>
      <c r="E206" s="6" t="n"/>
      <c r="F206" s="6" t="n"/>
      <c r="G206" s="6" t="n"/>
      <c r="H206" s="6" t="n"/>
      <c r="I206" s="6" t="n"/>
      <c r="J206" s="6" t="n"/>
      <c r="K206" s="6" t="n"/>
      <c r="L206" s="6" t="n"/>
      <c r="M206" s="6" t="inlineStr">
        <is>
          <t>Progress %</t>
        </is>
      </c>
    </row>
    <row r="207">
      <c r="A207" s="6" t="n"/>
      <c r="B207" s="6" t="n"/>
      <c r="C207" s="6" t="n"/>
      <c r="D207" s="6" t="inlineStr">
        <is>
          <t>Age 30-60 yrs</t>
        </is>
      </c>
      <c r="E207" s="6" t="n"/>
      <c r="F207" s="6" t="n"/>
      <c r="G207" s="6" t="inlineStr">
        <is>
          <t>Age 60 above</t>
        </is>
      </c>
      <c r="H207" s="6" t="n"/>
      <c r="I207" s="6" t="n"/>
      <c r="J207" s="6" t="inlineStr">
        <is>
          <t>Total</t>
        </is>
      </c>
      <c r="K207" s="6" t="n"/>
      <c r="L207" s="6" t="inlineStr">
        <is>
          <t>Grand Total</t>
        </is>
      </c>
      <c r="M207" s="6" t="n"/>
    </row>
    <row r="208">
      <c r="A208" s="6" t="n"/>
      <c r="B208" s="6" t="n"/>
      <c r="C208" s="6" t="n"/>
      <c r="D208" s="6" t="inlineStr">
        <is>
          <t>F</t>
        </is>
      </c>
      <c r="E208" s="6" t="inlineStr">
        <is>
          <t>M</t>
        </is>
      </c>
      <c r="F208" s="6" t="inlineStr">
        <is>
          <t>Total</t>
        </is>
      </c>
      <c r="G208" s="6" t="inlineStr">
        <is>
          <t>F</t>
        </is>
      </c>
      <c r="H208" s="6" t="inlineStr">
        <is>
          <t>M</t>
        </is>
      </c>
      <c r="I208" s="6" t="inlineStr">
        <is>
          <t>Total</t>
        </is>
      </c>
      <c r="J208" s="6" t="inlineStr">
        <is>
          <t>F</t>
        </is>
      </c>
      <c r="K208" s="6" t="inlineStr">
        <is>
          <t>M</t>
        </is>
      </c>
      <c r="L208" s="6" t="n"/>
      <c r="M208" s="6" t="n"/>
    </row>
    <row r="209">
      <c r="A209" s="7" t="n">
        <v>1</v>
      </c>
      <c r="B209" s="8">
        <f>B5</f>
        <v/>
      </c>
      <c r="C209" s="8">
        <f>C5</f>
        <v/>
      </c>
      <c r="D209" s="14" t="n"/>
      <c r="E209" s="14" t="n"/>
      <c r="F209" s="8">
        <f>D209+E209</f>
        <v/>
      </c>
      <c r="G209" s="14" t="n"/>
      <c r="H209" s="14" t="n"/>
      <c r="I209" s="8">
        <f>G209+H209</f>
        <v/>
      </c>
      <c r="J209" s="8">
        <f>D209+G209</f>
        <v/>
      </c>
      <c r="K209" s="8">
        <f>E209+H209</f>
        <v/>
      </c>
      <c r="L209" s="8">
        <f>J209+K209</f>
        <v/>
      </c>
      <c r="M209" s="9">
        <f>IF(C209=0,0,L209/C209*100)</f>
        <v/>
      </c>
    </row>
    <row r="210">
      <c r="A210" s="7" t="n">
        <v>2</v>
      </c>
      <c r="B210" s="8">
        <f>B6</f>
        <v/>
      </c>
      <c r="C210" s="8">
        <f>C6</f>
        <v/>
      </c>
      <c r="D210" s="14" t="n"/>
      <c r="E210" s="14" t="n"/>
      <c r="F210" s="8">
        <f>D210+E210</f>
        <v/>
      </c>
      <c r="G210" s="14" t="n"/>
      <c r="H210" s="14" t="n"/>
      <c r="I210" s="8">
        <f>G210+H210</f>
        <v/>
      </c>
      <c r="J210" s="8">
        <f>D210+G210</f>
        <v/>
      </c>
      <c r="K210" s="8">
        <f>E210+H210</f>
        <v/>
      </c>
      <c r="L210" s="8">
        <f>J210+K210</f>
        <v/>
      </c>
      <c r="M210" s="9">
        <f>IF(C210=0,0,L210/C210*100)</f>
        <v/>
      </c>
    </row>
    <row r="211">
      <c r="A211" s="7" t="n">
        <v>3</v>
      </c>
      <c r="B211" s="8">
        <f>B7</f>
        <v/>
      </c>
      <c r="C211" s="8">
        <f>C7</f>
        <v/>
      </c>
      <c r="D211" s="14" t="n"/>
      <c r="E211" s="14" t="n"/>
      <c r="F211" s="8">
        <f>D211+E211</f>
        <v/>
      </c>
      <c r="G211" s="14" t="n"/>
      <c r="H211" s="14" t="n"/>
      <c r="I211" s="8">
        <f>G211+H211</f>
        <v/>
      </c>
      <c r="J211" s="8">
        <f>D211+G211</f>
        <v/>
      </c>
      <c r="K211" s="8">
        <f>E211+H211</f>
        <v/>
      </c>
      <c r="L211" s="8">
        <f>J211+K211</f>
        <v/>
      </c>
      <c r="M211" s="9">
        <f>IF(C211=0,0,L211/C211*100)</f>
        <v/>
      </c>
    </row>
    <row r="212">
      <c r="A212" s="7" t="n">
        <v>4</v>
      </c>
      <c r="B212" s="8">
        <f>B8</f>
        <v/>
      </c>
      <c r="C212" s="8">
        <f>C8</f>
        <v/>
      </c>
      <c r="D212" s="14" t="n"/>
      <c r="E212" s="14" t="n"/>
      <c r="F212" s="8">
        <f>D212+E212</f>
        <v/>
      </c>
      <c r="G212" s="14" t="n"/>
      <c r="H212" s="14" t="n"/>
      <c r="I212" s="8">
        <f>G212+H212</f>
        <v/>
      </c>
      <c r="J212" s="8">
        <f>D212+G212</f>
        <v/>
      </c>
      <c r="K212" s="8">
        <f>E212+H212</f>
        <v/>
      </c>
      <c r="L212" s="8">
        <f>J212+K212</f>
        <v/>
      </c>
      <c r="M212" s="9">
        <f>IF(C212=0,0,L212/C212*100)</f>
        <v/>
      </c>
    </row>
    <row r="213">
      <c r="A213" s="7" t="n">
        <v>5</v>
      </c>
      <c r="B213" s="8">
        <f>B9</f>
        <v/>
      </c>
      <c r="C213" s="8">
        <f>C9</f>
        <v/>
      </c>
      <c r="D213" s="14" t="n"/>
      <c r="E213" s="14" t="n"/>
      <c r="F213" s="8">
        <f>D213+E213</f>
        <v/>
      </c>
      <c r="G213" s="14" t="n"/>
      <c r="H213" s="14" t="n"/>
      <c r="I213" s="8">
        <f>G213+H213</f>
        <v/>
      </c>
      <c r="J213" s="8">
        <f>D213+G213</f>
        <v/>
      </c>
      <c r="K213" s="8">
        <f>E213+H213</f>
        <v/>
      </c>
      <c r="L213" s="8">
        <f>J213+K213</f>
        <v/>
      </c>
      <c r="M213" s="9">
        <f>IF(C213=0,0,L213/C213*100)</f>
        <v/>
      </c>
    </row>
    <row r="214">
      <c r="A214" s="7" t="n">
        <v>6</v>
      </c>
      <c r="B214" s="8">
        <f>B10</f>
        <v/>
      </c>
      <c r="C214" s="8">
        <f>C10</f>
        <v/>
      </c>
      <c r="D214" s="14" t="n"/>
      <c r="E214" s="14" t="n"/>
      <c r="F214" s="8">
        <f>D214+E214</f>
        <v/>
      </c>
      <c r="G214" s="14" t="n"/>
      <c r="H214" s="14" t="n"/>
      <c r="I214" s="8">
        <f>G214+H214</f>
        <v/>
      </c>
      <c r="J214" s="8">
        <f>D214+G214</f>
        <v/>
      </c>
      <c r="K214" s="8">
        <f>E214+H214</f>
        <v/>
      </c>
      <c r="L214" s="8">
        <f>J214+K214</f>
        <v/>
      </c>
      <c r="M214" s="9">
        <f>IF(C214=0,0,L214/C214*100)</f>
        <v/>
      </c>
    </row>
    <row r="215">
      <c r="A215" s="7" t="n">
        <v>7</v>
      </c>
      <c r="B215" s="8">
        <f>B11</f>
        <v/>
      </c>
      <c r="C215" s="8">
        <f>C11</f>
        <v/>
      </c>
      <c r="D215" s="14" t="n"/>
      <c r="E215" s="14" t="n"/>
      <c r="F215" s="8">
        <f>D215+E215</f>
        <v/>
      </c>
      <c r="G215" s="14" t="n"/>
      <c r="H215" s="14" t="n"/>
      <c r="I215" s="8">
        <f>G215+H215</f>
        <v/>
      </c>
      <c r="J215" s="8">
        <f>D215+G215</f>
        <v/>
      </c>
      <c r="K215" s="8">
        <f>E215+H215</f>
        <v/>
      </c>
      <c r="L215" s="8">
        <f>J215+K215</f>
        <v/>
      </c>
      <c r="M215" s="9">
        <f>IF(C215=0,0,L215/C215*100)</f>
        <v/>
      </c>
    </row>
    <row r="216">
      <c r="A216" s="7" t="n">
        <v>8</v>
      </c>
      <c r="B216" s="8">
        <f>B12</f>
        <v/>
      </c>
      <c r="C216" s="8">
        <f>C12</f>
        <v/>
      </c>
      <c r="D216" s="14" t="n"/>
      <c r="E216" s="14" t="n"/>
      <c r="F216" s="8">
        <f>D216+E216</f>
        <v/>
      </c>
      <c r="G216" s="14" t="n"/>
      <c r="H216" s="14" t="n"/>
      <c r="I216" s="8">
        <f>G216+H216</f>
        <v/>
      </c>
      <c r="J216" s="8">
        <f>D216+G216</f>
        <v/>
      </c>
      <c r="K216" s="8">
        <f>E216+H216</f>
        <v/>
      </c>
      <c r="L216" s="8">
        <f>J216+K216</f>
        <v/>
      </c>
      <c r="M216" s="9">
        <f>IF(C216=0,0,L216/C216*100)</f>
        <v/>
      </c>
    </row>
    <row r="217">
      <c r="A217" s="7" t="n">
        <v>9</v>
      </c>
      <c r="B217" s="8">
        <f>B13</f>
        <v/>
      </c>
      <c r="C217" s="8">
        <f>C13</f>
        <v/>
      </c>
      <c r="D217" s="14" t="n"/>
      <c r="E217" s="14" t="n"/>
      <c r="F217" s="8">
        <f>D217+E217</f>
        <v/>
      </c>
      <c r="G217" s="14" t="n"/>
      <c r="H217" s="14" t="n"/>
      <c r="I217" s="8">
        <f>G217+H217</f>
        <v/>
      </c>
      <c r="J217" s="8">
        <f>D217+G217</f>
        <v/>
      </c>
      <c r="K217" s="8">
        <f>E217+H217</f>
        <v/>
      </c>
      <c r="L217" s="8">
        <f>J217+K217</f>
        <v/>
      </c>
      <c r="M217" s="9">
        <f>IF(C217=0,0,L217/C217*100)</f>
        <v/>
      </c>
    </row>
    <row r="218">
      <c r="A218" s="7" t="n">
        <v>10</v>
      </c>
      <c r="B218" s="8">
        <f>B14</f>
        <v/>
      </c>
      <c r="C218" s="8">
        <f>C14</f>
        <v/>
      </c>
      <c r="D218" s="14" t="n"/>
      <c r="E218" s="14" t="n"/>
      <c r="F218" s="8">
        <f>D218+E218</f>
        <v/>
      </c>
      <c r="G218" s="14" t="n"/>
      <c r="H218" s="14" t="n"/>
      <c r="I218" s="8">
        <f>G218+H218</f>
        <v/>
      </c>
      <c r="J218" s="8">
        <f>D218+G218</f>
        <v/>
      </c>
      <c r="K218" s="8">
        <f>E218+H218</f>
        <v/>
      </c>
      <c r="L218" s="8">
        <f>J218+K218</f>
        <v/>
      </c>
      <c r="M218" s="9">
        <f>IF(C218=0,0,L218/C218*100)</f>
        <v/>
      </c>
    </row>
    <row r="219">
      <c r="A219" s="7" t="n">
        <v>11</v>
      </c>
      <c r="B219" s="8">
        <f>B15</f>
        <v/>
      </c>
      <c r="C219" s="8">
        <f>C15</f>
        <v/>
      </c>
      <c r="D219" s="14" t="n"/>
      <c r="E219" s="14" t="n"/>
      <c r="F219" s="8">
        <f>D219+E219</f>
        <v/>
      </c>
      <c r="G219" s="14" t="n"/>
      <c r="H219" s="14" t="n"/>
      <c r="I219" s="8">
        <f>G219+H219</f>
        <v/>
      </c>
      <c r="J219" s="8">
        <f>D219+G219</f>
        <v/>
      </c>
      <c r="K219" s="8">
        <f>E219+H219</f>
        <v/>
      </c>
      <c r="L219" s="8">
        <f>J219+K219</f>
        <v/>
      </c>
      <c r="M219" s="9">
        <f>IF(C219=0,0,L219/C219*100)</f>
        <v/>
      </c>
    </row>
    <row r="220">
      <c r="A220" s="10" t="inlineStr">
        <is>
          <t>Total</t>
        </is>
      </c>
      <c r="B220" s="11">
        <f>SUM(B209:B219)</f>
        <v/>
      </c>
      <c r="C220" s="11">
        <f>SUM(C209:C219)</f>
        <v/>
      </c>
      <c r="D220" s="11">
        <f>SUM(D209:D219)</f>
        <v/>
      </c>
      <c r="E220" s="11">
        <f>SUM(E209:E219)</f>
        <v/>
      </c>
      <c r="F220" s="11">
        <f>D220+E220</f>
        <v/>
      </c>
      <c r="G220" s="11">
        <f>SUM(G209:G219)</f>
        <v/>
      </c>
      <c r="H220" s="11">
        <f>SUM(H209:H219)</f>
        <v/>
      </c>
      <c r="I220" s="11">
        <f>G220+H220</f>
        <v/>
      </c>
      <c r="J220" s="11">
        <f>D220+G220</f>
        <v/>
      </c>
      <c r="K220" s="11">
        <f>E220+H220</f>
        <v/>
      </c>
      <c r="L220" s="11">
        <f>J220+K220</f>
        <v/>
      </c>
      <c r="M220" s="12">
        <f>IF(C220=0,0,L220/C220*100)</f>
        <v/>
      </c>
    </row>
    <row r="222">
      <c r="A222" s="13" t="inlineStr">
        <is>
          <t>Day 13 - 2026-10-17 (Sat 31 Aswin 2083)</t>
        </is>
      </c>
    </row>
    <row r="223">
      <c r="A223" s="6" t="inlineStr">
        <is>
          <t>Ward no.</t>
        </is>
      </c>
      <c r="B223" s="6" t="inlineStr">
        <is>
          <t>Total population</t>
        </is>
      </c>
      <c r="C223" s="6" t="inlineStr">
        <is>
          <t>JE target population</t>
        </is>
      </c>
      <c r="D223" s="6" t="inlineStr">
        <is>
          <t>Vaccinated</t>
        </is>
      </c>
      <c r="E223" s="6" t="n"/>
      <c r="F223" s="6" t="n"/>
      <c r="G223" s="6" t="n"/>
      <c r="H223" s="6" t="n"/>
      <c r="I223" s="6" t="n"/>
      <c r="J223" s="6" t="n"/>
      <c r="K223" s="6" t="n"/>
      <c r="L223" s="6" t="n"/>
      <c r="M223" s="6" t="inlineStr">
        <is>
          <t>Progress %</t>
        </is>
      </c>
    </row>
    <row r="224">
      <c r="A224" s="6" t="n"/>
      <c r="B224" s="6" t="n"/>
      <c r="C224" s="6" t="n"/>
      <c r="D224" s="6" t="inlineStr">
        <is>
          <t>Age 30-60 yrs</t>
        </is>
      </c>
      <c r="E224" s="6" t="n"/>
      <c r="F224" s="6" t="n"/>
      <c r="G224" s="6" t="inlineStr">
        <is>
          <t>Age 60 above</t>
        </is>
      </c>
      <c r="H224" s="6" t="n"/>
      <c r="I224" s="6" t="n"/>
      <c r="J224" s="6" t="inlineStr">
        <is>
          <t>Total</t>
        </is>
      </c>
      <c r="K224" s="6" t="n"/>
      <c r="L224" s="6" t="inlineStr">
        <is>
          <t>Grand Total</t>
        </is>
      </c>
      <c r="M224" s="6" t="n"/>
    </row>
    <row r="225">
      <c r="A225" s="6" t="n"/>
      <c r="B225" s="6" t="n"/>
      <c r="C225" s="6" t="n"/>
      <c r="D225" s="6" t="inlineStr">
        <is>
          <t>F</t>
        </is>
      </c>
      <c r="E225" s="6" t="inlineStr">
        <is>
          <t>M</t>
        </is>
      </c>
      <c r="F225" s="6" t="inlineStr">
        <is>
          <t>Total</t>
        </is>
      </c>
      <c r="G225" s="6" t="inlineStr">
        <is>
          <t>F</t>
        </is>
      </c>
      <c r="H225" s="6" t="inlineStr">
        <is>
          <t>M</t>
        </is>
      </c>
      <c r="I225" s="6" t="inlineStr">
        <is>
          <t>Total</t>
        </is>
      </c>
      <c r="J225" s="6" t="inlineStr">
        <is>
          <t>F</t>
        </is>
      </c>
      <c r="K225" s="6" t="inlineStr">
        <is>
          <t>M</t>
        </is>
      </c>
      <c r="L225" s="6" t="n"/>
      <c r="M225" s="6" t="n"/>
    </row>
    <row r="226">
      <c r="A226" s="7" t="n">
        <v>1</v>
      </c>
      <c r="B226" s="8">
        <f>B5</f>
        <v/>
      </c>
      <c r="C226" s="8">
        <f>C5</f>
        <v/>
      </c>
      <c r="D226" s="14" t="n"/>
      <c r="E226" s="14" t="n"/>
      <c r="F226" s="8">
        <f>D226+E226</f>
        <v/>
      </c>
      <c r="G226" s="14" t="n"/>
      <c r="H226" s="14" t="n"/>
      <c r="I226" s="8">
        <f>G226+H226</f>
        <v/>
      </c>
      <c r="J226" s="8">
        <f>D226+G226</f>
        <v/>
      </c>
      <c r="K226" s="8">
        <f>E226+H226</f>
        <v/>
      </c>
      <c r="L226" s="8">
        <f>J226+K226</f>
        <v/>
      </c>
      <c r="M226" s="9">
        <f>IF(C226=0,0,L226/C226*100)</f>
        <v/>
      </c>
    </row>
    <row r="227">
      <c r="A227" s="7" t="n">
        <v>2</v>
      </c>
      <c r="B227" s="8">
        <f>B6</f>
        <v/>
      </c>
      <c r="C227" s="8">
        <f>C6</f>
        <v/>
      </c>
      <c r="D227" s="14" t="n"/>
      <c r="E227" s="14" t="n"/>
      <c r="F227" s="8">
        <f>D227+E227</f>
        <v/>
      </c>
      <c r="G227" s="14" t="n"/>
      <c r="H227" s="14" t="n"/>
      <c r="I227" s="8">
        <f>G227+H227</f>
        <v/>
      </c>
      <c r="J227" s="8">
        <f>D227+G227</f>
        <v/>
      </c>
      <c r="K227" s="8">
        <f>E227+H227</f>
        <v/>
      </c>
      <c r="L227" s="8">
        <f>J227+K227</f>
        <v/>
      </c>
      <c r="M227" s="9">
        <f>IF(C227=0,0,L227/C227*100)</f>
        <v/>
      </c>
    </row>
    <row r="228">
      <c r="A228" s="7" t="n">
        <v>3</v>
      </c>
      <c r="B228" s="8">
        <f>B7</f>
        <v/>
      </c>
      <c r="C228" s="8">
        <f>C7</f>
        <v/>
      </c>
      <c r="D228" s="14" t="n"/>
      <c r="E228" s="14" t="n"/>
      <c r="F228" s="8">
        <f>D228+E228</f>
        <v/>
      </c>
      <c r="G228" s="14" t="n"/>
      <c r="H228" s="14" t="n"/>
      <c r="I228" s="8">
        <f>G228+H228</f>
        <v/>
      </c>
      <c r="J228" s="8">
        <f>D228+G228</f>
        <v/>
      </c>
      <c r="K228" s="8">
        <f>E228+H228</f>
        <v/>
      </c>
      <c r="L228" s="8">
        <f>J228+K228</f>
        <v/>
      </c>
      <c r="M228" s="9">
        <f>IF(C228=0,0,L228/C228*100)</f>
        <v/>
      </c>
    </row>
    <row r="229">
      <c r="A229" s="7" t="n">
        <v>4</v>
      </c>
      <c r="B229" s="8">
        <f>B8</f>
        <v/>
      </c>
      <c r="C229" s="8">
        <f>C8</f>
        <v/>
      </c>
      <c r="D229" s="14" t="n"/>
      <c r="E229" s="14" t="n"/>
      <c r="F229" s="8">
        <f>D229+E229</f>
        <v/>
      </c>
      <c r="G229" s="14" t="n"/>
      <c r="H229" s="14" t="n"/>
      <c r="I229" s="8">
        <f>G229+H229</f>
        <v/>
      </c>
      <c r="J229" s="8">
        <f>D229+G229</f>
        <v/>
      </c>
      <c r="K229" s="8">
        <f>E229+H229</f>
        <v/>
      </c>
      <c r="L229" s="8">
        <f>J229+K229</f>
        <v/>
      </c>
      <c r="M229" s="9">
        <f>IF(C229=0,0,L229/C229*100)</f>
        <v/>
      </c>
    </row>
    <row r="230">
      <c r="A230" s="7" t="n">
        <v>5</v>
      </c>
      <c r="B230" s="8">
        <f>B9</f>
        <v/>
      </c>
      <c r="C230" s="8">
        <f>C9</f>
        <v/>
      </c>
      <c r="D230" s="14" t="n"/>
      <c r="E230" s="14" t="n"/>
      <c r="F230" s="8">
        <f>D230+E230</f>
        <v/>
      </c>
      <c r="G230" s="14" t="n"/>
      <c r="H230" s="14" t="n"/>
      <c r="I230" s="8">
        <f>G230+H230</f>
        <v/>
      </c>
      <c r="J230" s="8">
        <f>D230+G230</f>
        <v/>
      </c>
      <c r="K230" s="8">
        <f>E230+H230</f>
        <v/>
      </c>
      <c r="L230" s="8">
        <f>J230+K230</f>
        <v/>
      </c>
      <c r="M230" s="9">
        <f>IF(C230=0,0,L230/C230*100)</f>
        <v/>
      </c>
    </row>
    <row r="231">
      <c r="A231" s="7" t="n">
        <v>6</v>
      </c>
      <c r="B231" s="8">
        <f>B10</f>
        <v/>
      </c>
      <c r="C231" s="8">
        <f>C10</f>
        <v/>
      </c>
      <c r="D231" s="14" t="n"/>
      <c r="E231" s="14" t="n"/>
      <c r="F231" s="8">
        <f>D231+E231</f>
        <v/>
      </c>
      <c r="G231" s="14" t="n"/>
      <c r="H231" s="14" t="n"/>
      <c r="I231" s="8">
        <f>G231+H231</f>
        <v/>
      </c>
      <c r="J231" s="8">
        <f>D231+G231</f>
        <v/>
      </c>
      <c r="K231" s="8">
        <f>E231+H231</f>
        <v/>
      </c>
      <c r="L231" s="8">
        <f>J231+K231</f>
        <v/>
      </c>
      <c r="M231" s="9">
        <f>IF(C231=0,0,L231/C231*100)</f>
        <v/>
      </c>
    </row>
    <row r="232">
      <c r="A232" s="7" t="n">
        <v>7</v>
      </c>
      <c r="B232" s="8">
        <f>B11</f>
        <v/>
      </c>
      <c r="C232" s="8">
        <f>C11</f>
        <v/>
      </c>
      <c r="D232" s="14" t="n"/>
      <c r="E232" s="14" t="n"/>
      <c r="F232" s="8">
        <f>D232+E232</f>
        <v/>
      </c>
      <c r="G232" s="14" t="n"/>
      <c r="H232" s="14" t="n"/>
      <c r="I232" s="8">
        <f>G232+H232</f>
        <v/>
      </c>
      <c r="J232" s="8">
        <f>D232+G232</f>
        <v/>
      </c>
      <c r="K232" s="8">
        <f>E232+H232</f>
        <v/>
      </c>
      <c r="L232" s="8">
        <f>J232+K232</f>
        <v/>
      </c>
      <c r="M232" s="9">
        <f>IF(C232=0,0,L232/C232*100)</f>
        <v/>
      </c>
    </row>
    <row r="233">
      <c r="A233" s="7" t="n">
        <v>8</v>
      </c>
      <c r="B233" s="8">
        <f>B12</f>
        <v/>
      </c>
      <c r="C233" s="8">
        <f>C12</f>
        <v/>
      </c>
      <c r="D233" s="14" t="n"/>
      <c r="E233" s="14" t="n"/>
      <c r="F233" s="8">
        <f>D233+E233</f>
        <v/>
      </c>
      <c r="G233" s="14" t="n"/>
      <c r="H233" s="14" t="n"/>
      <c r="I233" s="8">
        <f>G233+H233</f>
        <v/>
      </c>
      <c r="J233" s="8">
        <f>D233+G233</f>
        <v/>
      </c>
      <c r="K233" s="8">
        <f>E233+H233</f>
        <v/>
      </c>
      <c r="L233" s="8">
        <f>J233+K233</f>
        <v/>
      </c>
      <c r="M233" s="9">
        <f>IF(C233=0,0,L233/C233*100)</f>
        <v/>
      </c>
    </row>
    <row r="234">
      <c r="A234" s="7" t="n">
        <v>9</v>
      </c>
      <c r="B234" s="8">
        <f>B13</f>
        <v/>
      </c>
      <c r="C234" s="8">
        <f>C13</f>
        <v/>
      </c>
      <c r="D234" s="14" t="n"/>
      <c r="E234" s="14" t="n"/>
      <c r="F234" s="8">
        <f>D234+E234</f>
        <v/>
      </c>
      <c r="G234" s="14" t="n"/>
      <c r="H234" s="14" t="n"/>
      <c r="I234" s="8">
        <f>G234+H234</f>
        <v/>
      </c>
      <c r="J234" s="8">
        <f>D234+G234</f>
        <v/>
      </c>
      <c r="K234" s="8">
        <f>E234+H234</f>
        <v/>
      </c>
      <c r="L234" s="8">
        <f>J234+K234</f>
        <v/>
      </c>
      <c r="M234" s="9">
        <f>IF(C234=0,0,L234/C234*100)</f>
        <v/>
      </c>
    </row>
    <row r="235">
      <c r="A235" s="7" t="n">
        <v>10</v>
      </c>
      <c r="B235" s="8">
        <f>B14</f>
        <v/>
      </c>
      <c r="C235" s="8">
        <f>C14</f>
        <v/>
      </c>
      <c r="D235" s="14" t="n"/>
      <c r="E235" s="14" t="n"/>
      <c r="F235" s="8">
        <f>D235+E235</f>
        <v/>
      </c>
      <c r="G235" s="14" t="n"/>
      <c r="H235" s="14" t="n"/>
      <c r="I235" s="8">
        <f>G235+H235</f>
        <v/>
      </c>
      <c r="J235" s="8">
        <f>D235+G235</f>
        <v/>
      </c>
      <c r="K235" s="8">
        <f>E235+H235</f>
        <v/>
      </c>
      <c r="L235" s="8">
        <f>J235+K235</f>
        <v/>
      </c>
      <c r="M235" s="9">
        <f>IF(C235=0,0,L235/C235*100)</f>
        <v/>
      </c>
    </row>
    <row r="236">
      <c r="A236" s="7" t="n">
        <v>11</v>
      </c>
      <c r="B236" s="8">
        <f>B15</f>
        <v/>
      </c>
      <c r="C236" s="8">
        <f>C15</f>
        <v/>
      </c>
      <c r="D236" s="14" t="n"/>
      <c r="E236" s="14" t="n"/>
      <c r="F236" s="8">
        <f>D236+E236</f>
        <v/>
      </c>
      <c r="G236" s="14" t="n"/>
      <c r="H236" s="14" t="n"/>
      <c r="I236" s="8">
        <f>G236+H236</f>
        <v/>
      </c>
      <c r="J236" s="8">
        <f>D236+G236</f>
        <v/>
      </c>
      <c r="K236" s="8">
        <f>E236+H236</f>
        <v/>
      </c>
      <c r="L236" s="8">
        <f>J236+K236</f>
        <v/>
      </c>
      <c r="M236" s="9">
        <f>IF(C236=0,0,L236/C236*100)</f>
        <v/>
      </c>
    </row>
    <row r="237">
      <c r="A237" s="10" t="inlineStr">
        <is>
          <t>Total</t>
        </is>
      </c>
      <c r="B237" s="11">
        <f>SUM(B226:B236)</f>
        <v/>
      </c>
      <c r="C237" s="11">
        <f>SUM(C226:C236)</f>
        <v/>
      </c>
      <c r="D237" s="11">
        <f>SUM(D226:D236)</f>
        <v/>
      </c>
      <c r="E237" s="11">
        <f>SUM(E226:E236)</f>
        <v/>
      </c>
      <c r="F237" s="11">
        <f>D237+E237</f>
        <v/>
      </c>
      <c r="G237" s="11">
        <f>SUM(G226:G236)</f>
        <v/>
      </c>
      <c r="H237" s="11">
        <f>SUM(H226:H236)</f>
        <v/>
      </c>
      <c r="I237" s="11">
        <f>G237+H237</f>
        <v/>
      </c>
      <c r="J237" s="11">
        <f>D237+G237</f>
        <v/>
      </c>
      <c r="K237" s="11">
        <f>E237+H237</f>
        <v/>
      </c>
      <c r="L237" s="11">
        <f>J237+K237</f>
        <v/>
      </c>
      <c r="M237" s="12">
        <f>IF(C237=0,0,L237/C237*100)</f>
        <v/>
      </c>
    </row>
    <row r="239">
      <c r="A239" s="13" t="inlineStr">
        <is>
          <t>Day 14 - 2026-10-18 (Sun 01 Kartik 2083)</t>
        </is>
      </c>
    </row>
    <row r="240">
      <c r="A240" s="6" t="inlineStr">
        <is>
          <t>Ward no.</t>
        </is>
      </c>
      <c r="B240" s="6" t="inlineStr">
        <is>
          <t>Total population</t>
        </is>
      </c>
      <c r="C240" s="6" t="inlineStr">
        <is>
          <t>JE target population</t>
        </is>
      </c>
      <c r="D240" s="6" t="inlineStr">
        <is>
          <t>Vaccinated</t>
        </is>
      </c>
      <c r="E240" s="6" t="n"/>
      <c r="F240" s="6" t="n"/>
      <c r="G240" s="6" t="n"/>
      <c r="H240" s="6" t="n"/>
      <c r="I240" s="6" t="n"/>
      <c r="J240" s="6" t="n"/>
      <c r="K240" s="6" t="n"/>
      <c r="L240" s="6" t="n"/>
      <c r="M240" s="6" t="inlineStr">
        <is>
          <t>Progress %</t>
        </is>
      </c>
    </row>
    <row r="241">
      <c r="A241" s="6" t="n"/>
      <c r="B241" s="6" t="n"/>
      <c r="C241" s="6" t="n"/>
      <c r="D241" s="6" t="inlineStr">
        <is>
          <t>Age 30-60 yrs</t>
        </is>
      </c>
      <c r="E241" s="6" t="n"/>
      <c r="F241" s="6" t="n"/>
      <c r="G241" s="6" t="inlineStr">
        <is>
          <t>Age 60 above</t>
        </is>
      </c>
      <c r="H241" s="6" t="n"/>
      <c r="I241" s="6" t="n"/>
      <c r="J241" s="6" t="inlineStr">
        <is>
          <t>Total</t>
        </is>
      </c>
      <c r="K241" s="6" t="n"/>
      <c r="L241" s="6" t="inlineStr">
        <is>
          <t>Grand Total</t>
        </is>
      </c>
      <c r="M241" s="6" t="n"/>
    </row>
    <row r="242">
      <c r="A242" s="6" t="n"/>
      <c r="B242" s="6" t="n"/>
      <c r="C242" s="6" t="n"/>
      <c r="D242" s="6" t="inlineStr">
        <is>
          <t>F</t>
        </is>
      </c>
      <c r="E242" s="6" t="inlineStr">
        <is>
          <t>M</t>
        </is>
      </c>
      <c r="F242" s="6" t="inlineStr">
        <is>
          <t>Total</t>
        </is>
      </c>
      <c r="G242" s="6" t="inlineStr">
        <is>
          <t>F</t>
        </is>
      </c>
      <c r="H242" s="6" t="inlineStr">
        <is>
          <t>M</t>
        </is>
      </c>
      <c r="I242" s="6" t="inlineStr">
        <is>
          <t>Total</t>
        </is>
      </c>
      <c r="J242" s="6" t="inlineStr">
        <is>
          <t>F</t>
        </is>
      </c>
      <c r="K242" s="6" t="inlineStr">
        <is>
          <t>M</t>
        </is>
      </c>
      <c r="L242" s="6" t="n"/>
      <c r="M242" s="6" t="n"/>
    </row>
    <row r="243">
      <c r="A243" s="7" t="n">
        <v>1</v>
      </c>
      <c r="B243" s="8">
        <f>B5</f>
        <v/>
      </c>
      <c r="C243" s="8">
        <f>C5</f>
        <v/>
      </c>
      <c r="D243" s="14" t="n"/>
      <c r="E243" s="14" t="n"/>
      <c r="F243" s="8">
        <f>D243+E243</f>
        <v/>
      </c>
      <c r="G243" s="14" t="n"/>
      <c r="H243" s="14" t="n"/>
      <c r="I243" s="8">
        <f>G243+H243</f>
        <v/>
      </c>
      <c r="J243" s="8">
        <f>D243+G243</f>
        <v/>
      </c>
      <c r="K243" s="8">
        <f>E243+H243</f>
        <v/>
      </c>
      <c r="L243" s="8">
        <f>J243+K243</f>
        <v/>
      </c>
      <c r="M243" s="9">
        <f>IF(C243=0,0,L243/C243*100)</f>
        <v/>
      </c>
    </row>
    <row r="244">
      <c r="A244" s="7" t="n">
        <v>2</v>
      </c>
      <c r="B244" s="8">
        <f>B6</f>
        <v/>
      </c>
      <c r="C244" s="8">
        <f>C6</f>
        <v/>
      </c>
      <c r="D244" s="14" t="n"/>
      <c r="E244" s="14" t="n"/>
      <c r="F244" s="8">
        <f>D244+E244</f>
        <v/>
      </c>
      <c r="G244" s="14" t="n"/>
      <c r="H244" s="14" t="n"/>
      <c r="I244" s="8">
        <f>G244+H244</f>
        <v/>
      </c>
      <c r="J244" s="8">
        <f>D244+G244</f>
        <v/>
      </c>
      <c r="K244" s="8">
        <f>E244+H244</f>
        <v/>
      </c>
      <c r="L244" s="8">
        <f>J244+K244</f>
        <v/>
      </c>
      <c r="M244" s="9">
        <f>IF(C244=0,0,L244/C244*100)</f>
        <v/>
      </c>
    </row>
    <row r="245">
      <c r="A245" s="7" t="n">
        <v>3</v>
      </c>
      <c r="B245" s="8">
        <f>B7</f>
        <v/>
      </c>
      <c r="C245" s="8">
        <f>C7</f>
        <v/>
      </c>
      <c r="D245" s="14" t="n"/>
      <c r="E245" s="14" t="n"/>
      <c r="F245" s="8">
        <f>D245+E245</f>
        <v/>
      </c>
      <c r="G245" s="14" t="n"/>
      <c r="H245" s="14" t="n"/>
      <c r="I245" s="8">
        <f>G245+H245</f>
        <v/>
      </c>
      <c r="J245" s="8">
        <f>D245+G245</f>
        <v/>
      </c>
      <c r="K245" s="8">
        <f>E245+H245</f>
        <v/>
      </c>
      <c r="L245" s="8">
        <f>J245+K245</f>
        <v/>
      </c>
      <c r="M245" s="9">
        <f>IF(C245=0,0,L245/C245*100)</f>
        <v/>
      </c>
    </row>
    <row r="246">
      <c r="A246" s="7" t="n">
        <v>4</v>
      </c>
      <c r="B246" s="8">
        <f>B8</f>
        <v/>
      </c>
      <c r="C246" s="8">
        <f>C8</f>
        <v/>
      </c>
      <c r="D246" s="14" t="n"/>
      <c r="E246" s="14" t="n"/>
      <c r="F246" s="8">
        <f>D246+E246</f>
        <v/>
      </c>
      <c r="G246" s="14" t="n"/>
      <c r="H246" s="14" t="n"/>
      <c r="I246" s="8">
        <f>G246+H246</f>
        <v/>
      </c>
      <c r="J246" s="8">
        <f>D246+G246</f>
        <v/>
      </c>
      <c r="K246" s="8">
        <f>E246+H246</f>
        <v/>
      </c>
      <c r="L246" s="8">
        <f>J246+K246</f>
        <v/>
      </c>
      <c r="M246" s="9">
        <f>IF(C246=0,0,L246/C246*100)</f>
        <v/>
      </c>
    </row>
    <row r="247">
      <c r="A247" s="7" t="n">
        <v>5</v>
      </c>
      <c r="B247" s="8">
        <f>B9</f>
        <v/>
      </c>
      <c r="C247" s="8">
        <f>C9</f>
        <v/>
      </c>
      <c r="D247" s="14" t="n"/>
      <c r="E247" s="14" t="n"/>
      <c r="F247" s="8">
        <f>D247+E247</f>
        <v/>
      </c>
      <c r="G247" s="14" t="n"/>
      <c r="H247" s="14" t="n"/>
      <c r="I247" s="8">
        <f>G247+H247</f>
        <v/>
      </c>
      <c r="J247" s="8">
        <f>D247+G247</f>
        <v/>
      </c>
      <c r="K247" s="8">
        <f>E247+H247</f>
        <v/>
      </c>
      <c r="L247" s="8">
        <f>J247+K247</f>
        <v/>
      </c>
      <c r="M247" s="9">
        <f>IF(C247=0,0,L247/C247*100)</f>
        <v/>
      </c>
    </row>
    <row r="248">
      <c r="A248" s="7" t="n">
        <v>6</v>
      </c>
      <c r="B248" s="8">
        <f>B10</f>
        <v/>
      </c>
      <c r="C248" s="8">
        <f>C10</f>
        <v/>
      </c>
      <c r="D248" s="14" t="n"/>
      <c r="E248" s="14" t="n"/>
      <c r="F248" s="8">
        <f>D248+E248</f>
        <v/>
      </c>
      <c r="G248" s="14" t="n"/>
      <c r="H248" s="14" t="n"/>
      <c r="I248" s="8">
        <f>G248+H248</f>
        <v/>
      </c>
      <c r="J248" s="8">
        <f>D248+G248</f>
        <v/>
      </c>
      <c r="K248" s="8">
        <f>E248+H248</f>
        <v/>
      </c>
      <c r="L248" s="8">
        <f>J248+K248</f>
        <v/>
      </c>
      <c r="M248" s="9">
        <f>IF(C248=0,0,L248/C248*100)</f>
        <v/>
      </c>
    </row>
    <row r="249">
      <c r="A249" s="7" t="n">
        <v>7</v>
      </c>
      <c r="B249" s="8">
        <f>B11</f>
        <v/>
      </c>
      <c r="C249" s="8">
        <f>C11</f>
        <v/>
      </c>
      <c r="D249" s="14" t="n"/>
      <c r="E249" s="14" t="n"/>
      <c r="F249" s="8">
        <f>D249+E249</f>
        <v/>
      </c>
      <c r="G249" s="14" t="n"/>
      <c r="H249" s="14" t="n"/>
      <c r="I249" s="8">
        <f>G249+H249</f>
        <v/>
      </c>
      <c r="J249" s="8">
        <f>D249+G249</f>
        <v/>
      </c>
      <c r="K249" s="8">
        <f>E249+H249</f>
        <v/>
      </c>
      <c r="L249" s="8">
        <f>J249+K249</f>
        <v/>
      </c>
      <c r="M249" s="9">
        <f>IF(C249=0,0,L249/C249*100)</f>
        <v/>
      </c>
    </row>
    <row r="250">
      <c r="A250" s="7" t="n">
        <v>8</v>
      </c>
      <c r="B250" s="8">
        <f>B12</f>
        <v/>
      </c>
      <c r="C250" s="8">
        <f>C12</f>
        <v/>
      </c>
      <c r="D250" s="14" t="n"/>
      <c r="E250" s="14" t="n"/>
      <c r="F250" s="8">
        <f>D250+E250</f>
        <v/>
      </c>
      <c r="G250" s="14" t="n"/>
      <c r="H250" s="14" t="n"/>
      <c r="I250" s="8">
        <f>G250+H250</f>
        <v/>
      </c>
      <c r="J250" s="8">
        <f>D250+G250</f>
        <v/>
      </c>
      <c r="K250" s="8">
        <f>E250+H250</f>
        <v/>
      </c>
      <c r="L250" s="8">
        <f>J250+K250</f>
        <v/>
      </c>
      <c r="M250" s="9">
        <f>IF(C250=0,0,L250/C250*100)</f>
        <v/>
      </c>
    </row>
    <row r="251">
      <c r="A251" s="7" t="n">
        <v>9</v>
      </c>
      <c r="B251" s="8">
        <f>B13</f>
        <v/>
      </c>
      <c r="C251" s="8">
        <f>C13</f>
        <v/>
      </c>
      <c r="D251" s="14" t="n"/>
      <c r="E251" s="14" t="n"/>
      <c r="F251" s="8">
        <f>D251+E251</f>
        <v/>
      </c>
      <c r="G251" s="14" t="n"/>
      <c r="H251" s="14" t="n"/>
      <c r="I251" s="8">
        <f>G251+H251</f>
        <v/>
      </c>
      <c r="J251" s="8">
        <f>D251+G251</f>
        <v/>
      </c>
      <c r="K251" s="8">
        <f>E251+H251</f>
        <v/>
      </c>
      <c r="L251" s="8">
        <f>J251+K251</f>
        <v/>
      </c>
      <c r="M251" s="9">
        <f>IF(C251=0,0,L251/C251*100)</f>
        <v/>
      </c>
    </row>
    <row r="252">
      <c r="A252" s="7" t="n">
        <v>10</v>
      </c>
      <c r="B252" s="8">
        <f>B14</f>
        <v/>
      </c>
      <c r="C252" s="8">
        <f>C14</f>
        <v/>
      </c>
      <c r="D252" s="14" t="n"/>
      <c r="E252" s="14" t="n"/>
      <c r="F252" s="8">
        <f>D252+E252</f>
        <v/>
      </c>
      <c r="G252" s="14" t="n"/>
      <c r="H252" s="14" t="n"/>
      <c r="I252" s="8">
        <f>G252+H252</f>
        <v/>
      </c>
      <c r="J252" s="8">
        <f>D252+G252</f>
        <v/>
      </c>
      <c r="K252" s="8">
        <f>E252+H252</f>
        <v/>
      </c>
      <c r="L252" s="8">
        <f>J252+K252</f>
        <v/>
      </c>
      <c r="M252" s="9">
        <f>IF(C252=0,0,L252/C252*100)</f>
        <v/>
      </c>
    </row>
    <row r="253">
      <c r="A253" s="7" t="n">
        <v>11</v>
      </c>
      <c r="B253" s="8">
        <f>B15</f>
        <v/>
      </c>
      <c r="C253" s="8">
        <f>C15</f>
        <v/>
      </c>
      <c r="D253" s="14" t="n"/>
      <c r="E253" s="14" t="n"/>
      <c r="F253" s="8">
        <f>D253+E253</f>
        <v/>
      </c>
      <c r="G253" s="14" t="n"/>
      <c r="H253" s="14" t="n"/>
      <c r="I253" s="8">
        <f>G253+H253</f>
        <v/>
      </c>
      <c r="J253" s="8">
        <f>D253+G253</f>
        <v/>
      </c>
      <c r="K253" s="8">
        <f>E253+H253</f>
        <v/>
      </c>
      <c r="L253" s="8">
        <f>J253+K253</f>
        <v/>
      </c>
      <c r="M253" s="9">
        <f>IF(C253=0,0,L253/C253*100)</f>
        <v/>
      </c>
    </row>
    <row r="254">
      <c r="A254" s="10" t="inlineStr">
        <is>
          <t>Total</t>
        </is>
      </c>
      <c r="B254" s="11">
        <f>SUM(B243:B253)</f>
        <v/>
      </c>
      <c r="C254" s="11">
        <f>SUM(C243:C253)</f>
        <v/>
      </c>
      <c r="D254" s="11">
        <f>SUM(D243:D253)</f>
        <v/>
      </c>
      <c r="E254" s="11">
        <f>SUM(E243:E253)</f>
        <v/>
      </c>
      <c r="F254" s="11">
        <f>D254+E254</f>
        <v/>
      </c>
      <c r="G254" s="11">
        <f>SUM(G243:G253)</f>
        <v/>
      </c>
      <c r="H254" s="11">
        <f>SUM(H243:H253)</f>
        <v/>
      </c>
      <c r="I254" s="11">
        <f>G254+H254</f>
        <v/>
      </c>
      <c r="J254" s="11">
        <f>D254+G254</f>
        <v/>
      </c>
      <c r="K254" s="11">
        <f>E254+H254</f>
        <v/>
      </c>
      <c r="L254" s="11">
        <f>J254+K254</f>
        <v/>
      </c>
      <c r="M254" s="12">
        <f>IF(C254=0,0,L254/C254*100)</f>
        <v/>
      </c>
    </row>
    <row r="256">
      <c r="A256" s="13" t="inlineStr">
        <is>
          <t>Day 15 - 2026-10-19 (Mon 02 Kartik 2083)</t>
        </is>
      </c>
    </row>
    <row r="257">
      <c r="A257" s="6" t="inlineStr">
        <is>
          <t>Ward no.</t>
        </is>
      </c>
      <c r="B257" s="6" t="inlineStr">
        <is>
          <t>Total population</t>
        </is>
      </c>
      <c r="C257" s="6" t="inlineStr">
        <is>
          <t>JE target population</t>
        </is>
      </c>
      <c r="D257" s="6" t="inlineStr">
        <is>
          <t>Vaccinated</t>
        </is>
      </c>
      <c r="E257" s="6" t="n"/>
      <c r="F257" s="6" t="n"/>
      <c r="G257" s="6" t="n"/>
      <c r="H257" s="6" t="n"/>
      <c r="I257" s="6" t="n"/>
      <c r="J257" s="6" t="n"/>
      <c r="K257" s="6" t="n"/>
      <c r="L257" s="6" t="n"/>
      <c r="M257" s="6" t="inlineStr">
        <is>
          <t>Progress %</t>
        </is>
      </c>
    </row>
    <row r="258">
      <c r="A258" s="6" t="n"/>
      <c r="B258" s="6" t="n"/>
      <c r="C258" s="6" t="n"/>
      <c r="D258" s="6" t="inlineStr">
        <is>
          <t>Age 30-60 yrs</t>
        </is>
      </c>
      <c r="E258" s="6" t="n"/>
      <c r="F258" s="6" t="n"/>
      <c r="G258" s="6" t="inlineStr">
        <is>
          <t>Age 60 above</t>
        </is>
      </c>
      <c r="H258" s="6" t="n"/>
      <c r="I258" s="6" t="n"/>
      <c r="J258" s="6" t="inlineStr">
        <is>
          <t>Total</t>
        </is>
      </c>
      <c r="K258" s="6" t="n"/>
      <c r="L258" s="6" t="inlineStr">
        <is>
          <t>Grand Total</t>
        </is>
      </c>
      <c r="M258" s="6" t="n"/>
    </row>
    <row r="259">
      <c r="A259" s="6" t="n"/>
      <c r="B259" s="6" t="n"/>
      <c r="C259" s="6" t="n"/>
      <c r="D259" s="6" t="inlineStr">
        <is>
          <t>F</t>
        </is>
      </c>
      <c r="E259" s="6" t="inlineStr">
        <is>
          <t>M</t>
        </is>
      </c>
      <c r="F259" s="6" t="inlineStr">
        <is>
          <t>Total</t>
        </is>
      </c>
      <c r="G259" s="6" t="inlineStr">
        <is>
          <t>F</t>
        </is>
      </c>
      <c r="H259" s="6" t="inlineStr">
        <is>
          <t>M</t>
        </is>
      </c>
      <c r="I259" s="6" t="inlineStr">
        <is>
          <t>Total</t>
        </is>
      </c>
      <c r="J259" s="6" t="inlineStr">
        <is>
          <t>F</t>
        </is>
      </c>
      <c r="K259" s="6" t="inlineStr">
        <is>
          <t>M</t>
        </is>
      </c>
      <c r="L259" s="6" t="n"/>
      <c r="M259" s="6" t="n"/>
    </row>
    <row r="260">
      <c r="A260" s="7" t="n">
        <v>1</v>
      </c>
      <c r="B260" s="8">
        <f>B5</f>
        <v/>
      </c>
      <c r="C260" s="8">
        <f>C5</f>
        <v/>
      </c>
      <c r="D260" s="14" t="n"/>
      <c r="E260" s="14" t="n"/>
      <c r="F260" s="8">
        <f>D260+E260</f>
        <v/>
      </c>
      <c r="G260" s="14" t="n"/>
      <c r="H260" s="14" t="n"/>
      <c r="I260" s="8">
        <f>G260+H260</f>
        <v/>
      </c>
      <c r="J260" s="8">
        <f>D260+G260</f>
        <v/>
      </c>
      <c r="K260" s="8">
        <f>E260+H260</f>
        <v/>
      </c>
      <c r="L260" s="8">
        <f>J260+K260</f>
        <v/>
      </c>
      <c r="M260" s="9">
        <f>IF(C260=0,0,L260/C260*100)</f>
        <v/>
      </c>
    </row>
    <row r="261">
      <c r="A261" s="7" t="n">
        <v>2</v>
      </c>
      <c r="B261" s="8">
        <f>B6</f>
        <v/>
      </c>
      <c r="C261" s="8">
        <f>C6</f>
        <v/>
      </c>
      <c r="D261" s="14" t="n"/>
      <c r="E261" s="14" t="n"/>
      <c r="F261" s="8">
        <f>D261+E261</f>
        <v/>
      </c>
      <c r="G261" s="14" t="n"/>
      <c r="H261" s="14" t="n"/>
      <c r="I261" s="8">
        <f>G261+H261</f>
        <v/>
      </c>
      <c r="J261" s="8">
        <f>D261+G261</f>
        <v/>
      </c>
      <c r="K261" s="8">
        <f>E261+H261</f>
        <v/>
      </c>
      <c r="L261" s="8">
        <f>J261+K261</f>
        <v/>
      </c>
      <c r="M261" s="9">
        <f>IF(C261=0,0,L261/C261*100)</f>
        <v/>
      </c>
    </row>
    <row r="262">
      <c r="A262" s="7" t="n">
        <v>3</v>
      </c>
      <c r="B262" s="8">
        <f>B7</f>
        <v/>
      </c>
      <c r="C262" s="8">
        <f>C7</f>
        <v/>
      </c>
      <c r="D262" s="14" t="n"/>
      <c r="E262" s="14" t="n"/>
      <c r="F262" s="8">
        <f>D262+E262</f>
        <v/>
      </c>
      <c r="G262" s="14" t="n"/>
      <c r="H262" s="14" t="n"/>
      <c r="I262" s="8">
        <f>G262+H262</f>
        <v/>
      </c>
      <c r="J262" s="8">
        <f>D262+G262</f>
        <v/>
      </c>
      <c r="K262" s="8">
        <f>E262+H262</f>
        <v/>
      </c>
      <c r="L262" s="8">
        <f>J262+K262</f>
        <v/>
      </c>
      <c r="M262" s="9">
        <f>IF(C262=0,0,L262/C262*100)</f>
        <v/>
      </c>
    </row>
    <row r="263">
      <c r="A263" s="7" t="n">
        <v>4</v>
      </c>
      <c r="B263" s="8">
        <f>B8</f>
        <v/>
      </c>
      <c r="C263" s="8">
        <f>C8</f>
        <v/>
      </c>
      <c r="D263" s="14" t="n"/>
      <c r="E263" s="14" t="n"/>
      <c r="F263" s="8">
        <f>D263+E263</f>
        <v/>
      </c>
      <c r="G263" s="14" t="n"/>
      <c r="H263" s="14" t="n"/>
      <c r="I263" s="8">
        <f>G263+H263</f>
        <v/>
      </c>
      <c r="J263" s="8">
        <f>D263+G263</f>
        <v/>
      </c>
      <c r="K263" s="8">
        <f>E263+H263</f>
        <v/>
      </c>
      <c r="L263" s="8">
        <f>J263+K263</f>
        <v/>
      </c>
      <c r="M263" s="9">
        <f>IF(C263=0,0,L263/C263*100)</f>
        <v/>
      </c>
    </row>
    <row r="264">
      <c r="A264" s="7" t="n">
        <v>5</v>
      </c>
      <c r="B264" s="8">
        <f>B9</f>
        <v/>
      </c>
      <c r="C264" s="8">
        <f>C9</f>
        <v/>
      </c>
      <c r="D264" s="14" t="n"/>
      <c r="E264" s="14" t="n"/>
      <c r="F264" s="8">
        <f>D264+E264</f>
        <v/>
      </c>
      <c r="G264" s="14" t="n"/>
      <c r="H264" s="14" t="n"/>
      <c r="I264" s="8">
        <f>G264+H264</f>
        <v/>
      </c>
      <c r="J264" s="8">
        <f>D264+G264</f>
        <v/>
      </c>
      <c r="K264" s="8">
        <f>E264+H264</f>
        <v/>
      </c>
      <c r="L264" s="8">
        <f>J264+K264</f>
        <v/>
      </c>
      <c r="M264" s="9">
        <f>IF(C264=0,0,L264/C264*100)</f>
        <v/>
      </c>
    </row>
    <row r="265">
      <c r="A265" s="7" t="n">
        <v>6</v>
      </c>
      <c r="B265" s="8">
        <f>B10</f>
        <v/>
      </c>
      <c r="C265" s="8">
        <f>C10</f>
        <v/>
      </c>
      <c r="D265" s="14" t="n"/>
      <c r="E265" s="14" t="n"/>
      <c r="F265" s="8">
        <f>D265+E265</f>
        <v/>
      </c>
      <c r="G265" s="14" t="n"/>
      <c r="H265" s="14" t="n"/>
      <c r="I265" s="8">
        <f>G265+H265</f>
        <v/>
      </c>
      <c r="J265" s="8">
        <f>D265+G265</f>
        <v/>
      </c>
      <c r="K265" s="8">
        <f>E265+H265</f>
        <v/>
      </c>
      <c r="L265" s="8">
        <f>J265+K265</f>
        <v/>
      </c>
      <c r="M265" s="9">
        <f>IF(C265=0,0,L265/C265*100)</f>
        <v/>
      </c>
    </row>
    <row r="266">
      <c r="A266" s="7" t="n">
        <v>7</v>
      </c>
      <c r="B266" s="8">
        <f>B11</f>
        <v/>
      </c>
      <c r="C266" s="8">
        <f>C11</f>
        <v/>
      </c>
      <c r="D266" s="14" t="n"/>
      <c r="E266" s="14" t="n"/>
      <c r="F266" s="8">
        <f>D266+E266</f>
        <v/>
      </c>
      <c r="G266" s="14" t="n"/>
      <c r="H266" s="14" t="n"/>
      <c r="I266" s="8">
        <f>G266+H266</f>
        <v/>
      </c>
      <c r="J266" s="8">
        <f>D266+G266</f>
        <v/>
      </c>
      <c r="K266" s="8">
        <f>E266+H266</f>
        <v/>
      </c>
      <c r="L266" s="8">
        <f>J266+K266</f>
        <v/>
      </c>
      <c r="M266" s="9">
        <f>IF(C266=0,0,L266/C266*100)</f>
        <v/>
      </c>
    </row>
    <row r="267">
      <c r="A267" s="7" t="n">
        <v>8</v>
      </c>
      <c r="B267" s="8">
        <f>B12</f>
        <v/>
      </c>
      <c r="C267" s="8">
        <f>C12</f>
        <v/>
      </c>
      <c r="D267" s="14" t="n"/>
      <c r="E267" s="14" t="n"/>
      <c r="F267" s="8">
        <f>D267+E267</f>
        <v/>
      </c>
      <c r="G267" s="14" t="n"/>
      <c r="H267" s="14" t="n"/>
      <c r="I267" s="8">
        <f>G267+H267</f>
        <v/>
      </c>
      <c r="J267" s="8">
        <f>D267+G267</f>
        <v/>
      </c>
      <c r="K267" s="8">
        <f>E267+H267</f>
        <v/>
      </c>
      <c r="L267" s="8">
        <f>J267+K267</f>
        <v/>
      </c>
      <c r="M267" s="9">
        <f>IF(C267=0,0,L267/C267*100)</f>
        <v/>
      </c>
    </row>
    <row r="268">
      <c r="A268" s="7" t="n">
        <v>9</v>
      </c>
      <c r="B268" s="8">
        <f>B13</f>
        <v/>
      </c>
      <c r="C268" s="8">
        <f>C13</f>
        <v/>
      </c>
      <c r="D268" s="14" t="n"/>
      <c r="E268" s="14" t="n"/>
      <c r="F268" s="8">
        <f>D268+E268</f>
        <v/>
      </c>
      <c r="G268" s="14" t="n"/>
      <c r="H268" s="14" t="n"/>
      <c r="I268" s="8">
        <f>G268+H268</f>
        <v/>
      </c>
      <c r="J268" s="8">
        <f>D268+G268</f>
        <v/>
      </c>
      <c r="K268" s="8">
        <f>E268+H268</f>
        <v/>
      </c>
      <c r="L268" s="8">
        <f>J268+K268</f>
        <v/>
      </c>
      <c r="M268" s="9">
        <f>IF(C268=0,0,L268/C268*100)</f>
        <v/>
      </c>
    </row>
    <row r="269">
      <c r="A269" s="7" t="n">
        <v>10</v>
      </c>
      <c r="B269" s="8">
        <f>B14</f>
        <v/>
      </c>
      <c r="C269" s="8">
        <f>C14</f>
        <v/>
      </c>
      <c r="D269" s="14" t="n"/>
      <c r="E269" s="14" t="n"/>
      <c r="F269" s="8">
        <f>D269+E269</f>
        <v/>
      </c>
      <c r="G269" s="14" t="n"/>
      <c r="H269" s="14" t="n"/>
      <c r="I269" s="8">
        <f>G269+H269</f>
        <v/>
      </c>
      <c r="J269" s="8">
        <f>D269+G269</f>
        <v/>
      </c>
      <c r="K269" s="8">
        <f>E269+H269</f>
        <v/>
      </c>
      <c r="L269" s="8">
        <f>J269+K269</f>
        <v/>
      </c>
      <c r="M269" s="9">
        <f>IF(C269=0,0,L269/C269*100)</f>
        <v/>
      </c>
    </row>
    <row r="270">
      <c r="A270" s="7" t="n">
        <v>11</v>
      </c>
      <c r="B270" s="8">
        <f>B15</f>
        <v/>
      </c>
      <c r="C270" s="8">
        <f>C15</f>
        <v/>
      </c>
      <c r="D270" s="14" t="n"/>
      <c r="E270" s="14" t="n"/>
      <c r="F270" s="8">
        <f>D270+E270</f>
        <v/>
      </c>
      <c r="G270" s="14" t="n"/>
      <c r="H270" s="14" t="n"/>
      <c r="I270" s="8">
        <f>G270+H270</f>
        <v/>
      </c>
      <c r="J270" s="8">
        <f>D270+G270</f>
        <v/>
      </c>
      <c r="K270" s="8">
        <f>E270+H270</f>
        <v/>
      </c>
      <c r="L270" s="8">
        <f>J270+K270</f>
        <v/>
      </c>
      <c r="M270" s="9">
        <f>IF(C270=0,0,L270/C270*100)</f>
        <v/>
      </c>
    </row>
    <row r="271">
      <c r="A271" s="10" t="inlineStr">
        <is>
          <t>Total</t>
        </is>
      </c>
      <c r="B271" s="11">
        <f>SUM(B260:B270)</f>
        <v/>
      </c>
      <c r="C271" s="11">
        <f>SUM(C260:C270)</f>
        <v/>
      </c>
      <c r="D271" s="11">
        <f>SUM(D260:D270)</f>
        <v/>
      </c>
      <c r="E271" s="11">
        <f>SUM(E260:E270)</f>
        <v/>
      </c>
      <c r="F271" s="11">
        <f>D271+E271</f>
        <v/>
      </c>
      <c r="G271" s="11">
        <f>SUM(G260:G270)</f>
        <v/>
      </c>
      <c r="H271" s="11">
        <f>SUM(H260:H270)</f>
        <v/>
      </c>
      <c r="I271" s="11">
        <f>G271+H271</f>
        <v/>
      </c>
      <c r="J271" s="11">
        <f>D271+G271</f>
        <v/>
      </c>
      <c r="K271" s="11">
        <f>E271+H271</f>
        <v/>
      </c>
      <c r="L271" s="11">
        <f>J271+K271</f>
        <v/>
      </c>
      <c r="M271" s="12">
        <f>IF(C271=0,0,L271/C271*100)</f>
        <v/>
      </c>
    </row>
  </sheetData>
  <sheetProtection selectLockedCells="0" selectUnlockedCells="0" sheet="1" objects="0" insertRows="1" insertHyperlinks="1" autoFilter="1" scenarios="0" formatColumns="0" deleteColumns="1" insertColumns="1" pivotTables="1" deleteRows="1" formatCells="0" formatRows="0" sort="1"/>
  <mergeCells count="160">
    <mergeCell ref="B53:B55"/>
    <mergeCell ref="D257:L257"/>
    <mergeCell ref="C257:C259"/>
    <mergeCell ref="L3:L4"/>
    <mergeCell ref="M104:M106"/>
    <mergeCell ref="D70:L70"/>
    <mergeCell ref="J190:K190"/>
    <mergeCell ref="G258:I258"/>
    <mergeCell ref="B257:B259"/>
    <mergeCell ref="A121:A123"/>
    <mergeCell ref="B36:B38"/>
    <mergeCell ref="B189:B191"/>
    <mergeCell ref="D37:F37"/>
    <mergeCell ref="C87:C89"/>
    <mergeCell ref="J207:K207"/>
    <mergeCell ref="G88:I88"/>
    <mergeCell ref="A155:A157"/>
    <mergeCell ref="C155:C157"/>
    <mergeCell ref="L224:L225"/>
    <mergeCell ref="A70:A72"/>
    <mergeCell ref="D207:F207"/>
    <mergeCell ref="G173:I173"/>
    <mergeCell ref="M138:M140"/>
    <mergeCell ref="C206:C208"/>
    <mergeCell ref="B70:B72"/>
    <mergeCell ref="D138:L138"/>
    <mergeCell ref="D190:F190"/>
    <mergeCell ref="D19:L19"/>
    <mergeCell ref="D172:L172"/>
    <mergeCell ref="J139:K139"/>
    <mergeCell ref="A223:A225"/>
    <mergeCell ref="A18:M18"/>
    <mergeCell ref="C223:C225"/>
    <mergeCell ref="J71:K71"/>
    <mergeCell ref="D105:F105"/>
    <mergeCell ref="D36:L36"/>
    <mergeCell ref="G122:I122"/>
    <mergeCell ref="C36:C38"/>
    <mergeCell ref="M189:M191"/>
    <mergeCell ref="D2:L2"/>
    <mergeCell ref="G190:I190"/>
    <mergeCell ref="D189:L189"/>
    <mergeCell ref="A188:M188"/>
    <mergeCell ref="J156:K156"/>
    <mergeCell ref="G37:I37"/>
    <mergeCell ref="A240:A242"/>
    <mergeCell ref="A35:M35"/>
    <mergeCell ref="C240:C242"/>
    <mergeCell ref="J88:K88"/>
    <mergeCell ref="D53:L53"/>
    <mergeCell ref="D206:L206"/>
    <mergeCell ref="D156:F156"/>
    <mergeCell ref="B206:B208"/>
    <mergeCell ref="B138:B140"/>
    <mergeCell ref="M87:M89"/>
    <mergeCell ref="L20:L21"/>
    <mergeCell ref="D3:F3"/>
    <mergeCell ref="M121:M123"/>
    <mergeCell ref="D223:L223"/>
    <mergeCell ref="A138:A140"/>
    <mergeCell ref="G54:I54"/>
    <mergeCell ref="J20:K20"/>
    <mergeCell ref="A172:A174"/>
    <mergeCell ref="C172:C174"/>
    <mergeCell ref="D54:F54"/>
    <mergeCell ref="M257:M259"/>
    <mergeCell ref="C104:C106"/>
    <mergeCell ref="G105:I105"/>
    <mergeCell ref="A137:M137"/>
    <mergeCell ref="M70:M72"/>
    <mergeCell ref="J3:K3"/>
    <mergeCell ref="G71:I71"/>
    <mergeCell ref="L241:L242"/>
    <mergeCell ref="M172:M174"/>
    <mergeCell ref="A154:M154"/>
    <mergeCell ref="A189:A191"/>
    <mergeCell ref="G156:I156"/>
    <mergeCell ref="M36:M38"/>
    <mergeCell ref="B87:B89"/>
    <mergeCell ref="A2:A4"/>
    <mergeCell ref="L71:L72"/>
    <mergeCell ref="M223:M225"/>
    <mergeCell ref="C2:C4"/>
    <mergeCell ref="A171:M171"/>
    <mergeCell ref="G3:I3"/>
    <mergeCell ref="J258:K258"/>
    <mergeCell ref="G139:I139"/>
    <mergeCell ref="A206:A208"/>
    <mergeCell ref="C53:C55"/>
    <mergeCell ref="M206:M208"/>
    <mergeCell ref="D122:F122"/>
    <mergeCell ref="G207:I207"/>
    <mergeCell ref="D71:F71"/>
    <mergeCell ref="M240:M242"/>
    <mergeCell ref="D224:F224"/>
    <mergeCell ref="M19:M21"/>
    <mergeCell ref="G20:I20"/>
    <mergeCell ref="A257:A259"/>
    <mergeCell ref="L156:L157"/>
    <mergeCell ref="B121:B123"/>
    <mergeCell ref="A36:A38"/>
    <mergeCell ref="D173:F173"/>
    <mergeCell ref="A1:M1"/>
    <mergeCell ref="A103:M103"/>
    <mergeCell ref="D241:F241"/>
    <mergeCell ref="B223:B225"/>
    <mergeCell ref="A87:A89"/>
    <mergeCell ref="A256:M256"/>
    <mergeCell ref="B2:B4"/>
    <mergeCell ref="C121:C123"/>
    <mergeCell ref="B155:B157"/>
    <mergeCell ref="D20:F20"/>
    <mergeCell ref="L173:L174"/>
    <mergeCell ref="L105:L106"/>
    <mergeCell ref="L139:L140"/>
    <mergeCell ref="A120:M120"/>
    <mergeCell ref="G241:I241"/>
    <mergeCell ref="B240:B242"/>
    <mergeCell ref="A104:A106"/>
    <mergeCell ref="B19:B21"/>
    <mergeCell ref="D104:L104"/>
    <mergeCell ref="C70:C72"/>
    <mergeCell ref="J122:K122"/>
    <mergeCell ref="J224:K224"/>
    <mergeCell ref="L258:L259"/>
    <mergeCell ref="C138:C140"/>
    <mergeCell ref="J37:K37"/>
    <mergeCell ref="L37:L38"/>
    <mergeCell ref="A52:M52"/>
    <mergeCell ref="D87:L87"/>
    <mergeCell ref="A53:A55"/>
    <mergeCell ref="J241:K241"/>
    <mergeCell ref="M53:M55"/>
    <mergeCell ref="L122:L123"/>
    <mergeCell ref="B104:B106"/>
    <mergeCell ref="A19:A21"/>
    <mergeCell ref="L88:L89"/>
    <mergeCell ref="C19:C21"/>
    <mergeCell ref="C189:C191"/>
    <mergeCell ref="M155:M157"/>
    <mergeCell ref="L54:L55"/>
    <mergeCell ref="D121:L121"/>
    <mergeCell ref="A222:M222"/>
    <mergeCell ref="D240:L240"/>
    <mergeCell ref="J54:K54"/>
    <mergeCell ref="D88:F88"/>
    <mergeCell ref="A69:M69"/>
    <mergeCell ref="M2:M4"/>
    <mergeCell ref="J173:K173"/>
    <mergeCell ref="A205:M205"/>
    <mergeCell ref="L207:L208"/>
    <mergeCell ref="J105:K105"/>
    <mergeCell ref="A239:M239"/>
    <mergeCell ref="B172:B174"/>
    <mergeCell ref="D155:L155"/>
    <mergeCell ref="D258:F258"/>
    <mergeCell ref="A86:M86"/>
    <mergeCell ref="D139:F139"/>
    <mergeCell ref="G224:I224"/>
    <mergeCell ref="L190:L191"/>
  </mergeCells>
  <dataValidations count="1">
    <dataValidation sqref="D22 D23 D24 D25 D26 D27 D28 D29 D30 D31 D32 D39 D40 D41 D42 D43 D44 D45 D46 D47 D48 D49 D56 D57 D58 D59 D60 D61 D62 D63 D64 D65 D66 D73 D74 D75 D76 D77 D78 D79 D80 D81 D82 D83 D90 D91 D92 D93 D94 D95 D96 D97 D98 D99 D100 D107 D108 D109 D110 D111 D112 D113 D114 D115 D116 D117 D124 D125 D126 D127 D128 D129 D130 D131 D132 D133 D134 D141 D142 D143 D144 D145 D146 D147 D148 D149 D150 D151 D158 D159 D160 D161 D162 D163 D164 D165 D166 D167 D168 D175 D176 D177 D178 D179 D180 D181 D182 D183 D184 D185 D192 D193 D194 D195 D196 D197 D198 D199 D200 D201 D202 D209 D210 D211 D212 D213 D214 D215 D216 D217 D218 D219 D226 D227 D228 D229 D230 D231 D232 D233 D234 D235 D236 D243 D244 D245 D246 D247 D248 D249 D250 D251 D252 D253 D260 D261 D262 D263 D264 D265 D266 D267 D268 D269 D270 E22 E23 E24 E25 E26 E27 E28 E29 E30 E31 E32 E39 E40 E41 E42 E43 E44 E45 E46 E47 E48 E49 E56 E57 E58 E59 E60 E61 E62 E63 E64 E65 E66 E73 E74 E75 E76 E77 E78 E79 E80 E81 E82 E83 E90 E91 E92 E93 E94 E95 E96 E97 E98 E99 E100 E107 E108 E109 E110 E111 E112 E113 E114 E115 E116 E117 E124 E125 E126 E127 E128 E129 E130 E131 E132 E133 E134 E141 E142 E143 E144 E145 E146 E147 E148 E149 E150 E151 E158 E159 E160 E161 E162 E163 E164 E165 E166 E167 E168 E175 E176 E177 E178 E179 E180 E181 E182 E183 E184 E185 E192 E193 E194 E195 E196 E197 E198 E199 E200 E201 E202 E209 E210 E211 E212 E213 E214 E215 E216 E217 E218 E219 E226 E227 E228 E229 E230 E231 E232 E233 E234 E235 E236 E243 E244 E245 E246 E247 E248 E249 E250 E251 E252 E253 E260 E261 E262 E263 E264 E265 E266 E267 E268 E269 E270 G22 G23 G24 G25 G26 G27 G28 G29 G30 G31 G32 G39 G40 G41 G42 G43 G44 G45 G46 G47 G48 G49 G56 G57 G58 G59 G60 G61 G62 G63 G64 G65 G66 G73 G74 G75 G76 G77 G78 G79 G80 G81 G82 G83 G90 G91 G92 G93 G94 G95 G96 G97 G98 G99 G100 G107 G108 G109 G110 G111 G112 G113 G114 G115 G116 G117 G124 G125 G126 G127 G128 G129 G130 G131 G132 G133 G134 G141 G142 G143 G144 G145 G146 G147 G148 G149 G150 G151 G158 G159 G160 G161 G162 G163 G164 G165 G166 G167 G168 G175 G176 G177 G178 G179 G180 G181 G182 G183 G184 G185 G192 G193 G194 G195 G196 G197 G198 G199 G200 G201 G202 G209 G210 G211 G212 G213 G214 G215 G216 G217 G218 G219 G226 G227 G228 G229 G230 G231 G232 G233 G234 G235 G236 G243 G244 G245 G246 G247 G248 G249 G250 G251 G252 G253 G260 G261 G262 G263 G264 G265 G266 G267 G268 G269 G270 H22 H23 H24 H25 H26 H27 H28 H29 H30 H31 H32 H39 H40 H41 H42 H43 H44 H45 H46 H47 H48 H49 H56 H57 H58 H59 H60 H61 H62 H63 H64 H65 H66 H73 H74 H75 H76 H77 H78 H79 H80 H81 H82 H83 H90 H91 H92 H93 H94 H95 H96 H97 H98 H99 H100 H107 H108 H109 H110 H111 H112 H113 H114 H115 H116 H117 H124 H125 H126 H127 H128 H129 H130 H131 H132 H133 H134 H141 H142 H143 H144 H145 H146 H147 H148 H149 H150 H151 H158 H159 H160 H161 H162 H163 H164 H165 H166 H167 H168 H175 H176 H177 H178 H179 H180 H181 H182 H183 H184 H185 H192 H193 H194 H195 H196 H197 H198 H199 H200 H201 H202 H209 H210 H211 H212 H213 H214 H215 H216 H217 H218 H219 H226 H227 H228 H229 H230 H231 H232 H233 H234 H235 H236 H243 H244 H245 H246 H247 H248 H249 H250 H251 H252 H253 H260 H261 H262 H263 H264 H265 H266 H267 H268 H269 H270" showDropDown="0" showInputMessage="0" showErrorMessage="1" allowBlank="0" errorTitle="Whole number only" error="Enter a whole number of 0 or more." type="whole" operator="greaterThanOrEqual">
      <formula1>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39"/>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13"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10" customWidth="1" min="12" max="12"/>
    <col width="9" customWidth="1" min="13" max="13"/>
  </cols>
  <sheetData>
    <row r="1">
      <c r="A1" s="5" t="inlineStr">
        <is>
          <t>Kankai Municipality - Campaign Total (5-19 Oct 2026)</t>
        </is>
      </c>
    </row>
    <row r="2">
      <c r="A2" s="6" t="inlineStr">
        <is>
          <t>Ward no.</t>
        </is>
      </c>
      <c r="B2" s="6" t="inlineStr">
        <is>
          <t>Total population</t>
        </is>
      </c>
      <c r="C2" s="6" t="inlineStr">
        <is>
          <t>JE target population</t>
        </is>
      </c>
      <c r="D2" s="6" t="inlineStr">
        <is>
          <t>Vaccinated</t>
        </is>
      </c>
      <c r="E2" s="6" t="n"/>
      <c r="F2" s="6" t="n"/>
      <c r="G2" s="6" t="n"/>
      <c r="H2" s="6" t="n"/>
      <c r="I2" s="6" t="n"/>
      <c r="J2" s="6" t="n"/>
      <c r="K2" s="6" t="n"/>
      <c r="L2" s="6" t="n"/>
      <c r="M2" s="6" t="inlineStr">
        <is>
          <t>Progress %</t>
        </is>
      </c>
    </row>
    <row r="3">
      <c r="A3" s="6" t="n"/>
      <c r="B3" s="6" t="n"/>
      <c r="C3" s="6" t="n"/>
      <c r="D3" s="6" t="inlineStr">
        <is>
          <t>Age 30-60 yrs</t>
        </is>
      </c>
      <c r="E3" s="6" t="n"/>
      <c r="F3" s="6" t="n"/>
      <c r="G3" s="6" t="inlineStr">
        <is>
          <t>Age 60 above</t>
        </is>
      </c>
      <c r="H3" s="6" t="n"/>
      <c r="I3" s="6" t="n"/>
      <c r="J3" s="6" t="inlineStr">
        <is>
          <t>Total</t>
        </is>
      </c>
      <c r="K3" s="6" t="n"/>
      <c r="L3" s="6" t="inlineStr">
        <is>
          <t>Grand Total</t>
        </is>
      </c>
      <c r="M3" s="6" t="n"/>
    </row>
    <row r="4">
      <c r="A4" s="6" t="n"/>
      <c r="B4" s="6" t="n"/>
      <c r="C4" s="6" t="n"/>
      <c r="D4" s="6" t="inlineStr">
        <is>
          <t>F</t>
        </is>
      </c>
      <c r="E4" s="6" t="inlineStr">
        <is>
          <t>M</t>
        </is>
      </c>
      <c r="F4" s="6" t="inlineStr">
        <is>
          <t>Total</t>
        </is>
      </c>
      <c r="G4" s="6" t="inlineStr">
        <is>
          <t>F</t>
        </is>
      </c>
      <c r="H4" s="6" t="inlineStr">
        <is>
          <t>M</t>
        </is>
      </c>
      <c r="I4" s="6" t="inlineStr">
        <is>
          <t>Total</t>
        </is>
      </c>
      <c r="J4" s="6" t="inlineStr">
        <is>
          <t>F</t>
        </is>
      </c>
      <c r="K4" s="6" t="inlineStr">
        <is>
          <t>M</t>
        </is>
      </c>
      <c r="L4" s="6" t="n"/>
      <c r="M4" s="6" t="n"/>
    </row>
    <row r="5">
      <c r="A5" s="7" t="n">
        <v>1</v>
      </c>
      <c r="B5" s="8" t="n">
        <v>5097</v>
      </c>
      <c r="C5" s="8" t="n">
        <v>2446.56</v>
      </c>
      <c r="D5" s="8">
        <f>D20+D35+D50+D65+D80+D95+D110+D125+D140+D155+D170+D185+D200+D215+D230</f>
        <v/>
      </c>
      <c r="E5" s="8">
        <f>E20+E35+E50+E65+E80+E95+E110+E125+E140+E155+E170+E185+E200+E215+E230</f>
        <v/>
      </c>
      <c r="F5" s="8">
        <f>D5+E5</f>
        <v/>
      </c>
      <c r="G5" s="8">
        <f>G20+G35+G50+G65+G80+G95+G110+G125+G140+G155+G170+G185+G200+G215+G230</f>
        <v/>
      </c>
      <c r="H5" s="8">
        <f>H20+H35+H50+H65+H80+H95+H110+H125+H140+H155+H170+H185+H200+H215+H230</f>
        <v/>
      </c>
      <c r="I5" s="8">
        <f>G5+H5</f>
        <v/>
      </c>
      <c r="J5" s="8">
        <f>D5+G5</f>
        <v/>
      </c>
      <c r="K5" s="8">
        <f>E5+H5</f>
        <v/>
      </c>
      <c r="L5" s="8">
        <f>J5+K5</f>
        <v/>
      </c>
      <c r="M5" s="9">
        <f>IF(C5=0,0,L5/C5*100)</f>
        <v/>
      </c>
    </row>
    <row r="6">
      <c r="A6" s="7" t="n">
        <v>2</v>
      </c>
      <c r="B6" s="8" t="n">
        <v>5126</v>
      </c>
      <c r="C6" s="8" t="n">
        <v>2460.48</v>
      </c>
      <c r="D6" s="8">
        <f>D21+D36+D51+D66+D81+D96+D111+D126+D141+D156+D171+D186+D201+D216+D231</f>
        <v/>
      </c>
      <c r="E6" s="8">
        <f>E21+E36+E51+E66+E81+E96+E111+E126+E141+E156+E171+E186+E201+E216+E231</f>
        <v/>
      </c>
      <c r="F6" s="8">
        <f>D6+E6</f>
        <v/>
      </c>
      <c r="G6" s="8">
        <f>G21+G36+G51+G66+G81+G96+G111+G126+G141+G156+G171+G186+G201+G216+G231</f>
        <v/>
      </c>
      <c r="H6" s="8">
        <f>H21+H36+H51+H66+H81+H96+H111+H126+H141+H156+H171+H186+H201+H216+H231</f>
        <v/>
      </c>
      <c r="I6" s="8">
        <f>G6+H6</f>
        <v/>
      </c>
      <c r="J6" s="8">
        <f>D6+G6</f>
        <v/>
      </c>
      <c r="K6" s="8">
        <f>E6+H6</f>
        <v/>
      </c>
      <c r="L6" s="8">
        <f>J6+K6</f>
        <v/>
      </c>
      <c r="M6" s="9">
        <f>IF(C6=0,0,L6/C6*100)</f>
        <v/>
      </c>
    </row>
    <row r="7">
      <c r="A7" s="7" t="n">
        <v>3</v>
      </c>
      <c r="B7" s="8" t="n">
        <v>13610</v>
      </c>
      <c r="C7" s="8" t="n">
        <v>6532.8</v>
      </c>
      <c r="D7" s="8">
        <f>D22+D37+D52+D67+D82+D97+D112+D127+D142+D157+D172+D187+D202+D217+D232</f>
        <v/>
      </c>
      <c r="E7" s="8">
        <f>E22+E37+E52+E67+E82+E97+E112+E127+E142+E157+E172+E187+E202+E217+E232</f>
        <v/>
      </c>
      <c r="F7" s="8">
        <f>D7+E7</f>
        <v/>
      </c>
      <c r="G7" s="8">
        <f>G22+G37+G52+G67+G82+G97+G112+G127+G142+G157+G172+G187+G202+G217+G232</f>
        <v/>
      </c>
      <c r="H7" s="8">
        <f>H22+H37+H52+H67+H82+H97+H112+H127+H142+H157+H172+H187+H202+H217+H232</f>
        <v/>
      </c>
      <c r="I7" s="8">
        <f>G7+H7</f>
        <v/>
      </c>
      <c r="J7" s="8">
        <f>D7+G7</f>
        <v/>
      </c>
      <c r="K7" s="8">
        <f>E7+H7</f>
        <v/>
      </c>
      <c r="L7" s="8">
        <f>J7+K7</f>
        <v/>
      </c>
      <c r="M7" s="9">
        <f>IF(C7=0,0,L7/C7*100)</f>
        <v/>
      </c>
    </row>
    <row r="8">
      <c r="A8" s="7" t="n">
        <v>4</v>
      </c>
      <c r="B8" s="8" t="n">
        <v>7634</v>
      </c>
      <c r="C8" s="8" t="n">
        <v>3664.32</v>
      </c>
      <c r="D8" s="8">
        <f>D23+D38+D53+D68+D83+D98+D113+D128+D143+D158+D173+D188+D203+D218+D233</f>
        <v/>
      </c>
      <c r="E8" s="8">
        <f>E23+E38+E53+E68+E83+E98+E113+E128+E143+E158+E173+E188+E203+E218+E233</f>
        <v/>
      </c>
      <c r="F8" s="8">
        <f>D8+E8</f>
        <v/>
      </c>
      <c r="G8" s="8">
        <f>G23+G38+G53+G68+G83+G98+G113+G128+G143+G158+G173+G188+G203+G218+G233</f>
        <v/>
      </c>
      <c r="H8" s="8">
        <f>H23+H38+H53+H68+H83+H98+H113+H128+H143+H158+H173+H188+H203+H218+H233</f>
        <v/>
      </c>
      <c r="I8" s="8">
        <f>G8+H8</f>
        <v/>
      </c>
      <c r="J8" s="8">
        <f>D8+G8</f>
        <v/>
      </c>
      <c r="K8" s="8">
        <f>E8+H8</f>
        <v/>
      </c>
      <c r="L8" s="8">
        <f>J8+K8</f>
        <v/>
      </c>
      <c r="M8" s="9">
        <f>IF(C8=0,0,L8/C8*100)</f>
        <v/>
      </c>
    </row>
    <row r="9">
      <c r="A9" s="7" t="n">
        <v>5</v>
      </c>
      <c r="B9" s="8" t="n">
        <v>6548</v>
      </c>
      <c r="C9" s="8" t="n">
        <v>3143.04</v>
      </c>
      <c r="D9" s="8">
        <f>D24+D39+D54+D69+D84+D99+D114+D129+D144+D159+D174+D189+D204+D219+D234</f>
        <v/>
      </c>
      <c r="E9" s="8">
        <f>E24+E39+E54+E69+E84+E99+E114+E129+E144+E159+E174+E189+E204+E219+E234</f>
        <v/>
      </c>
      <c r="F9" s="8">
        <f>D9+E9</f>
        <v/>
      </c>
      <c r="G9" s="8">
        <f>G24+G39+G54+G69+G84+G99+G114+G129+G144+G159+G174+G189+G204+G219+G234</f>
        <v/>
      </c>
      <c r="H9" s="8">
        <f>H24+H39+H54+H69+H84+H99+H114+H129+H144+H159+H174+H189+H204+H219+H234</f>
        <v/>
      </c>
      <c r="I9" s="8">
        <f>G9+H9</f>
        <v/>
      </c>
      <c r="J9" s="8">
        <f>D9+G9</f>
        <v/>
      </c>
      <c r="K9" s="8">
        <f>E9+H9</f>
        <v/>
      </c>
      <c r="L9" s="8">
        <f>J9+K9</f>
        <v/>
      </c>
      <c r="M9" s="9">
        <f>IF(C9=0,0,L9/C9*100)</f>
        <v/>
      </c>
    </row>
    <row r="10">
      <c r="A10" s="7" t="n">
        <v>6</v>
      </c>
      <c r="B10" s="8" t="n">
        <v>2725</v>
      </c>
      <c r="C10" s="8" t="n">
        <v>1308</v>
      </c>
      <c r="D10" s="8">
        <f>D25+D40+D55+D70+D85+D100+D115+D130+D145+D160+D175+D190+D205+D220+D235</f>
        <v/>
      </c>
      <c r="E10" s="8">
        <f>E25+E40+E55+E70+E85+E100+E115+E130+E145+E160+E175+E190+E205+E220+E235</f>
        <v/>
      </c>
      <c r="F10" s="8">
        <f>D10+E10</f>
        <v/>
      </c>
      <c r="G10" s="8">
        <f>G25+G40+G55+G70+G85+G100+G115+G130+G145+G160+G175+G190+G205+G220+G235</f>
        <v/>
      </c>
      <c r="H10" s="8">
        <f>H25+H40+H55+H70+H85+H100+H115+H130+H145+H160+H175+H190+H205+H220+H235</f>
        <v/>
      </c>
      <c r="I10" s="8">
        <f>G10+H10</f>
        <v/>
      </c>
      <c r="J10" s="8">
        <f>D10+G10</f>
        <v/>
      </c>
      <c r="K10" s="8">
        <f>E10+H10</f>
        <v/>
      </c>
      <c r="L10" s="8">
        <f>J10+K10</f>
        <v/>
      </c>
      <c r="M10" s="9">
        <f>IF(C10=0,0,L10/C10*100)</f>
        <v/>
      </c>
    </row>
    <row r="11">
      <c r="A11" s="7" t="n">
        <v>7</v>
      </c>
      <c r="B11" s="8" t="n">
        <v>4662</v>
      </c>
      <c r="C11" s="8" t="n">
        <v>2237.76</v>
      </c>
      <c r="D11" s="8">
        <f>D26+D41+D56+D71+D86+D101+D116+D131+D146+D161+D176+D191+D206+D221+D236</f>
        <v/>
      </c>
      <c r="E11" s="8">
        <f>E26+E41+E56+E71+E86+E101+E116+E131+E146+E161+E176+E191+E206+E221+E236</f>
        <v/>
      </c>
      <c r="F11" s="8">
        <f>D11+E11</f>
        <v/>
      </c>
      <c r="G11" s="8">
        <f>G26+G41+G56+G71+G86+G101+G116+G131+G146+G161+G176+G191+G206+G221+G236</f>
        <v/>
      </c>
      <c r="H11" s="8">
        <f>H26+H41+H56+H71+H86+H101+H116+H131+H146+H161+H176+H191+H206+H221+H236</f>
        <v/>
      </c>
      <c r="I11" s="8">
        <f>G11+H11</f>
        <v/>
      </c>
      <c r="J11" s="8">
        <f>D11+G11</f>
        <v/>
      </c>
      <c r="K11" s="8">
        <f>E11+H11</f>
        <v/>
      </c>
      <c r="L11" s="8">
        <f>J11+K11</f>
        <v/>
      </c>
      <c r="M11" s="9">
        <f>IF(C11=0,0,L11/C11*100)</f>
        <v/>
      </c>
    </row>
    <row r="12">
      <c r="A12" s="7" t="n">
        <v>8</v>
      </c>
      <c r="B12" s="8" t="n">
        <v>5552</v>
      </c>
      <c r="C12" s="8" t="n">
        <v>2664.96</v>
      </c>
      <c r="D12" s="8">
        <f>D27+D42+D57+D72+D87+D102+D117+D132+D147+D162+D177+D192+D207+D222+D237</f>
        <v/>
      </c>
      <c r="E12" s="8">
        <f>E27+E42+E57+E72+E87+E102+E117+E132+E147+E162+E177+E192+E207+E222+E237</f>
        <v/>
      </c>
      <c r="F12" s="8">
        <f>D12+E12</f>
        <v/>
      </c>
      <c r="G12" s="8">
        <f>G27+G42+G57+G72+G87+G102+G117+G132+G147+G162+G177+G192+G207+G222+G237</f>
        <v/>
      </c>
      <c r="H12" s="8">
        <f>H27+H42+H57+H72+H87+H102+H117+H132+H147+H162+H177+H192+H207+H222+H237</f>
        <v/>
      </c>
      <c r="I12" s="8">
        <f>G12+H12</f>
        <v/>
      </c>
      <c r="J12" s="8">
        <f>D12+G12</f>
        <v/>
      </c>
      <c r="K12" s="8">
        <f>E12+H12</f>
        <v/>
      </c>
      <c r="L12" s="8">
        <f>J12+K12</f>
        <v/>
      </c>
      <c r="M12" s="9">
        <f>IF(C12=0,0,L12/C12*100)</f>
        <v/>
      </c>
    </row>
    <row r="13">
      <c r="A13" s="7" t="n">
        <v>9</v>
      </c>
      <c r="B13" s="8" t="n">
        <v>3727</v>
      </c>
      <c r="C13" s="8" t="n">
        <v>1788.96</v>
      </c>
      <c r="D13" s="8">
        <f>D28+D43+D58+D73+D88+D103+D118+D133+D148+D163+D178+D193+D208+D223+D238</f>
        <v/>
      </c>
      <c r="E13" s="8">
        <f>E28+E43+E58+E73+E88+E103+E118+E133+E148+E163+E178+E193+E208+E223+E238</f>
        <v/>
      </c>
      <c r="F13" s="8">
        <f>D13+E13</f>
        <v/>
      </c>
      <c r="G13" s="8">
        <f>G28+G43+G58+G73+G88+G103+G118+G133+G148+G163+G178+G193+G208+G223+G238</f>
        <v/>
      </c>
      <c r="H13" s="8">
        <f>H28+H43+H58+H73+H88+H103+H118+H133+H148+H163+H178+H193+H208+H223+H238</f>
        <v/>
      </c>
      <c r="I13" s="8">
        <f>G13+H13</f>
        <v/>
      </c>
      <c r="J13" s="8">
        <f>D13+G13</f>
        <v/>
      </c>
      <c r="K13" s="8">
        <f>E13+H13</f>
        <v/>
      </c>
      <c r="L13" s="8">
        <f>J13+K13</f>
        <v/>
      </c>
      <c r="M13" s="9">
        <f>IF(C13=0,0,L13/C13*100)</f>
        <v/>
      </c>
    </row>
    <row r="14">
      <c r="A14" s="10" t="inlineStr">
        <is>
          <t>Total</t>
        </is>
      </c>
      <c r="B14" s="11">
        <f>SUM(B5:B13)</f>
        <v/>
      </c>
      <c r="C14" s="11">
        <f>SUM(C5:C13)</f>
        <v/>
      </c>
      <c r="D14" s="11">
        <f>SUM(D5:D13)</f>
        <v/>
      </c>
      <c r="E14" s="11">
        <f>SUM(E5:E13)</f>
        <v/>
      </c>
      <c r="F14" s="11">
        <f>D14+E14</f>
        <v/>
      </c>
      <c r="G14" s="11">
        <f>SUM(G5:G13)</f>
        <v/>
      </c>
      <c r="H14" s="11">
        <f>SUM(H5:H13)</f>
        <v/>
      </c>
      <c r="I14" s="11">
        <f>G14+H14</f>
        <v/>
      </c>
      <c r="J14" s="11">
        <f>D14+G14</f>
        <v/>
      </c>
      <c r="K14" s="11">
        <f>E14+H14</f>
        <v/>
      </c>
      <c r="L14" s="11">
        <f>J14+K14</f>
        <v/>
      </c>
      <c r="M14" s="12">
        <f>IF(C14=0,0,L14/C14*100)</f>
        <v/>
      </c>
    </row>
    <row r="16">
      <c r="A16" s="13" t="inlineStr">
        <is>
          <t>Day 1 - 2026-10-05 (Mon 19 Aswin 2083)</t>
        </is>
      </c>
    </row>
    <row r="17">
      <c r="A17" s="6" t="inlineStr">
        <is>
          <t>Ward no.</t>
        </is>
      </c>
      <c r="B17" s="6" t="inlineStr">
        <is>
          <t>Total population</t>
        </is>
      </c>
      <c r="C17" s="6" t="inlineStr">
        <is>
          <t>JE target population</t>
        </is>
      </c>
      <c r="D17" s="6" t="inlineStr">
        <is>
          <t>Vaccinated</t>
        </is>
      </c>
      <c r="E17" s="6" t="n"/>
      <c r="F17" s="6" t="n"/>
      <c r="G17" s="6" t="n"/>
      <c r="H17" s="6" t="n"/>
      <c r="I17" s="6" t="n"/>
      <c r="J17" s="6" t="n"/>
      <c r="K17" s="6" t="n"/>
      <c r="L17" s="6" t="n"/>
      <c r="M17" s="6" t="inlineStr">
        <is>
          <t>Progress %</t>
        </is>
      </c>
    </row>
    <row r="18">
      <c r="A18" s="6" t="n"/>
      <c r="B18" s="6" t="n"/>
      <c r="C18" s="6" t="n"/>
      <c r="D18" s="6" t="inlineStr">
        <is>
          <t>Age 30-60 yrs</t>
        </is>
      </c>
      <c r="E18" s="6" t="n"/>
      <c r="F18" s="6" t="n"/>
      <c r="G18" s="6" t="inlineStr">
        <is>
          <t>Age 60 above</t>
        </is>
      </c>
      <c r="H18" s="6" t="n"/>
      <c r="I18" s="6" t="n"/>
      <c r="J18" s="6" t="inlineStr">
        <is>
          <t>Total</t>
        </is>
      </c>
      <c r="K18" s="6" t="n"/>
      <c r="L18" s="6" t="inlineStr">
        <is>
          <t>Grand Total</t>
        </is>
      </c>
      <c r="M18" s="6" t="n"/>
    </row>
    <row r="19">
      <c r="A19" s="6" t="n"/>
      <c r="B19" s="6" t="n"/>
      <c r="C19" s="6" t="n"/>
      <c r="D19" s="6" t="inlineStr">
        <is>
          <t>F</t>
        </is>
      </c>
      <c r="E19" s="6" t="inlineStr">
        <is>
          <t>M</t>
        </is>
      </c>
      <c r="F19" s="6" t="inlineStr">
        <is>
          <t>Total</t>
        </is>
      </c>
      <c r="G19" s="6" t="inlineStr">
        <is>
          <t>F</t>
        </is>
      </c>
      <c r="H19" s="6" t="inlineStr">
        <is>
          <t>M</t>
        </is>
      </c>
      <c r="I19" s="6" t="inlineStr">
        <is>
          <t>Total</t>
        </is>
      </c>
      <c r="J19" s="6" t="inlineStr">
        <is>
          <t>F</t>
        </is>
      </c>
      <c r="K19" s="6" t="inlineStr">
        <is>
          <t>M</t>
        </is>
      </c>
      <c r="L19" s="6" t="n"/>
      <c r="M19" s="6" t="n"/>
    </row>
    <row r="20">
      <c r="A20" s="7" t="n">
        <v>1</v>
      </c>
      <c r="B20" s="8">
        <f>B5</f>
        <v/>
      </c>
      <c r="C20" s="8">
        <f>C5</f>
        <v/>
      </c>
      <c r="D20" s="14" t="n"/>
      <c r="E20" s="14" t="n"/>
      <c r="F20" s="8">
        <f>D20+E20</f>
        <v/>
      </c>
      <c r="G20" s="14" t="n"/>
      <c r="H20" s="14" t="n"/>
      <c r="I20" s="8">
        <f>G20+H20</f>
        <v/>
      </c>
      <c r="J20" s="8">
        <f>D20+G20</f>
        <v/>
      </c>
      <c r="K20" s="8">
        <f>E20+H20</f>
        <v/>
      </c>
      <c r="L20" s="8">
        <f>J20+K20</f>
        <v/>
      </c>
      <c r="M20" s="9">
        <f>IF(C20=0,0,L20/C20*100)</f>
        <v/>
      </c>
    </row>
    <row r="21">
      <c r="A21" s="7" t="n">
        <v>2</v>
      </c>
      <c r="B21" s="8">
        <f>B6</f>
        <v/>
      </c>
      <c r="C21" s="8">
        <f>C6</f>
        <v/>
      </c>
      <c r="D21" s="14" t="n"/>
      <c r="E21" s="14" t="n"/>
      <c r="F21" s="8">
        <f>D21+E21</f>
        <v/>
      </c>
      <c r="G21" s="14" t="n"/>
      <c r="H21" s="14" t="n"/>
      <c r="I21" s="8">
        <f>G21+H21</f>
        <v/>
      </c>
      <c r="J21" s="8">
        <f>D21+G21</f>
        <v/>
      </c>
      <c r="K21" s="8">
        <f>E21+H21</f>
        <v/>
      </c>
      <c r="L21" s="8">
        <f>J21+K21</f>
        <v/>
      </c>
      <c r="M21" s="9">
        <f>IF(C21=0,0,L21/C21*100)</f>
        <v/>
      </c>
    </row>
    <row r="22">
      <c r="A22" s="7" t="n">
        <v>3</v>
      </c>
      <c r="B22" s="8">
        <f>B7</f>
        <v/>
      </c>
      <c r="C22" s="8">
        <f>C7</f>
        <v/>
      </c>
      <c r="D22" s="14" t="n"/>
      <c r="E22" s="14" t="n"/>
      <c r="F22" s="8">
        <f>D22+E22</f>
        <v/>
      </c>
      <c r="G22" s="14" t="n"/>
      <c r="H22" s="14" t="n"/>
      <c r="I22" s="8">
        <f>G22+H22</f>
        <v/>
      </c>
      <c r="J22" s="8">
        <f>D22+G22</f>
        <v/>
      </c>
      <c r="K22" s="8">
        <f>E22+H22</f>
        <v/>
      </c>
      <c r="L22" s="8">
        <f>J22+K22</f>
        <v/>
      </c>
      <c r="M22" s="9">
        <f>IF(C22=0,0,L22/C22*100)</f>
        <v/>
      </c>
    </row>
    <row r="23">
      <c r="A23" s="7" t="n">
        <v>4</v>
      </c>
      <c r="B23" s="8">
        <f>B8</f>
        <v/>
      </c>
      <c r="C23" s="8">
        <f>C8</f>
        <v/>
      </c>
      <c r="D23" s="14" t="n"/>
      <c r="E23" s="14" t="n"/>
      <c r="F23" s="8">
        <f>D23+E23</f>
        <v/>
      </c>
      <c r="G23" s="14" t="n"/>
      <c r="H23" s="14" t="n"/>
      <c r="I23" s="8">
        <f>G23+H23</f>
        <v/>
      </c>
      <c r="J23" s="8">
        <f>D23+G23</f>
        <v/>
      </c>
      <c r="K23" s="8">
        <f>E23+H23</f>
        <v/>
      </c>
      <c r="L23" s="8">
        <f>J23+K23</f>
        <v/>
      </c>
      <c r="M23" s="9">
        <f>IF(C23=0,0,L23/C23*100)</f>
        <v/>
      </c>
    </row>
    <row r="24">
      <c r="A24" s="7" t="n">
        <v>5</v>
      </c>
      <c r="B24" s="8">
        <f>B9</f>
        <v/>
      </c>
      <c r="C24" s="8">
        <f>C9</f>
        <v/>
      </c>
      <c r="D24" s="14" t="n"/>
      <c r="E24" s="14" t="n"/>
      <c r="F24" s="8">
        <f>D24+E24</f>
        <v/>
      </c>
      <c r="G24" s="14" t="n"/>
      <c r="H24" s="14" t="n"/>
      <c r="I24" s="8">
        <f>G24+H24</f>
        <v/>
      </c>
      <c r="J24" s="8">
        <f>D24+G24</f>
        <v/>
      </c>
      <c r="K24" s="8">
        <f>E24+H24</f>
        <v/>
      </c>
      <c r="L24" s="8">
        <f>J24+K24</f>
        <v/>
      </c>
      <c r="M24" s="9">
        <f>IF(C24=0,0,L24/C24*100)</f>
        <v/>
      </c>
    </row>
    <row r="25">
      <c r="A25" s="7" t="n">
        <v>6</v>
      </c>
      <c r="B25" s="8">
        <f>B10</f>
        <v/>
      </c>
      <c r="C25" s="8">
        <f>C10</f>
        <v/>
      </c>
      <c r="D25" s="14" t="n"/>
      <c r="E25" s="14" t="n"/>
      <c r="F25" s="8">
        <f>D25+E25</f>
        <v/>
      </c>
      <c r="G25" s="14" t="n"/>
      <c r="H25" s="14" t="n"/>
      <c r="I25" s="8">
        <f>G25+H25</f>
        <v/>
      </c>
      <c r="J25" s="8">
        <f>D25+G25</f>
        <v/>
      </c>
      <c r="K25" s="8">
        <f>E25+H25</f>
        <v/>
      </c>
      <c r="L25" s="8">
        <f>J25+K25</f>
        <v/>
      </c>
      <c r="M25" s="9">
        <f>IF(C25=0,0,L25/C25*100)</f>
        <v/>
      </c>
    </row>
    <row r="26">
      <c r="A26" s="7" t="n">
        <v>7</v>
      </c>
      <c r="B26" s="8">
        <f>B11</f>
        <v/>
      </c>
      <c r="C26" s="8">
        <f>C11</f>
        <v/>
      </c>
      <c r="D26" s="14" t="n"/>
      <c r="E26" s="14" t="n"/>
      <c r="F26" s="8">
        <f>D26+E26</f>
        <v/>
      </c>
      <c r="G26" s="14" t="n"/>
      <c r="H26" s="14" t="n"/>
      <c r="I26" s="8">
        <f>G26+H26</f>
        <v/>
      </c>
      <c r="J26" s="8">
        <f>D26+G26</f>
        <v/>
      </c>
      <c r="K26" s="8">
        <f>E26+H26</f>
        <v/>
      </c>
      <c r="L26" s="8">
        <f>J26+K26</f>
        <v/>
      </c>
      <c r="M26" s="9">
        <f>IF(C26=0,0,L26/C26*100)</f>
        <v/>
      </c>
    </row>
    <row r="27">
      <c r="A27" s="7" t="n">
        <v>8</v>
      </c>
      <c r="B27" s="8">
        <f>B12</f>
        <v/>
      </c>
      <c r="C27" s="8">
        <f>C12</f>
        <v/>
      </c>
      <c r="D27" s="14" t="n"/>
      <c r="E27" s="14" t="n"/>
      <c r="F27" s="8">
        <f>D27+E27</f>
        <v/>
      </c>
      <c r="G27" s="14" t="n"/>
      <c r="H27" s="14" t="n"/>
      <c r="I27" s="8">
        <f>G27+H27</f>
        <v/>
      </c>
      <c r="J27" s="8">
        <f>D27+G27</f>
        <v/>
      </c>
      <c r="K27" s="8">
        <f>E27+H27</f>
        <v/>
      </c>
      <c r="L27" s="8">
        <f>J27+K27</f>
        <v/>
      </c>
      <c r="M27" s="9">
        <f>IF(C27=0,0,L27/C27*100)</f>
        <v/>
      </c>
    </row>
    <row r="28">
      <c r="A28" s="7" t="n">
        <v>9</v>
      </c>
      <c r="B28" s="8">
        <f>B13</f>
        <v/>
      </c>
      <c r="C28" s="8">
        <f>C13</f>
        <v/>
      </c>
      <c r="D28" s="14" t="n"/>
      <c r="E28" s="14" t="n"/>
      <c r="F28" s="8">
        <f>D28+E28</f>
        <v/>
      </c>
      <c r="G28" s="14" t="n"/>
      <c r="H28" s="14" t="n"/>
      <c r="I28" s="8">
        <f>G28+H28</f>
        <v/>
      </c>
      <c r="J28" s="8">
        <f>D28+G28</f>
        <v/>
      </c>
      <c r="K28" s="8">
        <f>E28+H28</f>
        <v/>
      </c>
      <c r="L28" s="8">
        <f>J28+K28</f>
        <v/>
      </c>
      <c r="M28" s="9">
        <f>IF(C28=0,0,L28/C28*100)</f>
        <v/>
      </c>
    </row>
    <row r="29">
      <c r="A29" s="10" t="inlineStr">
        <is>
          <t>Total</t>
        </is>
      </c>
      <c r="B29" s="11">
        <f>SUM(B20:B28)</f>
        <v/>
      </c>
      <c r="C29" s="11">
        <f>SUM(C20:C28)</f>
        <v/>
      </c>
      <c r="D29" s="11">
        <f>SUM(D20:D28)</f>
        <v/>
      </c>
      <c r="E29" s="11">
        <f>SUM(E20:E28)</f>
        <v/>
      </c>
      <c r="F29" s="11">
        <f>D29+E29</f>
        <v/>
      </c>
      <c r="G29" s="11">
        <f>SUM(G20:G28)</f>
        <v/>
      </c>
      <c r="H29" s="11">
        <f>SUM(H20:H28)</f>
        <v/>
      </c>
      <c r="I29" s="11">
        <f>G29+H29</f>
        <v/>
      </c>
      <c r="J29" s="11">
        <f>D29+G29</f>
        <v/>
      </c>
      <c r="K29" s="11">
        <f>E29+H29</f>
        <v/>
      </c>
      <c r="L29" s="11">
        <f>J29+K29</f>
        <v/>
      </c>
      <c r="M29" s="12">
        <f>IF(C29=0,0,L29/C29*100)</f>
        <v/>
      </c>
    </row>
    <row r="31">
      <c r="A31" s="13" t="inlineStr">
        <is>
          <t>Day 2 - 2026-10-06 (Tue 20 Aswin 2083)</t>
        </is>
      </c>
    </row>
    <row r="32">
      <c r="A32" s="6" t="inlineStr">
        <is>
          <t>Ward no.</t>
        </is>
      </c>
      <c r="B32" s="6" t="inlineStr">
        <is>
          <t>Total population</t>
        </is>
      </c>
      <c r="C32" s="6" t="inlineStr">
        <is>
          <t>JE target population</t>
        </is>
      </c>
      <c r="D32" s="6" t="inlineStr">
        <is>
          <t>Vaccinated</t>
        </is>
      </c>
      <c r="E32" s="6" t="n"/>
      <c r="F32" s="6" t="n"/>
      <c r="G32" s="6" t="n"/>
      <c r="H32" s="6" t="n"/>
      <c r="I32" s="6" t="n"/>
      <c r="J32" s="6" t="n"/>
      <c r="K32" s="6" t="n"/>
      <c r="L32" s="6" t="n"/>
      <c r="M32" s="6" t="inlineStr">
        <is>
          <t>Progress %</t>
        </is>
      </c>
    </row>
    <row r="33">
      <c r="A33" s="6" t="n"/>
      <c r="B33" s="6" t="n"/>
      <c r="C33" s="6" t="n"/>
      <c r="D33" s="6" t="inlineStr">
        <is>
          <t>Age 30-60 yrs</t>
        </is>
      </c>
      <c r="E33" s="6" t="n"/>
      <c r="F33" s="6" t="n"/>
      <c r="G33" s="6" t="inlineStr">
        <is>
          <t>Age 60 above</t>
        </is>
      </c>
      <c r="H33" s="6" t="n"/>
      <c r="I33" s="6" t="n"/>
      <c r="J33" s="6" t="inlineStr">
        <is>
          <t>Total</t>
        </is>
      </c>
      <c r="K33" s="6" t="n"/>
      <c r="L33" s="6" t="inlineStr">
        <is>
          <t>Grand Total</t>
        </is>
      </c>
      <c r="M33" s="6" t="n"/>
    </row>
    <row r="34">
      <c r="A34" s="6" t="n"/>
      <c r="B34" s="6" t="n"/>
      <c r="C34" s="6" t="n"/>
      <c r="D34" s="6" t="inlineStr">
        <is>
          <t>F</t>
        </is>
      </c>
      <c r="E34" s="6" t="inlineStr">
        <is>
          <t>M</t>
        </is>
      </c>
      <c r="F34" s="6" t="inlineStr">
        <is>
          <t>Total</t>
        </is>
      </c>
      <c r="G34" s="6" t="inlineStr">
        <is>
          <t>F</t>
        </is>
      </c>
      <c r="H34" s="6" t="inlineStr">
        <is>
          <t>M</t>
        </is>
      </c>
      <c r="I34" s="6" t="inlineStr">
        <is>
          <t>Total</t>
        </is>
      </c>
      <c r="J34" s="6" t="inlineStr">
        <is>
          <t>F</t>
        </is>
      </c>
      <c r="K34" s="6" t="inlineStr">
        <is>
          <t>M</t>
        </is>
      </c>
      <c r="L34" s="6" t="n"/>
      <c r="M34" s="6" t="n"/>
    </row>
    <row r="35">
      <c r="A35" s="7" t="n">
        <v>1</v>
      </c>
      <c r="B35" s="8">
        <f>B5</f>
        <v/>
      </c>
      <c r="C35" s="8">
        <f>C5</f>
        <v/>
      </c>
      <c r="D35" s="14" t="n"/>
      <c r="E35" s="14" t="n"/>
      <c r="F35" s="8">
        <f>D35+E35</f>
        <v/>
      </c>
      <c r="G35" s="14" t="n"/>
      <c r="H35" s="14" t="n"/>
      <c r="I35" s="8">
        <f>G35+H35</f>
        <v/>
      </c>
      <c r="J35" s="8">
        <f>D35+G35</f>
        <v/>
      </c>
      <c r="K35" s="8">
        <f>E35+H35</f>
        <v/>
      </c>
      <c r="L35" s="8">
        <f>J35+K35</f>
        <v/>
      </c>
      <c r="M35" s="9">
        <f>IF(C35=0,0,L35/C35*100)</f>
        <v/>
      </c>
    </row>
    <row r="36">
      <c r="A36" s="7" t="n">
        <v>2</v>
      </c>
      <c r="B36" s="8">
        <f>B6</f>
        <v/>
      </c>
      <c r="C36" s="8">
        <f>C6</f>
        <v/>
      </c>
      <c r="D36" s="14" t="n"/>
      <c r="E36" s="14" t="n"/>
      <c r="F36" s="8">
        <f>D36+E36</f>
        <v/>
      </c>
      <c r="G36" s="14" t="n"/>
      <c r="H36" s="14" t="n"/>
      <c r="I36" s="8">
        <f>G36+H36</f>
        <v/>
      </c>
      <c r="J36" s="8">
        <f>D36+G36</f>
        <v/>
      </c>
      <c r="K36" s="8">
        <f>E36+H36</f>
        <v/>
      </c>
      <c r="L36" s="8">
        <f>J36+K36</f>
        <v/>
      </c>
      <c r="M36" s="9">
        <f>IF(C36=0,0,L36/C36*100)</f>
        <v/>
      </c>
    </row>
    <row r="37">
      <c r="A37" s="7" t="n">
        <v>3</v>
      </c>
      <c r="B37" s="8">
        <f>B7</f>
        <v/>
      </c>
      <c r="C37" s="8">
        <f>C7</f>
        <v/>
      </c>
      <c r="D37" s="14" t="n"/>
      <c r="E37" s="14" t="n"/>
      <c r="F37" s="8">
        <f>D37+E37</f>
        <v/>
      </c>
      <c r="G37" s="14" t="n"/>
      <c r="H37" s="14" t="n"/>
      <c r="I37" s="8">
        <f>G37+H37</f>
        <v/>
      </c>
      <c r="J37" s="8">
        <f>D37+G37</f>
        <v/>
      </c>
      <c r="K37" s="8">
        <f>E37+H37</f>
        <v/>
      </c>
      <c r="L37" s="8">
        <f>J37+K37</f>
        <v/>
      </c>
      <c r="M37" s="9">
        <f>IF(C37=0,0,L37/C37*100)</f>
        <v/>
      </c>
    </row>
    <row r="38">
      <c r="A38" s="7" t="n">
        <v>4</v>
      </c>
      <c r="B38" s="8">
        <f>B8</f>
        <v/>
      </c>
      <c r="C38" s="8">
        <f>C8</f>
        <v/>
      </c>
      <c r="D38" s="14" t="n"/>
      <c r="E38" s="14" t="n"/>
      <c r="F38" s="8">
        <f>D38+E38</f>
        <v/>
      </c>
      <c r="G38" s="14" t="n"/>
      <c r="H38" s="14" t="n"/>
      <c r="I38" s="8">
        <f>G38+H38</f>
        <v/>
      </c>
      <c r="J38" s="8">
        <f>D38+G38</f>
        <v/>
      </c>
      <c r="K38" s="8">
        <f>E38+H38</f>
        <v/>
      </c>
      <c r="L38" s="8">
        <f>J38+K38</f>
        <v/>
      </c>
      <c r="M38" s="9">
        <f>IF(C38=0,0,L38/C38*100)</f>
        <v/>
      </c>
    </row>
    <row r="39">
      <c r="A39" s="7" t="n">
        <v>5</v>
      </c>
      <c r="B39" s="8">
        <f>B9</f>
        <v/>
      </c>
      <c r="C39" s="8">
        <f>C9</f>
        <v/>
      </c>
      <c r="D39" s="14" t="n"/>
      <c r="E39" s="14" t="n"/>
      <c r="F39" s="8">
        <f>D39+E39</f>
        <v/>
      </c>
      <c r="G39" s="14" t="n"/>
      <c r="H39" s="14" t="n"/>
      <c r="I39" s="8">
        <f>G39+H39</f>
        <v/>
      </c>
      <c r="J39" s="8">
        <f>D39+G39</f>
        <v/>
      </c>
      <c r="K39" s="8">
        <f>E39+H39</f>
        <v/>
      </c>
      <c r="L39" s="8">
        <f>J39+K39</f>
        <v/>
      </c>
      <c r="M39" s="9">
        <f>IF(C39=0,0,L39/C39*100)</f>
        <v/>
      </c>
    </row>
    <row r="40">
      <c r="A40" s="7" t="n">
        <v>6</v>
      </c>
      <c r="B40" s="8">
        <f>B10</f>
        <v/>
      </c>
      <c r="C40" s="8">
        <f>C10</f>
        <v/>
      </c>
      <c r="D40" s="14" t="n"/>
      <c r="E40" s="14" t="n"/>
      <c r="F40" s="8">
        <f>D40+E40</f>
        <v/>
      </c>
      <c r="G40" s="14" t="n"/>
      <c r="H40" s="14" t="n"/>
      <c r="I40" s="8">
        <f>G40+H40</f>
        <v/>
      </c>
      <c r="J40" s="8">
        <f>D40+G40</f>
        <v/>
      </c>
      <c r="K40" s="8">
        <f>E40+H40</f>
        <v/>
      </c>
      <c r="L40" s="8">
        <f>J40+K40</f>
        <v/>
      </c>
      <c r="M40" s="9">
        <f>IF(C40=0,0,L40/C40*100)</f>
        <v/>
      </c>
    </row>
    <row r="41">
      <c r="A41" s="7" t="n">
        <v>7</v>
      </c>
      <c r="B41" s="8">
        <f>B11</f>
        <v/>
      </c>
      <c r="C41" s="8">
        <f>C11</f>
        <v/>
      </c>
      <c r="D41" s="14" t="n"/>
      <c r="E41" s="14" t="n"/>
      <c r="F41" s="8">
        <f>D41+E41</f>
        <v/>
      </c>
      <c r="G41" s="14" t="n"/>
      <c r="H41" s="14" t="n"/>
      <c r="I41" s="8">
        <f>G41+H41</f>
        <v/>
      </c>
      <c r="J41" s="8">
        <f>D41+G41</f>
        <v/>
      </c>
      <c r="K41" s="8">
        <f>E41+H41</f>
        <v/>
      </c>
      <c r="L41" s="8">
        <f>J41+K41</f>
        <v/>
      </c>
      <c r="M41" s="9">
        <f>IF(C41=0,0,L41/C41*100)</f>
        <v/>
      </c>
    </row>
    <row r="42">
      <c r="A42" s="7" t="n">
        <v>8</v>
      </c>
      <c r="B42" s="8">
        <f>B12</f>
        <v/>
      </c>
      <c r="C42" s="8">
        <f>C12</f>
        <v/>
      </c>
      <c r="D42" s="14" t="n"/>
      <c r="E42" s="14" t="n"/>
      <c r="F42" s="8">
        <f>D42+E42</f>
        <v/>
      </c>
      <c r="G42" s="14" t="n"/>
      <c r="H42" s="14" t="n"/>
      <c r="I42" s="8">
        <f>G42+H42</f>
        <v/>
      </c>
      <c r="J42" s="8">
        <f>D42+G42</f>
        <v/>
      </c>
      <c r="K42" s="8">
        <f>E42+H42</f>
        <v/>
      </c>
      <c r="L42" s="8">
        <f>J42+K42</f>
        <v/>
      </c>
      <c r="M42" s="9">
        <f>IF(C42=0,0,L42/C42*100)</f>
        <v/>
      </c>
    </row>
    <row r="43">
      <c r="A43" s="7" t="n">
        <v>9</v>
      </c>
      <c r="B43" s="8">
        <f>B13</f>
        <v/>
      </c>
      <c r="C43" s="8">
        <f>C13</f>
        <v/>
      </c>
      <c r="D43" s="14" t="n"/>
      <c r="E43" s="14" t="n"/>
      <c r="F43" s="8">
        <f>D43+E43</f>
        <v/>
      </c>
      <c r="G43" s="14" t="n"/>
      <c r="H43" s="14" t="n"/>
      <c r="I43" s="8">
        <f>G43+H43</f>
        <v/>
      </c>
      <c r="J43" s="8">
        <f>D43+G43</f>
        <v/>
      </c>
      <c r="K43" s="8">
        <f>E43+H43</f>
        <v/>
      </c>
      <c r="L43" s="8">
        <f>J43+K43</f>
        <v/>
      </c>
      <c r="M43" s="9">
        <f>IF(C43=0,0,L43/C43*100)</f>
        <v/>
      </c>
    </row>
    <row r="44">
      <c r="A44" s="10" t="inlineStr">
        <is>
          <t>Total</t>
        </is>
      </c>
      <c r="B44" s="11">
        <f>SUM(B35:B43)</f>
        <v/>
      </c>
      <c r="C44" s="11">
        <f>SUM(C35:C43)</f>
        <v/>
      </c>
      <c r="D44" s="11">
        <f>SUM(D35:D43)</f>
        <v/>
      </c>
      <c r="E44" s="11">
        <f>SUM(E35:E43)</f>
        <v/>
      </c>
      <c r="F44" s="11">
        <f>D44+E44</f>
        <v/>
      </c>
      <c r="G44" s="11">
        <f>SUM(G35:G43)</f>
        <v/>
      </c>
      <c r="H44" s="11">
        <f>SUM(H35:H43)</f>
        <v/>
      </c>
      <c r="I44" s="11">
        <f>G44+H44</f>
        <v/>
      </c>
      <c r="J44" s="11">
        <f>D44+G44</f>
        <v/>
      </c>
      <c r="K44" s="11">
        <f>E44+H44</f>
        <v/>
      </c>
      <c r="L44" s="11">
        <f>J44+K44</f>
        <v/>
      </c>
      <c r="M44" s="12">
        <f>IF(C44=0,0,L44/C44*100)</f>
        <v/>
      </c>
    </row>
    <row r="46">
      <c r="A46" s="13" t="inlineStr">
        <is>
          <t>Day 3 - 2026-10-07 (Wed 21 Aswin 2083)</t>
        </is>
      </c>
    </row>
    <row r="47">
      <c r="A47" s="6" t="inlineStr">
        <is>
          <t>Ward no.</t>
        </is>
      </c>
      <c r="B47" s="6" t="inlineStr">
        <is>
          <t>Total population</t>
        </is>
      </c>
      <c r="C47" s="6" t="inlineStr">
        <is>
          <t>JE target population</t>
        </is>
      </c>
      <c r="D47" s="6" t="inlineStr">
        <is>
          <t>Vaccinated</t>
        </is>
      </c>
      <c r="E47" s="6" t="n"/>
      <c r="F47" s="6" t="n"/>
      <c r="G47" s="6" t="n"/>
      <c r="H47" s="6" t="n"/>
      <c r="I47" s="6" t="n"/>
      <c r="J47" s="6" t="n"/>
      <c r="K47" s="6" t="n"/>
      <c r="L47" s="6" t="n"/>
      <c r="M47" s="6" t="inlineStr">
        <is>
          <t>Progress %</t>
        </is>
      </c>
    </row>
    <row r="48">
      <c r="A48" s="6" t="n"/>
      <c r="B48" s="6" t="n"/>
      <c r="C48" s="6" t="n"/>
      <c r="D48" s="6" t="inlineStr">
        <is>
          <t>Age 30-60 yrs</t>
        </is>
      </c>
      <c r="E48" s="6" t="n"/>
      <c r="F48" s="6" t="n"/>
      <c r="G48" s="6" t="inlineStr">
        <is>
          <t>Age 60 above</t>
        </is>
      </c>
      <c r="H48" s="6" t="n"/>
      <c r="I48" s="6" t="n"/>
      <c r="J48" s="6" t="inlineStr">
        <is>
          <t>Total</t>
        </is>
      </c>
      <c r="K48" s="6" t="n"/>
      <c r="L48" s="6" t="inlineStr">
        <is>
          <t>Grand Total</t>
        </is>
      </c>
      <c r="M48" s="6" t="n"/>
    </row>
    <row r="49">
      <c r="A49" s="6" t="n"/>
      <c r="B49" s="6" t="n"/>
      <c r="C49" s="6" t="n"/>
      <c r="D49" s="6" t="inlineStr">
        <is>
          <t>F</t>
        </is>
      </c>
      <c r="E49" s="6" t="inlineStr">
        <is>
          <t>M</t>
        </is>
      </c>
      <c r="F49" s="6" t="inlineStr">
        <is>
          <t>Total</t>
        </is>
      </c>
      <c r="G49" s="6" t="inlineStr">
        <is>
          <t>F</t>
        </is>
      </c>
      <c r="H49" s="6" t="inlineStr">
        <is>
          <t>M</t>
        </is>
      </c>
      <c r="I49" s="6" t="inlineStr">
        <is>
          <t>Total</t>
        </is>
      </c>
      <c r="J49" s="6" t="inlineStr">
        <is>
          <t>F</t>
        </is>
      </c>
      <c r="K49" s="6" t="inlineStr">
        <is>
          <t>M</t>
        </is>
      </c>
      <c r="L49" s="6" t="n"/>
      <c r="M49" s="6" t="n"/>
    </row>
    <row r="50">
      <c r="A50" s="7" t="n">
        <v>1</v>
      </c>
      <c r="B50" s="8">
        <f>B5</f>
        <v/>
      </c>
      <c r="C50" s="8">
        <f>C5</f>
        <v/>
      </c>
      <c r="D50" s="14" t="n"/>
      <c r="E50" s="14" t="n"/>
      <c r="F50" s="8">
        <f>D50+E50</f>
        <v/>
      </c>
      <c r="G50" s="14" t="n"/>
      <c r="H50" s="14" t="n"/>
      <c r="I50" s="8">
        <f>G50+H50</f>
        <v/>
      </c>
      <c r="J50" s="8">
        <f>D50+G50</f>
        <v/>
      </c>
      <c r="K50" s="8">
        <f>E50+H50</f>
        <v/>
      </c>
      <c r="L50" s="8">
        <f>J50+K50</f>
        <v/>
      </c>
      <c r="M50" s="9">
        <f>IF(C50=0,0,L50/C50*100)</f>
        <v/>
      </c>
    </row>
    <row r="51">
      <c r="A51" s="7" t="n">
        <v>2</v>
      </c>
      <c r="B51" s="8">
        <f>B6</f>
        <v/>
      </c>
      <c r="C51" s="8">
        <f>C6</f>
        <v/>
      </c>
      <c r="D51" s="14" t="n"/>
      <c r="E51" s="14" t="n"/>
      <c r="F51" s="8">
        <f>D51+E51</f>
        <v/>
      </c>
      <c r="G51" s="14" t="n"/>
      <c r="H51" s="14" t="n"/>
      <c r="I51" s="8">
        <f>G51+H51</f>
        <v/>
      </c>
      <c r="J51" s="8">
        <f>D51+G51</f>
        <v/>
      </c>
      <c r="K51" s="8">
        <f>E51+H51</f>
        <v/>
      </c>
      <c r="L51" s="8">
        <f>J51+K51</f>
        <v/>
      </c>
      <c r="M51" s="9">
        <f>IF(C51=0,0,L51/C51*100)</f>
        <v/>
      </c>
    </row>
    <row r="52">
      <c r="A52" s="7" t="n">
        <v>3</v>
      </c>
      <c r="B52" s="8">
        <f>B7</f>
        <v/>
      </c>
      <c r="C52" s="8">
        <f>C7</f>
        <v/>
      </c>
      <c r="D52" s="14" t="n"/>
      <c r="E52" s="14" t="n"/>
      <c r="F52" s="8">
        <f>D52+E52</f>
        <v/>
      </c>
      <c r="G52" s="14" t="n"/>
      <c r="H52" s="14" t="n"/>
      <c r="I52" s="8">
        <f>G52+H52</f>
        <v/>
      </c>
      <c r="J52" s="8">
        <f>D52+G52</f>
        <v/>
      </c>
      <c r="K52" s="8">
        <f>E52+H52</f>
        <v/>
      </c>
      <c r="L52" s="8">
        <f>J52+K52</f>
        <v/>
      </c>
      <c r="M52" s="9">
        <f>IF(C52=0,0,L52/C52*100)</f>
        <v/>
      </c>
    </row>
    <row r="53">
      <c r="A53" s="7" t="n">
        <v>4</v>
      </c>
      <c r="B53" s="8">
        <f>B8</f>
        <v/>
      </c>
      <c r="C53" s="8">
        <f>C8</f>
        <v/>
      </c>
      <c r="D53" s="14" t="n"/>
      <c r="E53" s="14" t="n"/>
      <c r="F53" s="8">
        <f>D53+E53</f>
        <v/>
      </c>
      <c r="G53" s="14" t="n"/>
      <c r="H53" s="14" t="n"/>
      <c r="I53" s="8">
        <f>G53+H53</f>
        <v/>
      </c>
      <c r="J53" s="8">
        <f>D53+G53</f>
        <v/>
      </c>
      <c r="K53" s="8">
        <f>E53+H53</f>
        <v/>
      </c>
      <c r="L53" s="8">
        <f>J53+K53</f>
        <v/>
      </c>
      <c r="M53" s="9">
        <f>IF(C53=0,0,L53/C53*100)</f>
        <v/>
      </c>
    </row>
    <row r="54">
      <c r="A54" s="7" t="n">
        <v>5</v>
      </c>
      <c r="B54" s="8">
        <f>B9</f>
        <v/>
      </c>
      <c r="C54" s="8">
        <f>C9</f>
        <v/>
      </c>
      <c r="D54" s="14" t="n"/>
      <c r="E54" s="14" t="n"/>
      <c r="F54" s="8">
        <f>D54+E54</f>
        <v/>
      </c>
      <c r="G54" s="14" t="n"/>
      <c r="H54" s="14" t="n"/>
      <c r="I54" s="8">
        <f>G54+H54</f>
        <v/>
      </c>
      <c r="J54" s="8">
        <f>D54+G54</f>
        <v/>
      </c>
      <c r="K54" s="8">
        <f>E54+H54</f>
        <v/>
      </c>
      <c r="L54" s="8">
        <f>J54+K54</f>
        <v/>
      </c>
      <c r="M54" s="9">
        <f>IF(C54=0,0,L54/C54*100)</f>
        <v/>
      </c>
    </row>
    <row r="55">
      <c r="A55" s="7" t="n">
        <v>6</v>
      </c>
      <c r="B55" s="8">
        <f>B10</f>
        <v/>
      </c>
      <c r="C55" s="8">
        <f>C10</f>
        <v/>
      </c>
      <c r="D55" s="14" t="n"/>
      <c r="E55" s="14" t="n"/>
      <c r="F55" s="8">
        <f>D55+E55</f>
        <v/>
      </c>
      <c r="G55" s="14" t="n"/>
      <c r="H55" s="14" t="n"/>
      <c r="I55" s="8">
        <f>G55+H55</f>
        <v/>
      </c>
      <c r="J55" s="8">
        <f>D55+G55</f>
        <v/>
      </c>
      <c r="K55" s="8">
        <f>E55+H55</f>
        <v/>
      </c>
      <c r="L55" s="8">
        <f>J55+K55</f>
        <v/>
      </c>
      <c r="M55" s="9">
        <f>IF(C55=0,0,L55/C55*100)</f>
        <v/>
      </c>
    </row>
    <row r="56">
      <c r="A56" s="7" t="n">
        <v>7</v>
      </c>
      <c r="B56" s="8">
        <f>B11</f>
        <v/>
      </c>
      <c r="C56" s="8">
        <f>C11</f>
        <v/>
      </c>
      <c r="D56" s="14" t="n"/>
      <c r="E56" s="14" t="n"/>
      <c r="F56" s="8">
        <f>D56+E56</f>
        <v/>
      </c>
      <c r="G56" s="14" t="n"/>
      <c r="H56" s="14" t="n"/>
      <c r="I56" s="8">
        <f>G56+H56</f>
        <v/>
      </c>
      <c r="J56" s="8">
        <f>D56+G56</f>
        <v/>
      </c>
      <c r="K56" s="8">
        <f>E56+H56</f>
        <v/>
      </c>
      <c r="L56" s="8">
        <f>J56+K56</f>
        <v/>
      </c>
      <c r="M56" s="9">
        <f>IF(C56=0,0,L56/C56*100)</f>
        <v/>
      </c>
    </row>
    <row r="57">
      <c r="A57" s="7" t="n">
        <v>8</v>
      </c>
      <c r="B57" s="8">
        <f>B12</f>
        <v/>
      </c>
      <c r="C57" s="8">
        <f>C12</f>
        <v/>
      </c>
      <c r="D57" s="14" t="n"/>
      <c r="E57" s="14" t="n"/>
      <c r="F57" s="8">
        <f>D57+E57</f>
        <v/>
      </c>
      <c r="G57" s="14" t="n"/>
      <c r="H57" s="14" t="n"/>
      <c r="I57" s="8">
        <f>G57+H57</f>
        <v/>
      </c>
      <c r="J57" s="8">
        <f>D57+G57</f>
        <v/>
      </c>
      <c r="K57" s="8">
        <f>E57+H57</f>
        <v/>
      </c>
      <c r="L57" s="8">
        <f>J57+K57</f>
        <v/>
      </c>
      <c r="M57" s="9">
        <f>IF(C57=0,0,L57/C57*100)</f>
        <v/>
      </c>
    </row>
    <row r="58">
      <c r="A58" s="7" t="n">
        <v>9</v>
      </c>
      <c r="B58" s="8">
        <f>B13</f>
        <v/>
      </c>
      <c r="C58" s="8">
        <f>C13</f>
        <v/>
      </c>
      <c r="D58" s="14" t="n"/>
      <c r="E58" s="14" t="n"/>
      <c r="F58" s="8">
        <f>D58+E58</f>
        <v/>
      </c>
      <c r="G58" s="14" t="n"/>
      <c r="H58" s="14" t="n"/>
      <c r="I58" s="8">
        <f>G58+H58</f>
        <v/>
      </c>
      <c r="J58" s="8">
        <f>D58+G58</f>
        <v/>
      </c>
      <c r="K58" s="8">
        <f>E58+H58</f>
        <v/>
      </c>
      <c r="L58" s="8">
        <f>J58+K58</f>
        <v/>
      </c>
      <c r="M58" s="9">
        <f>IF(C58=0,0,L58/C58*100)</f>
        <v/>
      </c>
    </row>
    <row r="59">
      <c r="A59" s="10" t="inlineStr">
        <is>
          <t>Total</t>
        </is>
      </c>
      <c r="B59" s="11">
        <f>SUM(B50:B58)</f>
        <v/>
      </c>
      <c r="C59" s="11">
        <f>SUM(C50:C58)</f>
        <v/>
      </c>
      <c r="D59" s="11">
        <f>SUM(D50:D58)</f>
        <v/>
      </c>
      <c r="E59" s="11">
        <f>SUM(E50:E58)</f>
        <v/>
      </c>
      <c r="F59" s="11">
        <f>D59+E59</f>
        <v/>
      </c>
      <c r="G59" s="11">
        <f>SUM(G50:G58)</f>
        <v/>
      </c>
      <c r="H59" s="11">
        <f>SUM(H50:H58)</f>
        <v/>
      </c>
      <c r="I59" s="11">
        <f>G59+H59</f>
        <v/>
      </c>
      <c r="J59" s="11">
        <f>D59+G59</f>
        <v/>
      </c>
      <c r="K59" s="11">
        <f>E59+H59</f>
        <v/>
      </c>
      <c r="L59" s="11">
        <f>J59+K59</f>
        <v/>
      </c>
      <c r="M59" s="12">
        <f>IF(C59=0,0,L59/C59*100)</f>
        <v/>
      </c>
    </row>
    <row r="61">
      <c r="A61" s="13" t="inlineStr">
        <is>
          <t>Day 4 - 2026-10-08 (Thu 22 Aswin 2083)</t>
        </is>
      </c>
    </row>
    <row r="62">
      <c r="A62" s="6" t="inlineStr">
        <is>
          <t>Ward no.</t>
        </is>
      </c>
      <c r="B62" s="6" t="inlineStr">
        <is>
          <t>Total population</t>
        </is>
      </c>
      <c r="C62" s="6" t="inlineStr">
        <is>
          <t>JE target population</t>
        </is>
      </c>
      <c r="D62" s="6" t="inlineStr">
        <is>
          <t>Vaccinated</t>
        </is>
      </c>
      <c r="E62" s="6" t="n"/>
      <c r="F62" s="6" t="n"/>
      <c r="G62" s="6" t="n"/>
      <c r="H62" s="6" t="n"/>
      <c r="I62" s="6" t="n"/>
      <c r="J62" s="6" t="n"/>
      <c r="K62" s="6" t="n"/>
      <c r="L62" s="6" t="n"/>
      <c r="M62" s="6" t="inlineStr">
        <is>
          <t>Progress %</t>
        </is>
      </c>
    </row>
    <row r="63">
      <c r="A63" s="6" t="n"/>
      <c r="B63" s="6" t="n"/>
      <c r="C63" s="6" t="n"/>
      <c r="D63" s="6" t="inlineStr">
        <is>
          <t>Age 30-60 yrs</t>
        </is>
      </c>
      <c r="E63" s="6" t="n"/>
      <c r="F63" s="6" t="n"/>
      <c r="G63" s="6" t="inlineStr">
        <is>
          <t>Age 60 above</t>
        </is>
      </c>
      <c r="H63" s="6" t="n"/>
      <c r="I63" s="6" t="n"/>
      <c r="J63" s="6" t="inlineStr">
        <is>
          <t>Total</t>
        </is>
      </c>
      <c r="K63" s="6" t="n"/>
      <c r="L63" s="6" t="inlineStr">
        <is>
          <t>Grand Total</t>
        </is>
      </c>
      <c r="M63" s="6" t="n"/>
    </row>
    <row r="64">
      <c r="A64" s="6" t="n"/>
      <c r="B64" s="6" t="n"/>
      <c r="C64" s="6" t="n"/>
      <c r="D64" s="6" t="inlineStr">
        <is>
          <t>F</t>
        </is>
      </c>
      <c r="E64" s="6" t="inlineStr">
        <is>
          <t>M</t>
        </is>
      </c>
      <c r="F64" s="6" t="inlineStr">
        <is>
          <t>Total</t>
        </is>
      </c>
      <c r="G64" s="6" t="inlineStr">
        <is>
          <t>F</t>
        </is>
      </c>
      <c r="H64" s="6" t="inlineStr">
        <is>
          <t>M</t>
        </is>
      </c>
      <c r="I64" s="6" t="inlineStr">
        <is>
          <t>Total</t>
        </is>
      </c>
      <c r="J64" s="6" t="inlineStr">
        <is>
          <t>F</t>
        </is>
      </c>
      <c r="K64" s="6" t="inlineStr">
        <is>
          <t>M</t>
        </is>
      </c>
      <c r="L64" s="6" t="n"/>
      <c r="M64" s="6" t="n"/>
    </row>
    <row r="65">
      <c r="A65" s="7" t="n">
        <v>1</v>
      </c>
      <c r="B65" s="8">
        <f>B5</f>
        <v/>
      </c>
      <c r="C65" s="8">
        <f>C5</f>
        <v/>
      </c>
      <c r="D65" s="14" t="n"/>
      <c r="E65" s="14" t="n"/>
      <c r="F65" s="8">
        <f>D65+E65</f>
        <v/>
      </c>
      <c r="G65" s="14" t="n"/>
      <c r="H65" s="14" t="n"/>
      <c r="I65" s="8">
        <f>G65+H65</f>
        <v/>
      </c>
      <c r="J65" s="8">
        <f>D65+G65</f>
        <v/>
      </c>
      <c r="K65" s="8">
        <f>E65+H65</f>
        <v/>
      </c>
      <c r="L65" s="8">
        <f>J65+K65</f>
        <v/>
      </c>
      <c r="M65" s="9">
        <f>IF(C65=0,0,L65/C65*100)</f>
        <v/>
      </c>
    </row>
    <row r="66">
      <c r="A66" s="7" t="n">
        <v>2</v>
      </c>
      <c r="B66" s="8">
        <f>B6</f>
        <v/>
      </c>
      <c r="C66" s="8">
        <f>C6</f>
        <v/>
      </c>
      <c r="D66" s="14" t="n"/>
      <c r="E66" s="14" t="n"/>
      <c r="F66" s="8">
        <f>D66+E66</f>
        <v/>
      </c>
      <c r="G66" s="14" t="n"/>
      <c r="H66" s="14" t="n"/>
      <c r="I66" s="8">
        <f>G66+H66</f>
        <v/>
      </c>
      <c r="J66" s="8">
        <f>D66+G66</f>
        <v/>
      </c>
      <c r="K66" s="8">
        <f>E66+H66</f>
        <v/>
      </c>
      <c r="L66" s="8">
        <f>J66+K66</f>
        <v/>
      </c>
      <c r="M66" s="9">
        <f>IF(C66=0,0,L66/C66*100)</f>
        <v/>
      </c>
    </row>
    <row r="67">
      <c r="A67" s="7" t="n">
        <v>3</v>
      </c>
      <c r="B67" s="8">
        <f>B7</f>
        <v/>
      </c>
      <c r="C67" s="8">
        <f>C7</f>
        <v/>
      </c>
      <c r="D67" s="14" t="n"/>
      <c r="E67" s="14" t="n"/>
      <c r="F67" s="8">
        <f>D67+E67</f>
        <v/>
      </c>
      <c r="G67" s="14" t="n"/>
      <c r="H67" s="14" t="n"/>
      <c r="I67" s="8">
        <f>G67+H67</f>
        <v/>
      </c>
      <c r="J67" s="8">
        <f>D67+G67</f>
        <v/>
      </c>
      <c r="K67" s="8">
        <f>E67+H67</f>
        <v/>
      </c>
      <c r="L67" s="8">
        <f>J67+K67</f>
        <v/>
      </c>
      <c r="M67" s="9">
        <f>IF(C67=0,0,L67/C67*100)</f>
        <v/>
      </c>
    </row>
    <row r="68">
      <c r="A68" s="7" t="n">
        <v>4</v>
      </c>
      <c r="B68" s="8">
        <f>B8</f>
        <v/>
      </c>
      <c r="C68" s="8">
        <f>C8</f>
        <v/>
      </c>
      <c r="D68" s="14" t="n"/>
      <c r="E68" s="14" t="n"/>
      <c r="F68" s="8">
        <f>D68+E68</f>
        <v/>
      </c>
      <c r="G68" s="14" t="n"/>
      <c r="H68" s="14" t="n"/>
      <c r="I68" s="8">
        <f>G68+H68</f>
        <v/>
      </c>
      <c r="J68" s="8">
        <f>D68+G68</f>
        <v/>
      </c>
      <c r="K68" s="8">
        <f>E68+H68</f>
        <v/>
      </c>
      <c r="L68" s="8">
        <f>J68+K68</f>
        <v/>
      </c>
      <c r="M68" s="9">
        <f>IF(C68=0,0,L68/C68*100)</f>
        <v/>
      </c>
    </row>
    <row r="69">
      <c r="A69" s="7" t="n">
        <v>5</v>
      </c>
      <c r="B69" s="8">
        <f>B9</f>
        <v/>
      </c>
      <c r="C69" s="8">
        <f>C9</f>
        <v/>
      </c>
      <c r="D69" s="14" t="n"/>
      <c r="E69" s="14" t="n"/>
      <c r="F69" s="8">
        <f>D69+E69</f>
        <v/>
      </c>
      <c r="G69" s="14" t="n"/>
      <c r="H69" s="14" t="n"/>
      <c r="I69" s="8">
        <f>G69+H69</f>
        <v/>
      </c>
      <c r="J69" s="8">
        <f>D69+G69</f>
        <v/>
      </c>
      <c r="K69" s="8">
        <f>E69+H69</f>
        <v/>
      </c>
      <c r="L69" s="8">
        <f>J69+K69</f>
        <v/>
      </c>
      <c r="M69" s="9">
        <f>IF(C69=0,0,L69/C69*100)</f>
        <v/>
      </c>
    </row>
    <row r="70">
      <c r="A70" s="7" t="n">
        <v>6</v>
      </c>
      <c r="B70" s="8">
        <f>B10</f>
        <v/>
      </c>
      <c r="C70" s="8">
        <f>C10</f>
        <v/>
      </c>
      <c r="D70" s="14" t="n"/>
      <c r="E70" s="14" t="n"/>
      <c r="F70" s="8">
        <f>D70+E70</f>
        <v/>
      </c>
      <c r="G70" s="14" t="n"/>
      <c r="H70" s="14" t="n"/>
      <c r="I70" s="8">
        <f>G70+H70</f>
        <v/>
      </c>
      <c r="J70" s="8">
        <f>D70+G70</f>
        <v/>
      </c>
      <c r="K70" s="8">
        <f>E70+H70</f>
        <v/>
      </c>
      <c r="L70" s="8">
        <f>J70+K70</f>
        <v/>
      </c>
      <c r="M70" s="9">
        <f>IF(C70=0,0,L70/C70*100)</f>
        <v/>
      </c>
    </row>
    <row r="71">
      <c r="A71" s="7" t="n">
        <v>7</v>
      </c>
      <c r="B71" s="8">
        <f>B11</f>
        <v/>
      </c>
      <c r="C71" s="8">
        <f>C11</f>
        <v/>
      </c>
      <c r="D71" s="14" t="n"/>
      <c r="E71" s="14" t="n"/>
      <c r="F71" s="8">
        <f>D71+E71</f>
        <v/>
      </c>
      <c r="G71" s="14" t="n"/>
      <c r="H71" s="14" t="n"/>
      <c r="I71" s="8">
        <f>G71+H71</f>
        <v/>
      </c>
      <c r="J71" s="8">
        <f>D71+G71</f>
        <v/>
      </c>
      <c r="K71" s="8">
        <f>E71+H71</f>
        <v/>
      </c>
      <c r="L71" s="8">
        <f>J71+K71</f>
        <v/>
      </c>
      <c r="M71" s="9">
        <f>IF(C71=0,0,L71/C71*100)</f>
        <v/>
      </c>
    </row>
    <row r="72">
      <c r="A72" s="7" t="n">
        <v>8</v>
      </c>
      <c r="B72" s="8">
        <f>B12</f>
        <v/>
      </c>
      <c r="C72" s="8">
        <f>C12</f>
        <v/>
      </c>
      <c r="D72" s="14" t="n"/>
      <c r="E72" s="14" t="n"/>
      <c r="F72" s="8">
        <f>D72+E72</f>
        <v/>
      </c>
      <c r="G72" s="14" t="n"/>
      <c r="H72" s="14" t="n"/>
      <c r="I72" s="8">
        <f>G72+H72</f>
        <v/>
      </c>
      <c r="J72" s="8">
        <f>D72+G72</f>
        <v/>
      </c>
      <c r="K72" s="8">
        <f>E72+H72</f>
        <v/>
      </c>
      <c r="L72" s="8">
        <f>J72+K72</f>
        <v/>
      </c>
      <c r="M72" s="9">
        <f>IF(C72=0,0,L72/C72*100)</f>
        <v/>
      </c>
    </row>
    <row r="73">
      <c r="A73" s="7" t="n">
        <v>9</v>
      </c>
      <c r="B73" s="8">
        <f>B13</f>
        <v/>
      </c>
      <c r="C73" s="8">
        <f>C13</f>
        <v/>
      </c>
      <c r="D73" s="14" t="n"/>
      <c r="E73" s="14" t="n"/>
      <c r="F73" s="8">
        <f>D73+E73</f>
        <v/>
      </c>
      <c r="G73" s="14" t="n"/>
      <c r="H73" s="14" t="n"/>
      <c r="I73" s="8">
        <f>G73+H73</f>
        <v/>
      </c>
      <c r="J73" s="8">
        <f>D73+G73</f>
        <v/>
      </c>
      <c r="K73" s="8">
        <f>E73+H73</f>
        <v/>
      </c>
      <c r="L73" s="8">
        <f>J73+K73</f>
        <v/>
      </c>
      <c r="M73" s="9">
        <f>IF(C73=0,0,L73/C73*100)</f>
        <v/>
      </c>
    </row>
    <row r="74">
      <c r="A74" s="10" t="inlineStr">
        <is>
          <t>Total</t>
        </is>
      </c>
      <c r="B74" s="11">
        <f>SUM(B65:B73)</f>
        <v/>
      </c>
      <c r="C74" s="11">
        <f>SUM(C65:C73)</f>
        <v/>
      </c>
      <c r="D74" s="11">
        <f>SUM(D65:D73)</f>
        <v/>
      </c>
      <c r="E74" s="11">
        <f>SUM(E65:E73)</f>
        <v/>
      </c>
      <c r="F74" s="11">
        <f>D74+E74</f>
        <v/>
      </c>
      <c r="G74" s="11">
        <f>SUM(G65:G73)</f>
        <v/>
      </c>
      <c r="H74" s="11">
        <f>SUM(H65:H73)</f>
        <v/>
      </c>
      <c r="I74" s="11">
        <f>G74+H74</f>
        <v/>
      </c>
      <c r="J74" s="11">
        <f>D74+G74</f>
        <v/>
      </c>
      <c r="K74" s="11">
        <f>E74+H74</f>
        <v/>
      </c>
      <c r="L74" s="11">
        <f>J74+K74</f>
        <v/>
      </c>
      <c r="M74" s="12">
        <f>IF(C74=0,0,L74/C74*100)</f>
        <v/>
      </c>
    </row>
    <row r="76">
      <c r="A76" s="13" t="inlineStr">
        <is>
          <t>Day 5 - 2026-10-09 (Fri 23 Aswin 2083)</t>
        </is>
      </c>
    </row>
    <row r="77">
      <c r="A77" s="6" t="inlineStr">
        <is>
          <t>Ward no.</t>
        </is>
      </c>
      <c r="B77" s="6" t="inlineStr">
        <is>
          <t>Total population</t>
        </is>
      </c>
      <c r="C77" s="6" t="inlineStr">
        <is>
          <t>JE target population</t>
        </is>
      </c>
      <c r="D77" s="6" t="inlineStr">
        <is>
          <t>Vaccinated</t>
        </is>
      </c>
      <c r="E77" s="6" t="n"/>
      <c r="F77" s="6" t="n"/>
      <c r="G77" s="6" t="n"/>
      <c r="H77" s="6" t="n"/>
      <c r="I77" s="6" t="n"/>
      <c r="J77" s="6" t="n"/>
      <c r="K77" s="6" t="n"/>
      <c r="L77" s="6" t="n"/>
      <c r="M77" s="6" t="inlineStr">
        <is>
          <t>Progress %</t>
        </is>
      </c>
    </row>
    <row r="78">
      <c r="A78" s="6" t="n"/>
      <c r="B78" s="6" t="n"/>
      <c r="C78" s="6" t="n"/>
      <c r="D78" s="6" t="inlineStr">
        <is>
          <t>Age 30-60 yrs</t>
        </is>
      </c>
      <c r="E78" s="6" t="n"/>
      <c r="F78" s="6" t="n"/>
      <c r="G78" s="6" t="inlineStr">
        <is>
          <t>Age 60 above</t>
        </is>
      </c>
      <c r="H78" s="6" t="n"/>
      <c r="I78" s="6" t="n"/>
      <c r="J78" s="6" t="inlineStr">
        <is>
          <t>Total</t>
        </is>
      </c>
      <c r="K78" s="6" t="n"/>
      <c r="L78" s="6" t="inlineStr">
        <is>
          <t>Grand Total</t>
        </is>
      </c>
      <c r="M78" s="6" t="n"/>
    </row>
    <row r="79">
      <c r="A79" s="6" t="n"/>
      <c r="B79" s="6" t="n"/>
      <c r="C79" s="6" t="n"/>
      <c r="D79" s="6" t="inlineStr">
        <is>
          <t>F</t>
        </is>
      </c>
      <c r="E79" s="6" t="inlineStr">
        <is>
          <t>M</t>
        </is>
      </c>
      <c r="F79" s="6" t="inlineStr">
        <is>
          <t>Total</t>
        </is>
      </c>
      <c r="G79" s="6" t="inlineStr">
        <is>
          <t>F</t>
        </is>
      </c>
      <c r="H79" s="6" t="inlineStr">
        <is>
          <t>M</t>
        </is>
      </c>
      <c r="I79" s="6" t="inlineStr">
        <is>
          <t>Total</t>
        </is>
      </c>
      <c r="J79" s="6" t="inlineStr">
        <is>
          <t>F</t>
        </is>
      </c>
      <c r="K79" s="6" t="inlineStr">
        <is>
          <t>M</t>
        </is>
      </c>
      <c r="L79" s="6" t="n"/>
      <c r="M79" s="6" t="n"/>
    </row>
    <row r="80">
      <c r="A80" s="7" t="n">
        <v>1</v>
      </c>
      <c r="B80" s="8">
        <f>B5</f>
        <v/>
      </c>
      <c r="C80" s="8">
        <f>C5</f>
        <v/>
      </c>
      <c r="D80" s="14" t="n"/>
      <c r="E80" s="14" t="n"/>
      <c r="F80" s="8">
        <f>D80+E80</f>
        <v/>
      </c>
      <c r="G80" s="14" t="n"/>
      <c r="H80" s="14" t="n"/>
      <c r="I80" s="8">
        <f>G80+H80</f>
        <v/>
      </c>
      <c r="J80" s="8">
        <f>D80+G80</f>
        <v/>
      </c>
      <c r="K80" s="8">
        <f>E80+H80</f>
        <v/>
      </c>
      <c r="L80" s="8">
        <f>J80+K80</f>
        <v/>
      </c>
      <c r="M80" s="9">
        <f>IF(C80=0,0,L80/C80*100)</f>
        <v/>
      </c>
    </row>
    <row r="81">
      <c r="A81" s="7" t="n">
        <v>2</v>
      </c>
      <c r="B81" s="8">
        <f>B6</f>
        <v/>
      </c>
      <c r="C81" s="8">
        <f>C6</f>
        <v/>
      </c>
      <c r="D81" s="14" t="n"/>
      <c r="E81" s="14" t="n"/>
      <c r="F81" s="8">
        <f>D81+E81</f>
        <v/>
      </c>
      <c r="G81" s="14" t="n"/>
      <c r="H81" s="14" t="n"/>
      <c r="I81" s="8">
        <f>G81+H81</f>
        <v/>
      </c>
      <c r="J81" s="8">
        <f>D81+G81</f>
        <v/>
      </c>
      <c r="K81" s="8">
        <f>E81+H81</f>
        <v/>
      </c>
      <c r="L81" s="8">
        <f>J81+K81</f>
        <v/>
      </c>
      <c r="M81" s="9">
        <f>IF(C81=0,0,L81/C81*100)</f>
        <v/>
      </c>
    </row>
    <row r="82">
      <c r="A82" s="7" t="n">
        <v>3</v>
      </c>
      <c r="B82" s="8">
        <f>B7</f>
        <v/>
      </c>
      <c r="C82" s="8">
        <f>C7</f>
        <v/>
      </c>
      <c r="D82" s="14" t="n"/>
      <c r="E82" s="14" t="n"/>
      <c r="F82" s="8">
        <f>D82+E82</f>
        <v/>
      </c>
      <c r="G82" s="14" t="n"/>
      <c r="H82" s="14" t="n"/>
      <c r="I82" s="8">
        <f>G82+H82</f>
        <v/>
      </c>
      <c r="J82" s="8">
        <f>D82+G82</f>
        <v/>
      </c>
      <c r="K82" s="8">
        <f>E82+H82</f>
        <v/>
      </c>
      <c r="L82" s="8">
        <f>J82+K82</f>
        <v/>
      </c>
      <c r="M82" s="9">
        <f>IF(C82=0,0,L82/C82*100)</f>
        <v/>
      </c>
    </row>
    <row r="83">
      <c r="A83" s="7" t="n">
        <v>4</v>
      </c>
      <c r="B83" s="8">
        <f>B8</f>
        <v/>
      </c>
      <c r="C83" s="8">
        <f>C8</f>
        <v/>
      </c>
      <c r="D83" s="14" t="n"/>
      <c r="E83" s="14" t="n"/>
      <c r="F83" s="8">
        <f>D83+E83</f>
        <v/>
      </c>
      <c r="G83" s="14" t="n"/>
      <c r="H83" s="14" t="n"/>
      <c r="I83" s="8">
        <f>G83+H83</f>
        <v/>
      </c>
      <c r="J83" s="8">
        <f>D83+G83</f>
        <v/>
      </c>
      <c r="K83" s="8">
        <f>E83+H83</f>
        <v/>
      </c>
      <c r="L83" s="8">
        <f>J83+K83</f>
        <v/>
      </c>
      <c r="M83" s="9">
        <f>IF(C83=0,0,L83/C83*100)</f>
        <v/>
      </c>
    </row>
    <row r="84">
      <c r="A84" s="7" t="n">
        <v>5</v>
      </c>
      <c r="B84" s="8">
        <f>B9</f>
        <v/>
      </c>
      <c r="C84" s="8">
        <f>C9</f>
        <v/>
      </c>
      <c r="D84" s="14" t="n"/>
      <c r="E84" s="14" t="n"/>
      <c r="F84" s="8">
        <f>D84+E84</f>
        <v/>
      </c>
      <c r="G84" s="14" t="n"/>
      <c r="H84" s="14" t="n"/>
      <c r="I84" s="8">
        <f>G84+H84</f>
        <v/>
      </c>
      <c r="J84" s="8">
        <f>D84+G84</f>
        <v/>
      </c>
      <c r="K84" s="8">
        <f>E84+H84</f>
        <v/>
      </c>
      <c r="L84" s="8">
        <f>J84+K84</f>
        <v/>
      </c>
      <c r="M84" s="9">
        <f>IF(C84=0,0,L84/C84*100)</f>
        <v/>
      </c>
    </row>
    <row r="85">
      <c r="A85" s="7" t="n">
        <v>6</v>
      </c>
      <c r="B85" s="8">
        <f>B10</f>
        <v/>
      </c>
      <c r="C85" s="8">
        <f>C10</f>
        <v/>
      </c>
      <c r="D85" s="14" t="n"/>
      <c r="E85" s="14" t="n"/>
      <c r="F85" s="8">
        <f>D85+E85</f>
        <v/>
      </c>
      <c r="G85" s="14" t="n"/>
      <c r="H85" s="14" t="n"/>
      <c r="I85" s="8">
        <f>G85+H85</f>
        <v/>
      </c>
      <c r="J85" s="8">
        <f>D85+G85</f>
        <v/>
      </c>
      <c r="K85" s="8">
        <f>E85+H85</f>
        <v/>
      </c>
      <c r="L85" s="8">
        <f>J85+K85</f>
        <v/>
      </c>
      <c r="M85" s="9">
        <f>IF(C85=0,0,L85/C85*100)</f>
        <v/>
      </c>
    </row>
    <row r="86">
      <c r="A86" s="7" t="n">
        <v>7</v>
      </c>
      <c r="B86" s="8">
        <f>B11</f>
        <v/>
      </c>
      <c r="C86" s="8">
        <f>C11</f>
        <v/>
      </c>
      <c r="D86" s="14" t="n"/>
      <c r="E86" s="14" t="n"/>
      <c r="F86" s="8">
        <f>D86+E86</f>
        <v/>
      </c>
      <c r="G86" s="14" t="n"/>
      <c r="H86" s="14" t="n"/>
      <c r="I86" s="8">
        <f>G86+H86</f>
        <v/>
      </c>
      <c r="J86" s="8">
        <f>D86+G86</f>
        <v/>
      </c>
      <c r="K86" s="8">
        <f>E86+H86</f>
        <v/>
      </c>
      <c r="L86" s="8">
        <f>J86+K86</f>
        <v/>
      </c>
      <c r="M86" s="9">
        <f>IF(C86=0,0,L86/C86*100)</f>
        <v/>
      </c>
    </row>
    <row r="87">
      <c r="A87" s="7" t="n">
        <v>8</v>
      </c>
      <c r="B87" s="8">
        <f>B12</f>
        <v/>
      </c>
      <c r="C87" s="8">
        <f>C12</f>
        <v/>
      </c>
      <c r="D87" s="14" t="n"/>
      <c r="E87" s="14" t="n"/>
      <c r="F87" s="8">
        <f>D87+E87</f>
        <v/>
      </c>
      <c r="G87" s="14" t="n"/>
      <c r="H87" s="14" t="n"/>
      <c r="I87" s="8">
        <f>G87+H87</f>
        <v/>
      </c>
      <c r="J87" s="8">
        <f>D87+G87</f>
        <v/>
      </c>
      <c r="K87" s="8">
        <f>E87+H87</f>
        <v/>
      </c>
      <c r="L87" s="8">
        <f>J87+K87</f>
        <v/>
      </c>
      <c r="M87" s="9">
        <f>IF(C87=0,0,L87/C87*100)</f>
        <v/>
      </c>
    </row>
    <row r="88">
      <c r="A88" s="7" t="n">
        <v>9</v>
      </c>
      <c r="B88" s="8">
        <f>B13</f>
        <v/>
      </c>
      <c r="C88" s="8">
        <f>C13</f>
        <v/>
      </c>
      <c r="D88" s="14" t="n"/>
      <c r="E88" s="14" t="n"/>
      <c r="F88" s="8">
        <f>D88+E88</f>
        <v/>
      </c>
      <c r="G88" s="14" t="n"/>
      <c r="H88" s="14" t="n"/>
      <c r="I88" s="8">
        <f>G88+H88</f>
        <v/>
      </c>
      <c r="J88" s="8">
        <f>D88+G88</f>
        <v/>
      </c>
      <c r="K88" s="8">
        <f>E88+H88</f>
        <v/>
      </c>
      <c r="L88" s="8">
        <f>J88+K88</f>
        <v/>
      </c>
      <c r="M88" s="9">
        <f>IF(C88=0,0,L88/C88*100)</f>
        <v/>
      </c>
    </row>
    <row r="89">
      <c r="A89" s="10" t="inlineStr">
        <is>
          <t>Total</t>
        </is>
      </c>
      <c r="B89" s="11">
        <f>SUM(B80:B88)</f>
        <v/>
      </c>
      <c r="C89" s="11">
        <f>SUM(C80:C88)</f>
        <v/>
      </c>
      <c r="D89" s="11">
        <f>SUM(D80:D88)</f>
        <v/>
      </c>
      <c r="E89" s="11">
        <f>SUM(E80:E88)</f>
        <v/>
      </c>
      <c r="F89" s="11">
        <f>D89+E89</f>
        <v/>
      </c>
      <c r="G89" s="11">
        <f>SUM(G80:G88)</f>
        <v/>
      </c>
      <c r="H89" s="11">
        <f>SUM(H80:H88)</f>
        <v/>
      </c>
      <c r="I89" s="11">
        <f>G89+H89</f>
        <v/>
      </c>
      <c r="J89" s="11">
        <f>D89+G89</f>
        <v/>
      </c>
      <c r="K89" s="11">
        <f>E89+H89</f>
        <v/>
      </c>
      <c r="L89" s="11">
        <f>J89+K89</f>
        <v/>
      </c>
      <c r="M89" s="12">
        <f>IF(C89=0,0,L89/C89*100)</f>
        <v/>
      </c>
    </row>
    <row r="91">
      <c r="A91" s="13" t="inlineStr">
        <is>
          <t>Day 6 - 2026-10-10 (Sat 24 Aswin 2083)</t>
        </is>
      </c>
    </row>
    <row r="92">
      <c r="A92" s="6" t="inlineStr">
        <is>
          <t>Ward no.</t>
        </is>
      </c>
      <c r="B92" s="6" t="inlineStr">
        <is>
          <t>Total population</t>
        </is>
      </c>
      <c r="C92" s="6" t="inlineStr">
        <is>
          <t>JE target population</t>
        </is>
      </c>
      <c r="D92" s="6" t="inlineStr">
        <is>
          <t>Vaccinated</t>
        </is>
      </c>
      <c r="E92" s="6" t="n"/>
      <c r="F92" s="6" t="n"/>
      <c r="G92" s="6" t="n"/>
      <c r="H92" s="6" t="n"/>
      <c r="I92" s="6" t="n"/>
      <c r="J92" s="6" t="n"/>
      <c r="K92" s="6" t="n"/>
      <c r="L92" s="6" t="n"/>
      <c r="M92" s="6" t="inlineStr">
        <is>
          <t>Progress %</t>
        </is>
      </c>
    </row>
    <row r="93">
      <c r="A93" s="6" t="n"/>
      <c r="B93" s="6" t="n"/>
      <c r="C93" s="6" t="n"/>
      <c r="D93" s="6" t="inlineStr">
        <is>
          <t>Age 30-60 yrs</t>
        </is>
      </c>
      <c r="E93" s="6" t="n"/>
      <c r="F93" s="6" t="n"/>
      <c r="G93" s="6" t="inlineStr">
        <is>
          <t>Age 60 above</t>
        </is>
      </c>
      <c r="H93" s="6" t="n"/>
      <c r="I93" s="6" t="n"/>
      <c r="J93" s="6" t="inlineStr">
        <is>
          <t>Total</t>
        </is>
      </c>
      <c r="K93" s="6" t="n"/>
      <c r="L93" s="6" t="inlineStr">
        <is>
          <t>Grand Total</t>
        </is>
      </c>
      <c r="M93" s="6" t="n"/>
    </row>
    <row r="94">
      <c r="A94" s="6" t="n"/>
      <c r="B94" s="6" t="n"/>
      <c r="C94" s="6" t="n"/>
      <c r="D94" s="6" t="inlineStr">
        <is>
          <t>F</t>
        </is>
      </c>
      <c r="E94" s="6" t="inlineStr">
        <is>
          <t>M</t>
        </is>
      </c>
      <c r="F94" s="6" t="inlineStr">
        <is>
          <t>Total</t>
        </is>
      </c>
      <c r="G94" s="6" t="inlineStr">
        <is>
          <t>F</t>
        </is>
      </c>
      <c r="H94" s="6" t="inlineStr">
        <is>
          <t>M</t>
        </is>
      </c>
      <c r="I94" s="6" t="inlineStr">
        <is>
          <t>Total</t>
        </is>
      </c>
      <c r="J94" s="6" t="inlineStr">
        <is>
          <t>F</t>
        </is>
      </c>
      <c r="K94" s="6" t="inlineStr">
        <is>
          <t>M</t>
        </is>
      </c>
      <c r="L94" s="6" t="n"/>
      <c r="M94" s="6" t="n"/>
    </row>
    <row r="95">
      <c r="A95" s="7" t="n">
        <v>1</v>
      </c>
      <c r="B95" s="8">
        <f>B5</f>
        <v/>
      </c>
      <c r="C95" s="8">
        <f>C5</f>
        <v/>
      </c>
      <c r="D95" s="14" t="n"/>
      <c r="E95" s="14" t="n"/>
      <c r="F95" s="8">
        <f>D95+E95</f>
        <v/>
      </c>
      <c r="G95" s="14" t="n"/>
      <c r="H95" s="14" t="n"/>
      <c r="I95" s="8">
        <f>G95+H95</f>
        <v/>
      </c>
      <c r="J95" s="8">
        <f>D95+G95</f>
        <v/>
      </c>
      <c r="K95" s="8">
        <f>E95+H95</f>
        <v/>
      </c>
      <c r="L95" s="8">
        <f>J95+K95</f>
        <v/>
      </c>
      <c r="M95" s="9">
        <f>IF(C95=0,0,L95/C95*100)</f>
        <v/>
      </c>
    </row>
    <row r="96">
      <c r="A96" s="7" t="n">
        <v>2</v>
      </c>
      <c r="B96" s="8">
        <f>B6</f>
        <v/>
      </c>
      <c r="C96" s="8">
        <f>C6</f>
        <v/>
      </c>
      <c r="D96" s="14" t="n"/>
      <c r="E96" s="14" t="n"/>
      <c r="F96" s="8">
        <f>D96+E96</f>
        <v/>
      </c>
      <c r="G96" s="14" t="n"/>
      <c r="H96" s="14" t="n"/>
      <c r="I96" s="8">
        <f>G96+H96</f>
        <v/>
      </c>
      <c r="J96" s="8">
        <f>D96+G96</f>
        <v/>
      </c>
      <c r="K96" s="8">
        <f>E96+H96</f>
        <v/>
      </c>
      <c r="L96" s="8">
        <f>J96+K96</f>
        <v/>
      </c>
      <c r="M96" s="9">
        <f>IF(C96=0,0,L96/C96*100)</f>
        <v/>
      </c>
    </row>
    <row r="97">
      <c r="A97" s="7" t="n">
        <v>3</v>
      </c>
      <c r="B97" s="8">
        <f>B7</f>
        <v/>
      </c>
      <c r="C97" s="8">
        <f>C7</f>
        <v/>
      </c>
      <c r="D97" s="14" t="n"/>
      <c r="E97" s="14" t="n"/>
      <c r="F97" s="8">
        <f>D97+E97</f>
        <v/>
      </c>
      <c r="G97" s="14" t="n"/>
      <c r="H97" s="14" t="n"/>
      <c r="I97" s="8">
        <f>G97+H97</f>
        <v/>
      </c>
      <c r="J97" s="8">
        <f>D97+G97</f>
        <v/>
      </c>
      <c r="K97" s="8">
        <f>E97+H97</f>
        <v/>
      </c>
      <c r="L97" s="8">
        <f>J97+K97</f>
        <v/>
      </c>
      <c r="M97" s="9">
        <f>IF(C97=0,0,L97/C97*100)</f>
        <v/>
      </c>
    </row>
    <row r="98">
      <c r="A98" s="7" t="n">
        <v>4</v>
      </c>
      <c r="B98" s="8">
        <f>B8</f>
        <v/>
      </c>
      <c r="C98" s="8">
        <f>C8</f>
        <v/>
      </c>
      <c r="D98" s="14" t="n"/>
      <c r="E98" s="14" t="n"/>
      <c r="F98" s="8">
        <f>D98+E98</f>
        <v/>
      </c>
      <c r="G98" s="14" t="n"/>
      <c r="H98" s="14" t="n"/>
      <c r="I98" s="8">
        <f>G98+H98</f>
        <v/>
      </c>
      <c r="J98" s="8">
        <f>D98+G98</f>
        <v/>
      </c>
      <c r="K98" s="8">
        <f>E98+H98</f>
        <v/>
      </c>
      <c r="L98" s="8">
        <f>J98+K98</f>
        <v/>
      </c>
      <c r="M98" s="9">
        <f>IF(C98=0,0,L98/C98*100)</f>
        <v/>
      </c>
    </row>
    <row r="99">
      <c r="A99" s="7" t="n">
        <v>5</v>
      </c>
      <c r="B99" s="8">
        <f>B9</f>
        <v/>
      </c>
      <c r="C99" s="8">
        <f>C9</f>
        <v/>
      </c>
      <c r="D99" s="14" t="n"/>
      <c r="E99" s="14" t="n"/>
      <c r="F99" s="8">
        <f>D99+E99</f>
        <v/>
      </c>
      <c r="G99" s="14" t="n"/>
      <c r="H99" s="14" t="n"/>
      <c r="I99" s="8">
        <f>G99+H99</f>
        <v/>
      </c>
      <c r="J99" s="8">
        <f>D99+G99</f>
        <v/>
      </c>
      <c r="K99" s="8">
        <f>E99+H99</f>
        <v/>
      </c>
      <c r="L99" s="8">
        <f>J99+K99</f>
        <v/>
      </c>
      <c r="M99" s="9">
        <f>IF(C99=0,0,L99/C99*100)</f>
        <v/>
      </c>
    </row>
    <row r="100">
      <c r="A100" s="7" t="n">
        <v>6</v>
      </c>
      <c r="B100" s="8">
        <f>B10</f>
        <v/>
      </c>
      <c r="C100" s="8">
        <f>C10</f>
        <v/>
      </c>
      <c r="D100" s="14" t="n"/>
      <c r="E100" s="14" t="n"/>
      <c r="F100" s="8">
        <f>D100+E100</f>
        <v/>
      </c>
      <c r="G100" s="14" t="n"/>
      <c r="H100" s="14" t="n"/>
      <c r="I100" s="8">
        <f>G100+H100</f>
        <v/>
      </c>
      <c r="J100" s="8">
        <f>D100+G100</f>
        <v/>
      </c>
      <c r="K100" s="8">
        <f>E100+H100</f>
        <v/>
      </c>
      <c r="L100" s="8">
        <f>J100+K100</f>
        <v/>
      </c>
      <c r="M100" s="9">
        <f>IF(C100=0,0,L100/C100*100)</f>
        <v/>
      </c>
    </row>
    <row r="101">
      <c r="A101" s="7" t="n">
        <v>7</v>
      </c>
      <c r="B101" s="8">
        <f>B11</f>
        <v/>
      </c>
      <c r="C101" s="8">
        <f>C11</f>
        <v/>
      </c>
      <c r="D101" s="14" t="n"/>
      <c r="E101" s="14" t="n"/>
      <c r="F101" s="8">
        <f>D101+E101</f>
        <v/>
      </c>
      <c r="G101" s="14" t="n"/>
      <c r="H101" s="14" t="n"/>
      <c r="I101" s="8">
        <f>G101+H101</f>
        <v/>
      </c>
      <c r="J101" s="8">
        <f>D101+G101</f>
        <v/>
      </c>
      <c r="K101" s="8">
        <f>E101+H101</f>
        <v/>
      </c>
      <c r="L101" s="8">
        <f>J101+K101</f>
        <v/>
      </c>
      <c r="M101" s="9">
        <f>IF(C101=0,0,L101/C101*100)</f>
        <v/>
      </c>
    </row>
    <row r="102">
      <c r="A102" s="7" t="n">
        <v>8</v>
      </c>
      <c r="B102" s="8">
        <f>B12</f>
        <v/>
      </c>
      <c r="C102" s="8">
        <f>C12</f>
        <v/>
      </c>
      <c r="D102" s="14" t="n"/>
      <c r="E102" s="14" t="n"/>
      <c r="F102" s="8">
        <f>D102+E102</f>
        <v/>
      </c>
      <c r="G102" s="14" t="n"/>
      <c r="H102" s="14" t="n"/>
      <c r="I102" s="8">
        <f>G102+H102</f>
        <v/>
      </c>
      <c r="J102" s="8">
        <f>D102+G102</f>
        <v/>
      </c>
      <c r="K102" s="8">
        <f>E102+H102</f>
        <v/>
      </c>
      <c r="L102" s="8">
        <f>J102+K102</f>
        <v/>
      </c>
      <c r="M102" s="9">
        <f>IF(C102=0,0,L102/C102*100)</f>
        <v/>
      </c>
    </row>
    <row r="103">
      <c r="A103" s="7" t="n">
        <v>9</v>
      </c>
      <c r="B103" s="8">
        <f>B13</f>
        <v/>
      </c>
      <c r="C103" s="8">
        <f>C13</f>
        <v/>
      </c>
      <c r="D103" s="14" t="n"/>
      <c r="E103" s="14" t="n"/>
      <c r="F103" s="8">
        <f>D103+E103</f>
        <v/>
      </c>
      <c r="G103" s="14" t="n"/>
      <c r="H103" s="14" t="n"/>
      <c r="I103" s="8">
        <f>G103+H103</f>
        <v/>
      </c>
      <c r="J103" s="8">
        <f>D103+G103</f>
        <v/>
      </c>
      <c r="K103" s="8">
        <f>E103+H103</f>
        <v/>
      </c>
      <c r="L103" s="8">
        <f>J103+K103</f>
        <v/>
      </c>
      <c r="M103" s="9">
        <f>IF(C103=0,0,L103/C103*100)</f>
        <v/>
      </c>
    </row>
    <row r="104">
      <c r="A104" s="10" t="inlineStr">
        <is>
          <t>Total</t>
        </is>
      </c>
      <c r="B104" s="11">
        <f>SUM(B95:B103)</f>
        <v/>
      </c>
      <c r="C104" s="11">
        <f>SUM(C95:C103)</f>
        <v/>
      </c>
      <c r="D104" s="11">
        <f>SUM(D95:D103)</f>
        <v/>
      </c>
      <c r="E104" s="11">
        <f>SUM(E95:E103)</f>
        <v/>
      </c>
      <c r="F104" s="11">
        <f>D104+E104</f>
        <v/>
      </c>
      <c r="G104" s="11">
        <f>SUM(G95:G103)</f>
        <v/>
      </c>
      <c r="H104" s="11">
        <f>SUM(H95:H103)</f>
        <v/>
      </c>
      <c r="I104" s="11">
        <f>G104+H104</f>
        <v/>
      </c>
      <c r="J104" s="11">
        <f>D104+G104</f>
        <v/>
      </c>
      <c r="K104" s="11">
        <f>E104+H104</f>
        <v/>
      </c>
      <c r="L104" s="11">
        <f>J104+K104</f>
        <v/>
      </c>
      <c r="M104" s="12">
        <f>IF(C104=0,0,L104/C104*100)</f>
        <v/>
      </c>
    </row>
    <row r="106">
      <c r="A106" s="13" t="inlineStr">
        <is>
          <t>Day 7 - 2026-10-11 (Sun 25 Aswin 2083)</t>
        </is>
      </c>
    </row>
    <row r="107">
      <c r="A107" s="6" t="inlineStr">
        <is>
          <t>Ward no.</t>
        </is>
      </c>
      <c r="B107" s="6" t="inlineStr">
        <is>
          <t>Total population</t>
        </is>
      </c>
      <c r="C107" s="6" t="inlineStr">
        <is>
          <t>JE target population</t>
        </is>
      </c>
      <c r="D107" s="6" t="inlineStr">
        <is>
          <t>Vaccinated</t>
        </is>
      </c>
      <c r="E107" s="6" t="n"/>
      <c r="F107" s="6" t="n"/>
      <c r="G107" s="6" t="n"/>
      <c r="H107" s="6" t="n"/>
      <c r="I107" s="6" t="n"/>
      <c r="J107" s="6" t="n"/>
      <c r="K107" s="6" t="n"/>
      <c r="L107" s="6" t="n"/>
      <c r="M107" s="6" t="inlineStr">
        <is>
          <t>Progress %</t>
        </is>
      </c>
    </row>
    <row r="108">
      <c r="A108" s="6" t="n"/>
      <c r="B108" s="6" t="n"/>
      <c r="C108" s="6" t="n"/>
      <c r="D108" s="6" t="inlineStr">
        <is>
          <t>Age 30-60 yrs</t>
        </is>
      </c>
      <c r="E108" s="6" t="n"/>
      <c r="F108" s="6" t="n"/>
      <c r="G108" s="6" t="inlineStr">
        <is>
          <t>Age 60 above</t>
        </is>
      </c>
      <c r="H108" s="6" t="n"/>
      <c r="I108" s="6" t="n"/>
      <c r="J108" s="6" t="inlineStr">
        <is>
          <t>Total</t>
        </is>
      </c>
      <c r="K108" s="6" t="n"/>
      <c r="L108" s="6" t="inlineStr">
        <is>
          <t>Grand Total</t>
        </is>
      </c>
      <c r="M108" s="6" t="n"/>
    </row>
    <row r="109">
      <c r="A109" s="6" t="n"/>
      <c r="B109" s="6" t="n"/>
      <c r="C109" s="6" t="n"/>
      <c r="D109" s="6" t="inlineStr">
        <is>
          <t>F</t>
        </is>
      </c>
      <c r="E109" s="6" t="inlineStr">
        <is>
          <t>M</t>
        </is>
      </c>
      <c r="F109" s="6" t="inlineStr">
        <is>
          <t>Total</t>
        </is>
      </c>
      <c r="G109" s="6" t="inlineStr">
        <is>
          <t>F</t>
        </is>
      </c>
      <c r="H109" s="6" t="inlineStr">
        <is>
          <t>M</t>
        </is>
      </c>
      <c r="I109" s="6" t="inlineStr">
        <is>
          <t>Total</t>
        </is>
      </c>
      <c r="J109" s="6" t="inlineStr">
        <is>
          <t>F</t>
        </is>
      </c>
      <c r="K109" s="6" t="inlineStr">
        <is>
          <t>M</t>
        </is>
      </c>
      <c r="L109" s="6" t="n"/>
      <c r="M109" s="6" t="n"/>
    </row>
    <row r="110">
      <c r="A110" s="7" t="n">
        <v>1</v>
      </c>
      <c r="B110" s="8">
        <f>B5</f>
        <v/>
      </c>
      <c r="C110" s="8">
        <f>C5</f>
        <v/>
      </c>
      <c r="D110" s="14" t="n"/>
      <c r="E110" s="14" t="n"/>
      <c r="F110" s="8">
        <f>D110+E110</f>
        <v/>
      </c>
      <c r="G110" s="14" t="n"/>
      <c r="H110" s="14" t="n"/>
      <c r="I110" s="8">
        <f>G110+H110</f>
        <v/>
      </c>
      <c r="J110" s="8">
        <f>D110+G110</f>
        <v/>
      </c>
      <c r="K110" s="8">
        <f>E110+H110</f>
        <v/>
      </c>
      <c r="L110" s="8">
        <f>J110+K110</f>
        <v/>
      </c>
      <c r="M110" s="9">
        <f>IF(C110=0,0,L110/C110*100)</f>
        <v/>
      </c>
    </row>
    <row r="111">
      <c r="A111" s="7" t="n">
        <v>2</v>
      </c>
      <c r="B111" s="8">
        <f>B6</f>
        <v/>
      </c>
      <c r="C111" s="8">
        <f>C6</f>
        <v/>
      </c>
      <c r="D111" s="14" t="n"/>
      <c r="E111" s="14" t="n"/>
      <c r="F111" s="8">
        <f>D111+E111</f>
        <v/>
      </c>
      <c r="G111" s="14" t="n"/>
      <c r="H111" s="14" t="n"/>
      <c r="I111" s="8">
        <f>G111+H111</f>
        <v/>
      </c>
      <c r="J111" s="8">
        <f>D111+G111</f>
        <v/>
      </c>
      <c r="K111" s="8">
        <f>E111+H111</f>
        <v/>
      </c>
      <c r="L111" s="8">
        <f>J111+K111</f>
        <v/>
      </c>
      <c r="M111" s="9">
        <f>IF(C111=0,0,L111/C111*100)</f>
        <v/>
      </c>
    </row>
    <row r="112">
      <c r="A112" s="7" t="n">
        <v>3</v>
      </c>
      <c r="B112" s="8">
        <f>B7</f>
        <v/>
      </c>
      <c r="C112" s="8">
        <f>C7</f>
        <v/>
      </c>
      <c r="D112" s="14" t="n"/>
      <c r="E112" s="14" t="n"/>
      <c r="F112" s="8">
        <f>D112+E112</f>
        <v/>
      </c>
      <c r="G112" s="14" t="n"/>
      <c r="H112" s="14" t="n"/>
      <c r="I112" s="8">
        <f>G112+H112</f>
        <v/>
      </c>
      <c r="J112" s="8">
        <f>D112+G112</f>
        <v/>
      </c>
      <c r="K112" s="8">
        <f>E112+H112</f>
        <v/>
      </c>
      <c r="L112" s="8">
        <f>J112+K112</f>
        <v/>
      </c>
      <c r="M112" s="9">
        <f>IF(C112=0,0,L112/C112*100)</f>
        <v/>
      </c>
    </row>
    <row r="113">
      <c r="A113" s="7" t="n">
        <v>4</v>
      </c>
      <c r="B113" s="8">
        <f>B8</f>
        <v/>
      </c>
      <c r="C113" s="8">
        <f>C8</f>
        <v/>
      </c>
      <c r="D113" s="14" t="n"/>
      <c r="E113" s="14" t="n"/>
      <c r="F113" s="8">
        <f>D113+E113</f>
        <v/>
      </c>
      <c r="G113" s="14" t="n"/>
      <c r="H113" s="14" t="n"/>
      <c r="I113" s="8">
        <f>G113+H113</f>
        <v/>
      </c>
      <c r="J113" s="8">
        <f>D113+G113</f>
        <v/>
      </c>
      <c r="K113" s="8">
        <f>E113+H113</f>
        <v/>
      </c>
      <c r="L113" s="8">
        <f>J113+K113</f>
        <v/>
      </c>
      <c r="M113" s="9">
        <f>IF(C113=0,0,L113/C113*100)</f>
        <v/>
      </c>
    </row>
    <row r="114">
      <c r="A114" s="7" t="n">
        <v>5</v>
      </c>
      <c r="B114" s="8">
        <f>B9</f>
        <v/>
      </c>
      <c r="C114" s="8">
        <f>C9</f>
        <v/>
      </c>
      <c r="D114" s="14" t="n"/>
      <c r="E114" s="14" t="n"/>
      <c r="F114" s="8">
        <f>D114+E114</f>
        <v/>
      </c>
      <c r="G114" s="14" t="n"/>
      <c r="H114" s="14" t="n"/>
      <c r="I114" s="8">
        <f>G114+H114</f>
        <v/>
      </c>
      <c r="J114" s="8">
        <f>D114+G114</f>
        <v/>
      </c>
      <c r="K114" s="8">
        <f>E114+H114</f>
        <v/>
      </c>
      <c r="L114" s="8">
        <f>J114+K114</f>
        <v/>
      </c>
      <c r="M114" s="9">
        <f>IF(C114=0,0,L114/C114*100)</f>
        <v/>
      </c>
    </row>
    <row r="115">
      <c r="A115" s="7" t="n">
        <v>6</v>
      </c>
      <c r="B115" s="8">
        <f>B10</f>
        <v/>
      </c>
      <c r="C115" s="8">
        <f>C10</f>
        <v/>
      </c>
      <c r="D115" s="14" t="n"/>
      <c r="E115" s="14" t="n"/>
      <c r="F115" s="8">
        <f>D115+E115</f>
        <v/>
      </c>
      <c r="G115" s="14" t="n"/>
      <c r="H115" s="14" t="n"/>
      <c r="I115" s="8">
        <f>G115+H115</f>
        <v/>
      </c>
      <c r="J115" s="8">
        <f>D115+G115</f>
        <v/>
      </c>
      <c r="K115" s="8">
        <f>E115+H115</f>
        <v/>
      </c>
      <c r="L115" s="8">
        <f>J115+K115</f>
        <v/>
      </c>
      <c r="M115" s="9">
        <f>IF(C115=0,0,L115/C115*100)</f>
        <v/>
      </c>
    </row>
    <row r="116">
      <c r="A116" s="7" t="n">
        <v>7</v>
      </c>
      <c r="B116" s="8">
        <f>B11</f>
        <v/>
      </c>
      <c r="C116" s="8">
        <f>C11</f>
        <v/>
      </c>
      <c r="D116" s="14" t="n"/>
      <c r="E116" s="14" t="n"/>
      <c r="F116" s="8">
        <f>D116+E116</f>
        <v/>
      </c>
      <c r="G116" s="14" t="n"/>
      <c r="H116" s="14" t="n"/>
      <c r="I116" s="8">
        <f>G116+H116</f>
        <v/>
      </c>
      <c r="J116" s="8">
        <f>D116+G116</f>
        <v/>
      </c>
      <c r="K116" s="8">
        <f>E116+H116</f>
        <v/>
      </c>
      <c r="L116" s="8">
        <f>J116+K116</f>
        <v/>
      </c>
      <c r="M116" s="9">
        <f>IF(C116=0,0,L116/C116*100)</f>
        <v/>
      </c>
    </row>
    <row r="117">
      <c r="A117" s="7" t="n">
        <v>8</v>
      </c>
      <c r="B117" s="8">
        <f>B12</f>
        <v/>
      </c>
      <c r="C117" s="8">
        <f>C12</f>
        <v/>
      </c>
      <c r="D117" s="14" t="n"/>
      <c r="E117" s="14" t="n"/>
      <c r="F117" s="8">
        <f>D117+E117</f>
        <v/>
      </c>
      <c r="G117" s="14" t="n"/>
      <c r="H117" s="14" t="n"/>
      <c r="I117" s="8">
        <f>G117+H117</f>
        <v/>
      </c>
      <c r="J117" s="8">
        <f>D117+G117</f>
        <v/>
      </c>
      <c r="K117" s="8">
        <f>E117+H117</f>
        <v/>
      </c>
      <c r="L117" s="8">
        <f>J117+K117</f>
        <v/>
      </c>
      <c r="M117" s="9">
        <f>IF(C117=0,0,L117/C117*100)</f>
        <v/>
      </c>
    </row>
    <row r="118">
      <c r="A118" s="7" t="n">
        <v>9</v>
      </c>
      <c r="B118" s="8">
        <f>B13</f>
        <v/>
      </c>
      <c r="C118" s="8">
        <f>C13</f>
        <v/>
      </c>
      <c r="D118" s="14" t="n"/>
      <c r="E118" s="14" t="n"/>
      <c r="F118" s="8">
        <f>D118+E118</f>
        <v/>
      </c>
      <c r="G118" s="14" t="n"/>
      <c r="H118" s="14" t="n"/>
      <c r="I118" s="8">
        <f>G118+H118</f>
        <v/>
      </c>
      <c r="J118" s="8">
        <f>D118+G118</f>
        <v/>
      </c>
      <c r="K118" s="8">
        <f>E118+H118</f>
        <v/>
      </c>
      <c r="L118" s="8">
        <f>J118+K118</f>
        <v/>
      </c>
      <c r="M118" s="9">
        <f>IF(C118=0,0,L118/C118*100)</f>
        <v/>
      </c>
    </row>
    <row r="119">
      <c r="A119" s="10" t="inlineStr">
        <is>
          <t>Total</t>
        </is>
      </c>
      <c r="B119" s="11">
        <f>SUM(B110:B118)</f>
        <v/>
      </c>
      <c r="C119" s="11">
        <f>SUM(C110:C118)</f>
        <v/>
      </c>
      <c r="D119" s="11">
        <f>SUM(D110:D118)</f>
        <v/>
      </c>
      <c r="E119" s="11">
        <f>SUM(E110:E118)</f>
        <v/>
      </c>
      <c r="F119" s="11">
        <f>D119+E119</f>
        <v/>
      </c>
      <c r="G119" s="11">
        <f>SUM(G110:G118)</f>
        <v/>
      </c>
      <c r="H119" s="11">
        <f>SUM(H110:H118)</f>
        <v/>
      </c>
      <c r="I119" s="11">
        <f>G119+H119</f>
        <v/>
      </c>
      <c r="J119" s="11">
        <f>D119+G119</f>
        <v/>
      </c>
      <c r="K119" s="11">
        <f>E119+H119</f>
        <v/>
      </c>
      <c r="L119" s="11">
        <f>J119+K119</f>
        <v/>
      </c>
      <c r="M119" s="12">
        <f>IF(C119=0,0,L119/C119*100)</f>
        <v/>
      </c>
    </row>
    <row r="121">
      <c r="A121" s="13" t="inlineStr">
        <is>
          <t>Day 8 - 2026-10-12 (Mon 26 Aswin 2083)</t>
        </is>
      </c>
    </row>
    <row r="122">
      <c r="A122" s="6" t="inlineStr">
        <is>
          <t>Ward no.</t>
        </is>
      </c>
      <c r="B122" s="6" t="inlineStr">
        <is>
          <t>Total population</t>
        </is>
      </c>
      <c r="C122" s="6" t="inlineStr">
        <is>
          <t>JE target population</t>
        </is>
      </c>
      <c r="D122" s="6" t="inlineStr">
        <is>
          <t>Vaccinated</t>
        </is>
      </c>
      <c r="E122" s="6" t="n"/>
      <c r="F122" s="6" t="n"/>
      <c r="G122" s="6" t="n"/>
      <c r="H122" s="6" t="n"/>
      <c r="I122" s="6" t="n"/>
      <c r="J122" s="6" t="n"/>
      <c r="K122" s="6" t="n"/>
      <c r="L122" s="6" t="n"/>
      <c r="M122" s="6" t="inlineStr">
        <is>
          <t>Progress %</t>
        </is>
      </c>
    </row>
    <row r="123">
      <c r="A123" s="6" t="n"/>
      <c r="B123" s="6" t="n"/>
      <c r="C123" s="6" t="n"/>
      <c r="D123" s="6" t="inlineStr">
        <is>
          <t>Age 30-60 yrs</t>
        </is>
      </c>
      <c r="E123" s="6" t="n"/>
      <c r="F123" s="6" t="n"/>
      <c r="G123" s="6" t="inlineStr">
        <is>
          <t>Age 60 above</t>
        </is>
      </c>
      <c r="H123" s="6" t="n"/>
      <c r="I123" s="6" t="n"/>
      <c r="J123" s="6" t="inlineStr">
        <is>
          <t>Total</t>
        </is>
      </c>
      <c r="K123" s="6" t="n"/>
      <c r="L123" s="6" t="inlineStr">
        <is>
          <t>Grand Total</t>
        </is>
      </c>
      <c r="M123" s="6" t="n"/>
    </row>
    <row r="124">
      <c r="A124" s="6" t="n"/>
      <c r="B124" s="6" t="n"/>
      <c r="C124" s="6" t="n"/>
      <c r="D124" s="6" t="inlineStr">
        <is>
          <t>F</t>
        </is>
      </c>
      <c r="E124" s="6" t="inlineStr">
        <is>
          <t>M</t>
        </is>
      </c>
      <c r="F124" s="6" t="inlineStr">
        <is>
          <t>Total</t>
        </is>
      </c>
      <c r="G124" s="6" t="inlineStr">
        <is>
          <t>F</t>
        </is>
      </c>
      <c r="H124" s="6" t="inlineStr">
        <is>
          <t>M</t>
        </is>
      </c>
      <c r="I124" s="6" t="inlineStr">
        <is>
          <t>Total</t>
        </is>
      </c>
      <c r="J124" s="6" t="inlineStr">
        <is>
          <t>F</t>
        </is>
      </c>
      <c r="K124" s="6" t="inlineStr">
        <is>
          <t>M</t>
        </is>
      </c>
      <c r="L124" s="6" t="n"/>
      <c r="M124" s="6" t="n"/>
    </row>
    <row r="125">
      <c r="A125" s="7" t="n">
        <v>1</v>
      </c>
      <c r="B125" s="8">
        <f>B5</f>
        <v/>
      </c>
      <c r="C125" s="8">
        <f>C5</f>
        <v/>
      </c>
      <c r="D125" s="14" t="n"/>
      <c r="E125" s="14" t="n"/>
      <c r="F125" s="8">
        <f>D125+E125</f>
        <v/>
      </c>
      <c r="G125" s="14" t="n"/>
      <c r="H125" s="14" t="n"/>
      <c r="I125" s="8">
        <f>G125+H125</f>
        <v/>
      </c>
      <c r="J125" s="8">
        <f>D125+G125</f>
        <v/>
      </c>
      <c r="K125" s="8">
        <f>E125+H125</f>
        <v/>
      </c>
      <c r="L125" s="8">
        <f>J125+K125</f>
        <v/>
      </c>
      <c r="M125" s="9">
        <f>IF(C125=0,0,L125/C125*100)</f>
        <v/>
      </c>
    </row>
    <row r="126">
      <c r="A126" s="7" t="n">
        <v>2</v>
      </c>
      <c r="B126" s="8">
        <f>B6</f>
        <v/>
      </c>
      <c r="C126" s="8">
        <f>C6</f>
        <v/>
      </c>
      <c r="D126" s="14" t="n"/>
      <c r="E126" s="14" t="n"/>
      <c r="F126" s="8">
        <f>D126+E126</f>
        <v/>
      </c>
      <c r="G126" s="14" t="n"/>
      <c r="H126" s="14" t="n"/>
      <c r="I126" s="8">
        <f>G126+H126</f>
        <v/>
      </c>
      <c r="J126" s="8">
        <f>D126+G126</f>
        <v/>
      </c>
      <c r="K126" s="8">
        <f>E126+H126</f>
        <v/>
      </c>
      <c r="L126" s="8">
        <f>J126+K126</f>
        <v/>
      </c>
      <c r="M126" s="9">
        <f>IF(C126=0,0,L126/C126*100)</f>
        <v/>
      </c>
    </row>
    <row r="127">
      <c r="A127" s="7" t="n">
        <v>3</v>
      </c>
      <c r="B127" s="8">
        <f>B7</f>
        <v/>
      </c>
      <c r="C127" s="8">
        <f>C7</f>
        <v/>
      </c>
      <c r="D127" s="14" t="n"/>
      <c r="E127" s="14" t="n"/>
      <c r="F127" s="8">
        <f>D127+E127</f>
        <v/>
      </c>
      <c r="G127" s="14" t="n"/>
      <c r="H127" s="14" t="n"/>
      <c r="I127" s="8">
        <f>G127+H127</f>
        <v/>
      </c>
      <c r="J127" s="8">
        <f>D127+G127</f>
        <v/>
      </c>
      <c r="K127" s="8">
        <f>E127+H127</f>
        <v/>
      </c>
      <c r="L127" s="8">
        <f>J127+K127</f>
        <v/>
      </c>
      <c r="M127" s="9">
        <f>IF(C127=0,0,L127/C127*100)</f>
        <v/>
      </c>
    </row>
    <row r="128">
      <c r="A128" s="7" t="n">
        <v>4</v>
      </c>
      <c r="B128" s="8">
        <f>B8</f>
        <v/>
      </c>
      <c r="C128" s="8">
        <f>C8</f>
        <v/>
      </c>
      <c r="D128" s="14" t="n"/>
      <c r="E128" s="14" t="n"/>
      <c r="F128" s="8">
        <f>D128+E128</f>
        <v/>
      </c>
      <c r="G128" s="14" t="n"/>
      <c r="H128" s="14" t="n"/>
      <c r="I128" s="8">
        <f>G128+H128</f>
        <v/>
      </c>
      <c r="J128" s="8">
        <f>D128+G128</f>
        <v/>
      </c>
      <c r="K128" s="8">
        <f>E128+H128</f>
        <v/>
      </c>
      <c r="L128" s="8">
        <f>J128+K128</f>
        <v/>
      </c>
      <c r="M128" s="9">
        <f>IF(C128=0,0,L128/C128*100)</f>
        <v/>
      </c>
    </row>
    <row r="129">
      <c r="A129" s="7" t="n">
        <v>5</v>
      </c>
      <c r="B129" s="8">
        <f>B9</f>
        <v/>
      </c>
      <c r="C129" s="8">
        <f>C9</f>
        <v/>
      </c>
      <c r="D129" s="14" t="n"/>
      <c r="E129" s="14" t="n"/>
      <c r="F129" s="8">
        <f>D129+E129</f>
        <v/>
      </c>
      <c r="G129" s="14" t="n"/>
      <c r="H129" s="14" t="n"/>
      <c r="I129" s="8">
        <f>G129+H129</f>
        <v/>
      </c>
      <c r="J129" s="8">
        <f>D129+G129</f>
        <v/>
      </c>
      <c r="K129" s="8">
        <f>E129+H129</f>
        <v/>
      </c>
      <c r="L129" s="8">
        <f>J129+K129</f>
        <v/>
      </c>
      <c r="M129" s="9">
        <f>IF(C129=0,0,L129/C129*100)</f>
        <v/>
      </c>
    </row>
    <row r="130">
      <c r="A130" s="7" t="n">
        <v>6</v>
      </c>
      <c r="B130" s="8">
        <f>B10</f>
        <v/>
      </c>
      <c r="C130" s="8">
        <f>C10</f>
        <v/>
      </c>
      <c r="D130" s="14" t="n"/>
      <c r="E130" s="14" t="n"/>
      <c r="F130" s="8">
        <f>D130+E130</f>
        <v/>
      </c>
      <c r="G130" s="14" t="n"/>
      <c r="H130" s="14" t="n"/>
      <c r="I130" s="8">
        <f>G130+H130</f>
        <v/>
      </c>
      <c r="J130" s="8">
        <f>D130+G130</f>
        <v/>
      </c>
      <c r="K130" s="8">
        <f>E130+H130</f>
        <v/>
      </c>
      <c r="L130" s="8">
        <f>J130+K130</f>
        <v/>
      </c>
      <c r="M130" s="9">
        <f>IF(C130=0,0,L130/C130*100)</f>
        <v/>
      </c>
    </row>
    <row r="131">
      <c r="A131" s="7" t="n">
        <v>7</v>
      </c>
      <c r="B131" s="8">
        <f>B11</f>
        <v/>
      </c>
      <c r="C131" s="8">
        <f>C11</f>
        <v/>
      </c>
      <c r="D131" s="14" t="n"/>
      <c r="E131" s="14" t="n"/>
      <c r="F131" s="8">
        <f>D131+E131</f>
        <v/>
      </c>
      <c r="G131" s="14" t="n"/>
      <c r="H131" s="14" t="n"/>
      <c r="I131" s="8">
        <f>G131+H131</f>
        <v/>
      </c>
      <c r="J131" s="8">
        <f>D131+G131</f>
        <v/>
      </c>
      <c r="K131" s="8">
        <f>E131+H131</f>
        <v/>
      </c>
      <c r="L131" s="8">
        <f>J131+K131</f>
        <v/>
      </c>
      <c r="M131" s="9">
        <f>IF(C131=0,0,L131/C131*100)</f>
        <v/>
      </c>
    </row>
    <row r="132">
      <c r="A132" s="7" t="n">
        <v>8</v>
      </c>
      <c r="B132" s="8">
        <f>B12</f>
        <v/>
      </c>
      <c r="C132" s="8">
        <f>C12</f>
        <v/>
      </c>
      <c r="D132" s="14" t="n"/>
      <c r="E132" s="14" t="n"/>
      <c r="F132" s="8">
        <f>D132+E132</f>
        <v/>
      </c>
      <c r="G132" s="14" t="n"/>
      <c r="H132" s="14" t="n"/>
      <c r="I132" s="8">
        <f>G132+H132</f>
        <v/>
      </c>
      <c r="J132" s="8">
        <f>D132+G132</f>
        <v/>
      </c>
      <c r="K132" s="8">
        <f>E132+H132</f>
        <v/>
      </c>
      <c r="L132" s="8">
        <f>J132+K132</f>
        <v/>
      </c>
      <c r="M132" s="9">
        <f>IF(C132=0,0,L132/C132*100)</f>
        <v/>
      </c>
    </row>
    <row r="133">
      <c r="A133" s="7" t="n">
        <v>9</v>
      </c>
      <c r="B133" s="8">
        <f>B13</f>
        <v/>
      </c>
      <c r="C133" s="8">
        <f>C13</f>
        <v/>
      </c>
      <c r="D133" s="14" t="n"/>
      <c r="E133" s="14" t="n"/>
      <c r="F133" s="8">
        <f>D133+E133</f>
        <v/>
      </c>
      <c r="G133" s="14" t="n"/>
      <c r="H133" s="14" t="n"/>
      <c r="I133" s="8">
        <f>G133+H133</f>
        <v/>
      </c>
      <c r="J133" s="8">
        <f>D133+G133</f>
        <v/>
      </c>
      <c r="K133" s="8">
        <f>E133+H133</f>
        <v/>
      </c>
      <c r="L133" s="8">
        <f>J133+K133</f>
        <v/>
      </c>
      <c r="M133" s="9">
        <f>IF(C133=0,0,L133/C133*100)</f>
        <v/>
      </c>
    </row>
    <row r="134">
      <c r="A134" s="10" t="inlineStr">
        <is>
          <t>Total</t>
        </is>
      </c>
      <c r="B134" s="11">
        <f>SUM(B125:B133)</f>
        <v/>
      </c>
      <c r="C134" s="11">
        <f>SUM(C125:C133)</f>
        <v/>
      </c>
      <c r="D134" s="11">
        <f>SUM(D125:D133)</f>
        <v/>
      </c>
      <c r="E134" s="11">
        <f>SUM(E125:E133)</f>
        <v/>
      </c>
      <c r="F134" s="11">
        <f>D134+E134</f>
        <v/>
      </c>
      <c r="G134" s="11">
        <f>SUM(G125:G133)</f>
        <v/>
      </c>
      <c r="H134" s="11">
        <f>SUM(H125:H133)</f>
        <v/>
      </c>
      <c r="I134" s="11">
        <f>G134+H134</f>
        <v/>
      </c>
      <c r="J134" s="11">
        <f>D134+G134</f>
        <v/>
      </c>
      <c r="K134" s="11">
        <f>E134+H134</f>
        <v/>
      </c>
      <c r="L134" s="11">
        <f>J134+K134</f>
        <v/>
      </c>
      <c r="M134" s="12">
        <f>IF(C134=0,0,L134/C134*100)</f>
        <v/>
      </c>
    </row>
    <row r="136">
      <c r="A136" s="13" t="inlineStr">
        <is>
          <t>Day 9 - 2026-10-13 (Tue 27 Aswin 2083)</t>
        </is>
      </c>
    </row>
    <row r="137">
      <c r="A137" s="6" t="inlineStr">
        <is>
          <t>Ward no.</t>
        </is>
      </c>
      <c r="B137" s="6" t="inlineStr">
        <is>
          <t>Total population</t>
        </is>
      </c>
      <c r="C137" s="6" t="inlineStr">
        <is>
          <t>JE target population</t>
        </is>
      </c>
      <c r="D137" s="6" t="inlineStr">
        <is>
          <t>Vaccinated</t>
        </is>
      </c>
      <c r="E137" s="6" t="n"/>
      <c r="F137" s="6" t="n"/>
      <c r="G137" s="6" t="n"/>
      <c r="H137" s="6" t="n"/>
      <c r="I137" s="6" t="n"/>
      <c r="J137" s="6" t="n"/>
      <c r="K137" s="6" t="n"/>
      <c r="L137" s="6" t="n"/>
      <c r="M137" s="6" t="inlineStr">
        <is>
          <t>Progress %</t>
        </is>
      </c>
    </row>
    <row r="138">
      <c r="A138" s="6" t="n"/>
      <c r="B138" s="6" t="n"/>
      <c r="C138" s="6" t="n"/>
      <c r="D138" s="6" t="inlineStr">
        <is>
          <t>Age 30-60 yrs</t>
        </is>
      </c>
      <c r="E138" s="6" t="n"/>
      <c r="F138" s="6" t="n"/>
      <c r="G138" s="6" t="inlineStr">
        <is>
          <t>Age 60 above</t>
        </is>
      </c>
      <c r="H138" s="6" t="n"/>
      <c r="I138" s="6" t="n"/>
      <c r="J138" s="6" t="inlineStr">
        <is>
          <t>Total</t>
        </is>
      </c>
      <c r="K138" s="6" t="n"/>
      <c r="L138" s="6" t="inlineStr">
        <is>
          <t>Grand Total</t>
        </is>
      </c>
      <c r="M138" s="6" t="n"/>
    </row>
    <row r="139">
      <c r="A139" s="6" t="n"/>
      <c r="B139" s="6" t="n"/>
      <c r="C139" s="6" t="n"/>
      <c r="D139" s="6" t="inlineStr">
        <is>
          <t>F</t>
        </is>
      </c>
      <c r="E139" s="6" t="inlineStr">
        <is>
          <t>M</t>
        </is>
      </c>
      <c r="F139" s="6" t="inlineStr">
        <is>
          <t>Total</t>
        </is>
      </c>
      <c r="G139" s="6" t="inlineStr">
        <is>
          <t>F</t>
        </is>
      </c>
      <c r="H139" s="6" t="inlineStr">
        <is>
          <t>M</t>
        </is>
      </c>
      <c r="I139" s="6" t="inlineStr">
        <is>
          <t>Total</t>
        </is>
      </c>
      <c r="J139" s="6" t="inlineStr">
        <is>
          <t>F</t>
        </is>
      </c>
      <c r="K139" s="6" t="inlineStr">
        <is>
          <t>M</t>
        </is>
      </c>
      <c r="L139" s="6" t="n"/>
      <c r="M139" s="6" t="n"/>
    </row>
    <row r="140">
      <c r="A140" s="7" t="n">
        <v>1</v>
      </c>
      <c r="B140" s="8">
        <f>B5</f>
        <v/>
      </c>
      <c r="C140" s="8">
        <f>C5</f>
        <v/>
      </c>
      <c r="D140" s="14" t="n"/>
      <c r="E140" s="14" t="n"/>
      <c r="F140" s="8">
        <f>D140+E140</f>
        <v/>
      </c>
      <c r="G140" s="14" t="n"/>
      <c r="H140" s="14" t="n"/>
      <c r="I140" s="8">
        <f>G140+H140</f>
        <v/>
      </c>
      <c r="J140" s="8">
        <f>D140+G140</f>
        <v/>
      </c>
      <c r="K140" s="8">
        <f>E140+H140</f>
        <v/>
      </c>
      <c r="L140" s="8">
        <f>J140+K140</f>
        <v/>
      </c>
      <c r="M140" s="9">
        <f>IF(C140=0,0,L140/C140*100)</f>
        <v/>
      </c>
    </row>
    <row r="141">
      <c r="A141" s="7" t="n">
        <v>2</v>
      </c>
      <c r="B141" s="8">
        <f>B6</f>
        <v/>
      </c>
      <c r="C141" s="8">
        <f>C6</f>
        <v/>
      </c>
      <c r="D141" s="14" t="n"/>
      <c r="E141" s="14" t="n"/>
      <c r="F141" s="8">
        <f>D141+E141</f>
        <v/>
      </c>
      <c r="G141" s="14" t="n"/>
      <c r="H141" s="14" t="n"/>
      <c r="I141" s="8">
        <f>G141+H141</f>
        <v/>
      </c>
      <c r="J141" s="8">
        <f>D141+G141</f>
        <v/>
      </c>
      <c r="K141" s="8">
        <f>E141+H141</f>
        <v/>
      </c>
      <c r="L141" s="8">
        <f>J141+K141</f>
        <v/>
      </c>
      <c r="M141" s="9">
        <f>IF(C141=0,0,L141/C141*100)</f>
        <v/>
      </c>
    </row>
    <row r="142">
      <c r="A142" s="7" t="n">
        <v>3</v>
      </c>
      <c r="B142" s="8">
        <f>B7</f>
        <v/>
      </c>
      <c r="C142" s="8">
        <f>C7</f>
        <v/>
      </c>
      <c r="D142" s="14" t="n"/>
      <c r="E142" s="14" t="n"/>
      <c r="F142" s="8">
        <f>D142+E142</f>
        <v/>
      </c>
      <c r="G142" s="14" t="n"/>
      <c r="H142" s="14" t="n"/>
      <c r="I142" s="8">
        <f>G142+H142</f>
        <v/>
      </c>
      <c r="J142" s="8">
        <f>D142+G142</f>
        <v/>
      </c>
      <c r="K142" s="8">
        <f>E142+H142</f>
        <v/>
      </c>
      <c r="L142" s="8">
        <f>J142+K142</f>
        <v/>
      </c>
      <c r="M142" s="9">
        <f>IF(C142=0,0,L142/C142*100)</f>
        <v/>
      </c>
    </row>
    <row r="143">
      <c r="A143" s="7" t="n">
        <v>4</v>
      </c>
      <c r="B143" s="8">
        <f>B8</f>
        <v/>
      </c>
      <c r="C143" s="8">
        <f>C8</f>
        <v/>
      </c>
      <c r="D143" s="14" t="n"/>
      <c r="E143" s="14" t="n"/>
      <c r="F143" s="8">
        <f>D143+E143</f>
        <v/>
      </c>
      <c r="G143" s="14" t="n"/>
      <c r="H143" s="14" t="n"/>
      <c r="I143" s="8">
        <f>G143+H143</f>
        <v/>
      </c>
      <c r="J143" s="8">
        <f>D143+G143</f>
        <v/>
      </c>
      <c r="K143" s="8">
        <f>E143+H143</f>
        <v/>
      </c>
      <c r="L143" s="8">
        <f>J143+K143</f>
        <v/>
      </c>
      <c r="M143" s="9">
        <f>IF(C143=0,0,L143/C143*100)</f>
        <v/>
      </c>
    </row>
    <row r="144">
      <c r="A144" s="7" t="n">
        <v>5</v>
      </c>
      <c r="B144" s="8">
        <f>B9</f>
        <v/>
      </c>
      <c r="C144" s="8">
        <f>C9</f>
        <v/>
      </c>
      <c r="D144" s="14" t="n"/>
      <c r="E144" s="14" t="n"/>
      <c r="F144" s="8">
        <f>D144+E144</f>
        <v/>
      </c>
      <c r="G144" s="14" t="n"/>
      <c r="H144" s="14" t="n"/>
      <c r="I144" s="8">
        <f>G144+H144</f>
        <v/>
      </c>
      <c r="J144" s="8">
        <f>D144+G144</f>
        <v/>
      </c>
      <c r="K144" s="8">
        <f>E144+H144</f>
        <v/>
      </c>
      <c r="L144" s="8">
        <f>J144+K144</f>
        <v/>
      </c>
      <c r="M144" s="9">
        <f>IF(C144=0,0,L144/C144*100)</f>
        <v/>
      </c>
    </row>
    <row r="145">
      <c r="A145" s="7" t="n">
        <v>6</v>
      </c>
      <c r="B145" s="8">
        <f>B10</f>
        <v/>
      </c>
      <c r="C145" s="8">
        <f>C10</f>
        <v/>
      </c>
      <c r="D145" s="14" t="n"/>
      <c r="E145" s="14" t="n"/>
      <c r="F145" s="8">
        <f>D145+E145</f>
        <v/>
      </c>
      <c r="G145" s="14" t="n"/>
      <c r="H145" s="14" t="n"/>
      <c r="I145" s="8">
        <f>G145+H145</f>
        <v/>
      </c>
      <c r="J145" s="8">
        <f>D145+G145</f>
        <v/>
      </c>
      <c r="K145" s="8">
        <f>E145+H145</f>
        <v/>
      </c>
      <c r="L145" s="8">
        <f>J145+K145</f>
        <v/>
      </c>
      <c r="M145" s="9">
        <f>IF(C145=0,0,L145/C145*100)</f>
        <v/>
      </c>
    </row>
    <row r="146">
      <c r="A146" s="7" t="n">
        <v>7</v>
      </c>
      <c r="B146" s="8">
        <f>B11</f>
        <v/>
      </c>
      <c r="C146" s="8">
        <f>C11</f>
        <v/>
      </c>
      <c r="D146" s="14" t="n"/>
      <c r="E146" s="14" t="n"/>
      <c r="F146" s="8">
        <f>D146+E146</f>
        <v/>
      </c>
      <c r="G146" s="14" t="n"/>
      <c r="H146" s="14" t="n"/>
      <c r="I146" s="8">
        <f>G146+H146</f>
        <v/>
      </c>
      <c r="J146" s="8">
        <f>D146+G146</f>
        <v/>
      </c>
      <c r="K146" s="8">
        <f>E146+H146</f>
        <v/>
      </c>
      <c r="L146" s="8">
        <f>J146+K146</f>
        <v/>
      </c>
      <c r="M146" s="9">
        <f>IF(C146=0,0,L146/C146*100)</f>
        <v/>
      </c>
    </row>
    <row r="147">
      <c r="A147" s="7" t="n">
        <v>8</v>
      </c>
      <c r="B147" s="8">
        <f>B12</f>
        <v/>
      </c>
      <c r="C147" s="8">
        <f>C12</f>
        <v/>
      </c>
      <c r="D147" s="14" t="n"/>
      <c r="E147" s="14" t="n"/>
      <c r="F147" s="8">
        <f>D147+E147</f>
        <v/>
      </c>
      <c r="G147" s="14" t="n"/>
      <c r="H147" s="14" t="n"/>
      <c r="I147" s="8">
        <f>G147+H147</f>
        <v/>
      </c>
      <c r="J147" s="8">
        <f>D147+G147</f>
        <v/>
      </c>
      <c r="K147" s="8">
        <f>E147+H147</f>
        <v/>
      </c>
      <c r="L147" s="8">
        <f>J147+K147</f>
        <v/>
      </c>
      <c r="M147" s="9">
        <f>IF(C147=0,0,L147/C147*100)</f>
        <v/>
      </c>
    </row>
    <row r="148">
      <c r="A148" s="7" t="n">
        <v>9</v>
      </c>
      <c r="B148" s="8">
        <f>B13</f>
        <v/>
      </c>
      <c r="C148" s="8">
        <f>C13</f>
        <v/>
      </c>
      <c r="D148" s="14" t="n"/>
      <c r="E148" s="14" t="n"/>
      <c r="F148" s="8">
        <f>D148+E148</f>
        <v/>
      </c>
      <c r="G148" s="14" t="n"/>
      <c r="H148" s="14" t="n"/>
      <c r="I148" s="8">
        <f>G148+H148</f>
        <v/>
      </c>
      <c r="J148" s="8">
        <f>D148+G148</f>
        <v/>
      </c>
      <c r="K148" s="8">
        <f>E148+H148</f>
        <v/>
      </c>
      <c r="L148" s="8">
        <f>J148+K148</f>
        <v/>
      </c>
      <c r="M148" s="9">
        <f>IF(C148=0,0,L148/C148*100)</f>
        <v/>
      </c>
    </row>
    <row r="149">
      <c r="A149" s="10" t="inlineStr">
        <is>
          <t>Total</t>
        </is>
      </c>
      <c r="B149" s="11">
        <f>SUM(B140:B148)</f>
        <v/>
      </c>
      <c r="C149" s="11">
        <f>SUM(C140:C148)</f>
        <v/>
      </c>
      <c r="D149" s="11">
        <f>SUM(D140:D148)</f>
        <v/>
      </c>
      <c r="E149" s="11">
        <f>SUM(E140:E148)</f>
        <v/>
      </c>
      <c r="F149" s="11">
        <f>D149+E149</f>
        <v/>
      </c>
      <c r="G149" s="11">
        <f>SUM(G140:G148)</f>
        <v/>
      </c>
      <c r="H149" s="11">
        <f>SUM(H140:H148)</f>
        <v/>
      </c>
      <c r="I149" s="11">
        <f>G149+H149</f>
        <v/>
      </c>
      <c r="J149" s="11">
        <f>D149+G149</f>
        <v/>
      </c>
      <c r="K149" s="11">
        <f>E149+H149</f>
        <v/>
      </c>
      <c r="L149" s="11">
        <f>J149+K149</f>
        <v/>
      </c>
      <c r="M149" s="12">
        <f>IF(C149=0,0,L149/C149*100)</f>
        <v/>
      </c>
    </row>
    <row r="151">
      <c r="A151" s="13" t="inlineStr">
        <is>
          <t>Day 10 - 2026-10-14 (Wed 28 Aswin 2083)</t>
        </is>
      </c>
    </row>
    <row r="152">
      <c r="A152" s="6" t="inlineStr">
        <is>
          <t>Ward no.</t>
        </is>
      </c>
      <c r="B152" s="6" t="inlineStr">
        <is>
          <t>Total population</t>
        </is>
      </c>
      <c r="C152" s="6" t="inlineStr">
        <is>
          <t>JE target population</t>
        </is>
      </c>
      <c r="D152" s="6" t="inlineStr">
        <is>
          <t>Vaccinated</t>
        </is>
      </c>
      <c r="E152" s="6" t="n"/>
      <c r="F152" s="6" t="n"/>
      <c r="G152" s="6" t="n"/>
      <c r="H152" s="6" t="n"/>
      <c r="I152" s="6" t="n"/>
      <c r="J152" s="6" t="n"/>
      <c r="K152" s="6" t="n"/>
      <c r="L152" s="6" t="n"/>
      <c r="M152" s="6" t="inlineStr">
        <is>
          <t>Progress %</t>
        </is>
      </c>
    </row>
    <row r="153">
      <c r="A153" s="6" t="n"/>
      <c r="B153" s="6" t="n"/>
      <c r="C153" s="6" t="n"/>
      <c r="D153" s="6" t="inlineStr">
        <is>
          <t>Age 30-60 yrs</t>
        </is>
      </c>
      <c r="E153" s="6" t="n"/>
      <c r="F153" s="6" t="n"/>
      <c r="G153" s="6" t="inlineStr">
        <is>
          <t>Age 60 above</t>
        </is>
      </c>
      <c r="H153" s="6" t="n"/>
      <c r="I153" s="6" t="n"/>
      <c r="J153" s="6" t="inlineStr">
        <is>
          <t>Total</t>
        </is>
      </c>
      <c r="K153" s="6" t="n"/>
      <c r="L153" s="6" t="inlineStr">
        <is>
          <t>Grand Total</t>
        </is>
      </c>
      <c r="M153" s="6" t="n"/>
    </row>
    <row r="154">
      <c r="A154" s="6" t="n"/>
      <c r="B154" s="6" t="n"/>
      <c r="C154" s="6" t="n"/>
      <c r="D154" s="6" t="inlineStr">
        <is>
          <t>F</t>
        </is>
      </c>
      <c r="E154" s="6" t="inlineStr">
        <is>
          <t>M</t>
        </is>
      </c>
      <c r="F154" s="6" t="inlineStr">
        <is>
          <t>Total</t>
        </is>
      </c>
      <c r="G154" s="6" t="inlineStr">
        <is>
          <t>F</t>
        </is>
      </c>
      <c r="H154" s="6" t="inlineStr">
        <is>
          <t>M</t>
        </is>
      </c>
      <c r="I154" s="6" t="inlineStr">
        <is>
          <t>Total</t>
        </is>
      </c>
      <c r="J154" s="6" t="inlineStr">
        <is>
          <t>F</t>
        </is>
      </c>
      <c r="K154" s="6" t="inlineStr">
        <is>
          <t>M</t>
        </is>
      </c>
      <c r="L154" s="6" t="n"/>
      <c r="M154" s="6" t="n"/>
    </row>
    <row r="155">
      <c r="A155" s="7" t="n">
        <v>1</v>
      </c>
      <c r="B155" s="8">
        <f>B5</f>
        <v/>
      </c>
      <c r="C155" s="8">
        <f>C5</f>
        <v/>
      </c>
      <c r="D155" s="14" t="n"/>
      <c r="E155" s="14" t="n"/>
      <c r="F155" s="8">
        <f>D155+E155</f>
        <v/>
      </c>
      <c r="G155" s="14" t="n"/>
      <c r="H155" s="14" t="n"/>
      <c r="I155" s="8">
        <f>G155+H155</f>
        <v/>
      </c>
      <c r="J155" s="8">
        <f>D155+G155</f>
        <v/>
      </c>
      <c r="K155" s="8">
        <f>E155+H155</f>
        <v/>
      </c>
      <c r="L155" s="8">
        <f>J155+K155</f>
        <v/>
      </c>
      <c r="M155" s="9">
        <f>IF(C155=0,0,L155/C155*100)</f>
        <v/>
      </c>
    </row>
    <row r="156">
      <c r="A156" s="7" t="n">
        <v>2</v>
      </c>
      <c r="B156" s="8">
        <f>B6</f>
        <v/>
      </c>
      <c r="C156" s="8">
        <f>C6</f>
        <v/>
      </c>
      <c r="D156" s="14" t="n"/>
      <c r="E156" s="14" t="n"/>
      <c r="F156" s="8">
        <f>D156+E156</f>
        <v/>
      </c>
      <c r="G156" s="14" t="n"/>
      <c r="H156" s="14" t="n"/>
      <c r="I156" s="8">
        <f>G156+H156</f>
        <v/>
      </c>
      <c r="J156" s="8">
        <f>D156+G156</f>
        <v/>
      </c>
      <c r="K156" s="8">
        <f>E156+H156</f>
        <v/>
      </c>
      <c r="L156" s="8">
        <f>J156+K156</f>
        <v/>
      </c>
      <c r="M156" s="9">
        <f>IF(C156=0,0,L156/C156*100)</f>
        <v/>
      </c>
    </row>
    <row r="157">
      <c r="A157" s="7" t="n">
        <v>3</v>
      </c>
      <c r="B157" s="8">
        <f>B7</f>
        <v/>
      </c>
      <c r="C157" s="8">
        <f>C7</f>
        <v/>
      </c>
      <c r="D157" s="14" t="n"/>
      <c r="E157" s="14" t="n"/>
      <c r="F157" s="8">
        <f>D157+E157</f>
        <v/>
      </c>
      <c r="G157" s="14" t="n"/>
      <c r="H157" s="14" t="n"/>
      <c r="I157" s="8">
        <f>G157+H157</f>
        <v/>
      </c>
      <c r="J157" s="8">
        <f>D157+G157</f>
        <v/>
      </c>
      <c r="K157" s="8">
        <f>E157+H157</f>
        <v/>
      </c>
      <c r="L157" s="8">
        <f>J157+K157</f>
        <v/>
      </c>
      <c r="M157" s="9">
        <f>IF(C157=0,0,L157/C157*100)</f>
        <v/>
      </c>
    </row>
    <row r="158">
      <c r="A158" s="7" t="n">
        <v>4</v>
      </c>
      <c r="B158" s="8">
        <f>B8</f>
        <v/>
      </c>
      <c r="C158" s="8">
        <f>C8</f>
        <v/>
      </c>
      <c r="D158" s="14" t="n"/>
      <c r="E158" s="14" t="n"/>
      <c r="F158" s="8">
        <f>D158+E158</f>
        <v/>
      </c>
      <c r="G158" s="14" t="n"/>
      <c r="H158" s="14" t="n"/>
      <c r="I158" s="8">
        <f>G158+H158</f>
        <v/>
      </c>
      <c r="J158" s="8">
        <f>D158+G158</f>
        <v/>
      </c>
      <c r="K158" s="8">
        <f>E158+H158</f>
        <v/>
      </c>
      <c r="L158" s="8">
        <f>J158+K158</f>
        <v/>
      </c>
      <c r="M158" s="9">
        <f>IF(C158=0,0,L158/C158*100)</f>
        <v/>
      </c>
    </row>
    <row r="159">
      <c r="A159" s="7" t="n">
        <v>5</v>
      </c>
      <c r="B159" s="8">
        <f>B9</f>
        <v/>
      </c>
      <c r="C159" s="8">
        <f>C9</f>
        <v/>
      </c>
      <c r="D159" s="14" t="n"/>
      <c r="E159" s="14" t="n"/>
      <c r="F159" s="8">
        <f>D159+E159</f>
        <v/>
      </c>
      <c r="G159" s="14" t="n"/>
      <c r="H159" s="14" t="n"/>
      <c r="I159" s="8">
        <f>G159+H159</f>
        <v/>
      </c>
      <c r="J159" s="8">
        <f>D159+G159</f>
        <v/>
      </c>
      <c r="K159" s="8">
        <f>E159+H159</f>
        <v/>
      </c>
      <c r="L159" s="8">
        <f>J159+K159</f>
        <v/>
      </c>
      <c r="M159" s="9">
        <f>IF(C159=0,0,L159/C159*100)</f>
        <v/>
      </c>
    </row>
    <row r="160">
      <c r="A160" s="7" t="n">
        <v>6</v>
      </c>
      <c r="B160" s="8">
        <f>B10</f>
        <v/>
      </c>
      <c r="C160" s="8">
        <f>C10</f>
        <v/>
      </c>
      <c r="D160" s="14" t="n"/>
      <c r="E160" s="14" t="n"/>
      <c r="F160" s="8">
        <f>D160+E160</f>
        <v/>
      </c>
      <c r="G160" s="14" t="n"/>
      <c r="H160" s="14" t="n"/>
      <c r="I160" s="8">
        <f>G160+H160</f>
        <v/>
      </c>
      <c r="J160" s="8">
        <f>D160+G160</f>
        <v/>
      </c>
      <c r="K160" s="8">
        <f>E160+H160</f>
        <v/>
      </c>
      <c r="L160" s="8">
        <f>J160+K160</f>
        <v/>
      </c>
      <c r="M160" s="9">
        <f>IF(C160=0,0,L160/C160*100)</f>
        <v/>
      </c>
    </row>
    <row r="161">
      <c r="A161" s="7" t="n">
        <v>7</v>
      </c>
      <c r="B161" s="8">
        <f>B11</f>
        <v/>
      </c>
      <c r="C161" s="8">
        <f>C11</f>
        <v/>
      </c>
      <c r="D161" s="14" t="n"/>
      <c r="E161" s="14" t="n"/>
      <c r="F161" s="8">
        <f>D161+E161</f>
        <v/>
      </c>
      <c r="G161" s="14" t="n"/>
      <c r="H161" s="14" t="n"/>
      <c r="I161" s="8">
        <f>G161+H161</f>
        <v/>
      </c>
      <c r="J161" s="8">
        <f>D161+G161</f>
        <v/>
      </c>
      <c r="K161" s="8">
        <f>E161+H161</f>
        <v/>
      </c>
      <c r="L161" s="8">
        <f>J161+K161</f>
        <v/>
      </c>
      <c r="M161" s="9">
        <f>IF(C161=0,0,L161/C161*100)</f>
        <v/>
      </c>
    </row>
    <row r="162">
      <c r="A162" s="7" t="n">
        <v>8</v>
      </c>
      <c r="B162" s="8">
        <f>B12</f>
        <v/>
      </c>
      <c r="C162" s="8">
        <f>C12</f>
        <v/>
      </c>
      <c r="D162" s="14" t="n"/>
      <c r="E162" s="14" t="n"/>
      <c r="F162" s="8">
        <f>D162+E162</f>
        <v/>
      </c>
      <c r="G162" s="14" t="n"/>
      <c r="H162" s="14" t="n"/>
      <c r="I162" s="8">
        <f>G162+H162</f>
        <v/>
      </c>
      <c r="J162" s="8">
        <f>D162+G162</f>
        <v/>
      </c>
      <c r="K162" s="8">
        <f>E162+H162</f>
        <v/>
      </c>
      <c r="L162" s="8">
        <f>J162+K162</f>
        <v/>
      </c>
      <c r="M162" s="9">
        <f>IF(C162=0,0,L162/C162*100)</f>
        <v/>
      </c>
    </row>
    <row r="163">
      <c r="A163" s="7" t="n">
        <v>9</v>
      </c>
      <c r="B163" s="8">
        <f>B13</f>
        <v/>
      </c>
      <c r="C163" s="8">
        <f>C13</f>
        <v/>
      </c>
      <c r="D163" s="14" t="n"/>
      <c r="E163" s="14" t="n"/>
      <c r="F163" s="8">
        <f>D163+E163</f>
        <v/>
      </c>
      <c r="G163" s="14" t="n"/>
      <c r="H163" s="14" t="n"/>
      <c r="I163" s="8">
        <f>G163+H163</f>
        <v/>
      </c>
      <c r="J163" s="8">
        <f>D163+G163</f>
        <v/>
      </c>
      <c r="K163" s="8">
        <f>E163+H163</f>
        <v/>
      </c>
      <c r="L163" s="8">
        <f>J163+K163</f>
        <v/>
      </c>
      <c r="M163" s="9">
        <f>IF(C163=0,0,L163/C163*100)</f>
        <v/>
      </c>
    </row>
    <row r="164">
      <c r="A164" s="10" t="inlineStr">
        <is>
          <t>Total</t>
        </is>
      </c>
      <c r="B164" s="11">
        <f>SUM(B155:B163)</f>
        <v/>
      </c>
      <c r="C164" s="11">
        <f>SUM(C155:C163)</f>
        <v/>
      </c>
      <c r="D164" s="11">
        <f>SUM(D155:D163)</f>
        <v/>
      </c>
      <c r="E164" s="11">
        <f>SUM(E155:E163)</f>
        <v/>
      </c>
      <c r="F164" s="11">
        <f>D164+E164</f>
        <v/>
      </c>
      <c r="G164" s="11">
        <f>SUM(G155:G163)</f>
        <v/>
      </c>
      <c r="H164" s="11">
        <f>SUM(H155:H163)</f>
        <v/>
      </c>
      <c r="I164" s="11">
        <f>G164+H164</f>
        <v/>
      </c>
      <c r="J164" s="11">
        <f>D164+G164</f>
        <v/>
      </c>
      <c r="K164" s="11">
        <f>E164+H164</f>
        <v/>
      </c>
      <c r="L164" s="11">
        <f>J164+K164</f>
        <v/>
      </c>
      <c r="M164" s="12">
        <f>IF(C164=0,0,L164/C164*100)</f>
        <v/>
      </c>
    </row>
    <row r="166">
      <c r="A166" s="13" t="inlineStr">
        <is>
          <t>Day 11 - 2026-10-15 (Thu 29 Aswin 2083)</t>
        </is>
      </c>
    </row>
    <row r="167">
      <c r="A167" s="6" t="inlineStr">
        <is>
          <t>Ward no.</t>
        </is>
      </c>
      <c r="B167" s="6" t="inlineStr">
        <is>
          <t>Total population</t>
        </is>
      </c>
      <c r="C167" s="6" t="inlineStr">
        <is>
          <t>JE target population</t>
        </is>
      </c>
      <c r="D167" s="6" t="inlineStr">
        <is>
          <t>Vaccinated</t>
        </is>
      </c>
      <c r="E167" s="6" t="n"/>
      <c r="F167" s="6" t="n"/>
      <c r="G167" s="6" t="n"/>
      <c r="H167" s="6" t="n"/>
      <c r="I167" s="6" t="n"/>
      <c r="J167" s="6" t="n"/>
      <c r="K167" s="6" t="n"/>
      <c r="L167" s="6" t="n"/>
      <c r="M167" s="6" t="inlineStr">
        <is>
          <t>Progress %</t>
        </is>
      </c>
    </row>
    <row r="168">
      <c r="A168" s="6" t="n"/>
      <c r="B168" s="6" t="n"/>
      <c r="C168" s="6" t="n"/>
      <c r="D168" s="6" t="inlineStr">
        <is>
          <t>Age 30-60 yrs</t>
        </is>
      </c>
      <c r="E168" s="6" t="n"/>
      <c r="F168" s="6" t="n"/>
      <c r="G168" s="6" t="inlineStr">
        <is>
          <t>Age 60 above</t>
        </is>
      </c>
      <c r="H168" s="6" t="n"/>
      <c r="I168" s="6" t="n"/>
      <c r="J168" s="6" t="inlineStr">
        <is>
          <t>Total</t>
        </is>
      </c>
      <c r="K168" s="6" t="n"/>
      <c r="L168" s="6" t="inlineStr">
        <is>
          <t>Grand Total</t>
        </is>
      </c>
      <c r="M168" s="6" t="n"/>
    </row>
    <row r="169">
      <c r="A169" s="6" t="n"/>
      <c r="B169" s="6" t="n"/>
      <c r="C169" s="6" t="n"/>
      <c r="D169" s="6" t="inlineStr">
        <is>
          <t>F</t>
        </is>
      </c>
      <c r="E169" s="6" t="inlineStr">
        <is>
          <t>M</t>
        </is>
      </c>
      <c r="F169" s="6" t="inlineStr">
        <is>
          <t>Total</t>
        </is>
      </c>
      <c r="G169" s="6" t="inlineStr">
        <is>
          <t>F</t>
        </is>
      </c>
      <c r="H169" s="6" t="inlineStr">
        <is>
          <t>M</t>
        </is>
      </c>
      <c r="I169" s="6" t="inlineStr">
        <is>
          <t>Total</t>
        </is>
      </c>
      <c r="J169" s="6" t="inlineStr">
        <is>
          <t>F</t>
        </is>
      </c>
      <c r="K169" s="6" t="inlineStr">
        <is>
          <t>M</t>
        </is>
      </c>
      <c r="L169" s="6" t="n"/>
      <c r="M169" s="6" t="n"/>
    </row>
    <row r="170">
      <c r="A170" s="7" t="n">
        <v>1</v>
      </c>
      <c r="B170" s="8">
        <f>B5</f>
        <v/>
      </c>
      <c r="C170" s="8">
        <f>C5</f>
        <v/>
      </c>
      <c r="D170" s="14" t="n"/>
      <c r="E170" s="14" t="n"/>
      <c r="F170" s="8">
        <f>D170+E170</f>
        <v/>
      </c>
      <c r="G170" s="14" t="n"/>
      <c r="H170" s="14" t="n"/>
      <c r="I170" s="8">
        <f>G170+H170</f>
        <v/>
      </c>
      <c r="J170" s="8">
        <f>D170+G170</f>
        <v/>
      </c>
      <c r="K170" s="8">
        <f>E170+H170</f>
        <v/>
      </c>
      <c r="L170" s="8">
        <f>J170+K170</f>
        <v/>
      </c>
      <c r="M170" s="9">
        <f>IF(C170=0,0,L170/C170*100)</f>
        <v/>
      </c>
    </row>
    <row r="171">
      <c r="A171" s="7" t="n">
        <v>2</v>
      </c>
      <c r="B171" s="8">
        <f>B6</f>
        <v/>
      </c>
      <c r="C171" s="8">
        <f>C6</f>
        <v/>
      </c>
      <c r="D171" s="14" t="n"/>
      <c r="E171" s="14" t="n"/>
      <c r="F171" s="8">
        <f>D171+E171</f>
        <v/>
      </c>
      <c r="G171" s="14" t="n"/>
      <c r="H171" s="14" t="n"/>
      <c r="I171" s="8">
        <f>G171+H171</f>
        <v/>
      </c>
      <c r="J171" s="8">
        <f>D171+G171</f>
        <v/>
      </c>
      <c r="K171" s="8">
        <f>E171+H171</f>
        <v/>
      </c>
      <c r="L171" s="8">
        <f>J171+K171</f>
        <v/>
      </c>
      <c r="M171" s="9">
        <f>IF(C171=0,0,L171/C171*100)</f>
        <v/>
      </c>
    </row>
    <row r="172">
      <c r="A172" s="7" t="n">
        <v>3</v>
      </c>
      <c r="B172" s="8">
        <f>B7</f>
        <v/>
      </c>
      <c r="C172" s="8">
        <f>C7</f>
        <v/>
      </c>
      <c r="D172" s="14" t="n"/>
      <c r="E172" s="14" t="n"/>
      <c r="F172" s="8">
        <f>D172+E172</f>
        <v/>
      </c>
      <c r="G172" s="14" t="n"/>
      <c r="H172" s="14" t="n"/>
      <c r="I172" s="8">
        <f>G172+H172</f>
        <v/>
      </c>
      <c r="J172" s="8">
        <f>D172+G172</f>
        <v/>
      </c>
      <c r="K172" s="8">
        <f>E172+H172</f>
        <v/>
      </c>
      <c r="L172" s="8">
        <f>J172+K172</f>
        <v/>
      </c>
      <c r="M172" s="9">
        <f>IF(C172=0,0,L172/C172*100)</f>
        <v/>
      </c>
    </row>
    <row r="173">
      <c r="A173" s="7" t="n">
        <v>4</v>
      </c>
      <c r="B173" s="8">
        <f>B8</f>
        <v/>
      </c>
      <c r="C173" s="8">
        <f>C8</f>
        <v/>
      </c>
      <c r="D173" s="14" t="n"/>
      <c r="E173" s="14" t="n"/>
      <c r="F173" s="8">
        <f>D173+E173</f>
        <v/>
      </c>
      <c r="G173" s="14" t="n"/>
      <c r="H173" s="14" t="n"/>
      <c r="I173" s="8">
        <f>G173+H173</f>
        <v/>
      </c>
      <c r="J173" s="8">
        <f>D173+G173</f>
        <v/>
      </c>
      <c r="K173" s="8">
        <f>E173+H173</f>
        <v/>
      </c>
      <c r="L173" s="8">
        <f>J173+K173</f>
        <v/>
      </c>
      <c r="M173" s="9">
        <f>IF(C173=0,0,L173/C173*100)</f>
        <v/>
      </c>
    </row>
    <row r="174">
      <c r="A174" s="7" t="n">
        <v>5</v>
      </c>
      <c r="B174" s="8">
        <f>B9</f>
        <v/>
      </c>
      <c r="C174" s="8">
        <f>C9</f>
        <v/>
      </c>
      <c r="D174" s="14" t="n"/>
      <c r="E174" s="14" t="n"/>
      <c r="F174" s="8">
        <f>D174+E174</f>
        <v/>
      </c>
      <c r="G174" s="14" t="n"/>
      <c r="H174" s="14" t="n"/>
      <c r="I174" s="8">
        <f>G174+H174</f>
        <v/>
      </c>
      <c r="J174" s="8">
        <f>D174+G174</f>
        <v/>
      </c>
      <c r="K174" s="8">
        <f>E174+H174</f>
        <v/>
      </c>
      <c r="L174" s="8">
        <f>J174+K174</f>
        <v/>
      </c>
      <c r="M174" s="9">
        <f>IF(C174=0,0,L174/C174*100)</f>
        <v/>
      </c>
    </row>
    <row r="175">
      <c r="A175" s="7" t="n">
        <v>6</v>
      </c>
      <c r="B175" s="8">
        <f>B10</f>
        <v/>
      </c>
      <c r="C175" s="8">
        <f>C10</f>
        <v/>
      </c>
      <c r="D175" s="14" t="n"/>
      <c r="E175" s="14" t="n"/>
      <c r="F175" s="8">
        <f>D175+E175</f>
        <v/>
      </c>
      <c r="G175" s="14" t="n"/>
      <c r="H175" s="14" t="n"/>
      <c r="I175" s="8">
        <f>G175+H175</f>
        <v/>
      </c>
      <c r="J175" s="8">
        <f>D175+G175</f>
        <v/>
      </c>
      <c r="K175" s="8">
        <f>E175+H175</f>
        <v/>
      </c>
      <c r="L175" s="8">
        <f>J175+K175</f>
        <v/>
      </c>
      <c r="M175" s="9">
        <f>IF(C175=0,0,L175/C175*100)</f>
        <v/>
      </c>
    </row>
    <row r="176">
      <c r="A176" s="7" t="n">
        <v>7</v>
      </c>
      <c r="B176" s="8">
        <f>B11</f>
        <v/>
      </c>
      <c r="C176" s="8">
        <f>C11</f>
        <v/>
      </c>
      <c r="D176" s="14" t="n"/>
      <c r="E176" s="14" t="n"/>
      <c r="F176" s="8">
        <f>D176+E176</f>
        <v/>
      </c>
      <c r="G176" s="14" t="n"/>
      <c r="H176" s="14" t="n"/>
      <c r="I176" s="8">
        <f>G176+H176</f>
        <v/>
      </c>
      <c r="J176" s="8">
        <f>D176+G176</f>
        <v/>
      </c>
      <c r="K176" s="8">
        <f>E176+H176</f>
        <v/>
      </c>
      <c r="L176" s="8">
        <f>J176+K176</f>
        <v/>
      </c>
      <c r="M176" s="9">
        <f>IF(C176=0,0,L176/C176*100)</f>
        <v/>
      </c>
    </row>
    <row r="177">
      <c r="A177" s="7" t="n">
        <v>8</v>
      </c>
      <c r="B177" s="8">
        <f>B12</f>
        <v/>
      </c>
      <c r="C177" s="8">
        <f>C12</f>
        <v/>
      </c>
      <c r="D177" s="14" t="n"/>
      <c r="E177" s="14" t="n"/>
      <c r="F177" s="8">
        <f>D177+E177</f>
        <v/>
      </c>
      <c r="G177" s="14" t="n"/>
      <c r="H177" s="14" t="n"/>
      <c r="I177" s="8">
        <f>G177+H177</f>
        <v/>
      </c>
      <c r="J177" s="8">
        <f>D177+G177</f>
        <v/>
      </c>
      <c r="K177" s="8">
        <f>E177+H177</f>
        <v/>
      </c>
      <c r="L177" s="8">
        <f>J177+K177</f>
        <v/>
      </c>
      <c r="M177" s="9">
        <f>IF(C177=0,0,L177/C177*100)</f>
        <v/>
      </c>
    </row>
    <row r="178">
      <c r="A178" s="7" t="n">
        <v>9</v>
      </c>
      <c r="B178" s="8">
        <f>B13</f>
        <v/>
      </c>
      <c r="C178" s="8">
        <f>C13</f>
        <v/>
      </c>
      <c r="D178" s="14" t="n"/>
      <c r="E178" s="14" t="n"/>
      <c r="F178" s="8">
        <f>D178+E178</f>
        <v/>
      </c>
      <c r="G178" s="14" t="n"/>
      <c r="H178" s="14" t="n"/>
      <c r="I178" s="8">
        <f>G178+H178</f>
        <v/>
      </c>
      <c r="J178" s="8">
        <f>D178+G178</f>
        <v/>
      </c>
      <c r="K178" s="8">
        <f>E178+H178</f>
        <v/>
      </c>
      <c r="L178" s="8">
        <f>J178+K178</f>
        <v/>
      </c>
      <c r="M178" s="9">
        <f>IF(C178=0,0,L178/C178*100)</f>
        <v/>
      </c>
    </row>
    <row r="179">
      <c r="A179" s="10" t="inlineStr">
        <is>
          <t>Total</t>
        </is>
      </c>
      <c r="B179" s="11">
        <f>SUM(B170:B178)</f>
        <v/>
      </c>
      <c r="C179" s="11">
        <f>SUM(C170:C178)</f>
        <v/>
      </c>
      <c r="D179" s="11">
        <f>SUM(D170:D178)</f>
        <v/>
      </c>
      <c r="E179" s="11">
        <f>SUM(E170:E178)</f>
        <v/>
      </c>
      <c r="F179" s="11">
        <f>D179+E179</f>
        <v/>
      </c>
      <c r="G179" s="11">
        <f>SUM(G170:G178)</f>
        <v/>
      </c>
      <c r="H179" s="11">
        <f>SUM(H170:H178)</f>
        <v/>
      </c>
      <c r="I179" s="11">
        <f>G179+H179</f>
        <v/>
      </c>
      <c r="J179" s="11">
        <f>D179+G179</f>
        <v/>
      </c>
      <c r="K179" s="11">
        <f>E179+H179</f>
        <v/>
      </c>
      <c r="L179" s="11">
        <f>J179+K179</f>
        <v/>
      </c>
      <c r="M179" s="12">
        <f>IF(C179=0,0,L179/C179*100)</f>
        <v/>
      </c>
    </row>
    <row r="181">
      <c r="A181" s="13" t="inlineStr">
        <is>
          <t>Day 12 - 2026-10-16 (Fri 30 Aswin 2083)</t>
        </is>
      </c>
    </row>
    <row r="182">
      <c r="A182" s="6" t="inlineStr">
        <is>
          <t>Ward no.</t>
        </is>
      </c>
      <c r="B182" s="6" t="inlineStr">
        <is>
          <t>Total population</t>
        </is>
      </c>
      <c r="C182" s="6" t="inlineStr">
        <is>
          <t>JE target population</t>
        </is>
      </c>
      <c r="D182" s="6" t="inlineStr">
        <is>
          <t>Vaccinated</t>
        </is>
      </c>
      <c r="E182" s="6" t="n"/>
      <c r="F182" s="6" t="n"/>
      <c r="G182" s="6" t="n"/>
      <c r="H182" s="6" t="n"/>
      <c r="I182" s="6" t="n"/>
      <c r="J182" s="6" t="n"/>
      <c r="K182" s="6" t="n"/>
      <c r="L182" s="6" t="n"/>
      <c r="M182" s="6" t="inlineStr">
        <is>
          <t>Progress %</t>
        </is>
      </c>
    </row>
    <row r="183">
      <c r="A183" s="6" t="n"/>
      <c r="B183" s="6" t="n"/>
      <c r="C183" s="6" t="n"/>
      <c r="D183" s="6" t="inlineStr">
        <is>
          <t>Age 30-60 yrs</t>
        </is>
      </c>
      <c r="E183" s="6" t="n"/>
      <c r="F183" s="6" t="n"/>
      <c r="G183" s="6" t="inlineStr">
        <is>
          <t>Age 60 above</t>
        </is>
      </c>
      <c r="H183" s="6" t="n"/>
      <c r="I183" s="6" t="n"/>
      <c r="J183" s="6" t="inlineStr">
        <is>
          <t>Total</t>
        </is>
      </c>
      <c r="K183" s="6" t="n"/>
      <c r="L183" s="6" t="inlineStr">
        <is>
          <t>Grand Total</t>
        </is>
      </c>
      <c r="M183" s="6" t="n"/>
    </row>
    <row r="184">
      <c r="A184" s="6" t="n"/>
      <c r="B184" s="6" t="n"/>
      <c r="C184" s="6" t="n"/>
      <c r="D184" s="6" t="inlineStr">
        <is>
          <t>F</t>
        </is>
      </c>
      <c r="E184" s="6" t="inlineStr">
        <is>
          <t>M</t>
        </is>
      </c>
      <c r="F184" s="6" t="inlineStr">
        <is>
          <t>Total</t>
        </is>
      </c>
      <c r="G184" s="6" t="inlineStr">
        <is>
          <t>F</t>
        </is>
      </c>
      <c r="H184" s="6" t="inlineStr">
        <is>
          <t>M</t>
        </is>
      </c>
      <c r="I184" s="6" t="inlineStr">
        <is>
          <t>Total</t>
        </is>
      </c>
      <c r="J184" s="6" t="inlineStr">
        <is>
          <t>F</t>
        </is>
      </c>
      <c r="K184" s="6" t="inlineStr">
        <is>
          <t>M</t>
        </is>
      </c>
      <c r="L184" s="6" t="n"/>
      <c r="M184" s="6" t="n"/>
    </row>
    <row r="185">
      <c r="A185" s="7" t="n">
        <v>1</v>
      </c>
      <c r="B185" s="8">
        <f>B5</f>
        <v/>
      </c>
      <c r="C185" s="8">
        <f>C5</f>
        <v/>
      </c>
      <c r="D185" s="14" t="n"/>
      <c r="E185" s="14" t="n"/>
      <c r="F185" s="8">
        <f>D185+E185</f>
        <v/>
      </c>
      <c r="G185" s="14" t="n"/>
      <c r="H185" s="14" t="n"/>
      <c r="I185" s="8">
        <f>G185+H185</f>
        <v/>
      </c>
      <c r="J185" s="8">
        <f>D185+G185</f>
        <v/>
      </c>
      <c r="K185" s="8">
        <f>E185+H185</f>
        <v/>
      </c>
      <c r="L185" s="8">
        <f>J185+K185</f>
        <v/>
      </c>
      <c r="M185" s="9">
        <f>IF(C185=0,0,L185/C185*100)</f>
        <v/>
      </c>
    </row>
    <row r="186">
      <c r="A186" s="7" t="n">
        <v>2</v>
      </c>
      <c r="B186" s="8">
        <f>B6</f>
        <v/>
      </c>
      <c r="C186" s="8">
        <f>C6</f>
        <v/>
      </c>
      <c r="D186" s="14" t="n"/>
      <c r="E186" s="14" t="n"/>
      <c r="F186" s="8">
        <f>D186+E186</f>
        <v/>
      </c>
      <c r="G186" s="14" t="n"/>
      <c r="H186" s="14" t="n"/>
      <c r="I186" s="8">
        <f>G186+H186</f>
        <v/>
      </c>
      <c r="J186" s="8">
        <f>D186+G186</f>
        <v/>
      </c>
      <c r="K186" s="8">
        <f>E186+H186</f>
        <v/>
      </c>
      <c r="L186" s="8">
        <f>J186+K186</f>
        <v/>
      </c>
      <c r="M186" s="9">
        <f>IF(C186=0,0,L186/C186*100)</f>
        <v/>
      </c>
    </row>
    <row r="187">
      <c r="A187" s="7" t="n">
        <v>3</v>
      </c>
      <c r="B187" s="8">
        <f>B7</f>
        <v/>
      </c>
      <c r="C187" s="8">
        <f>C7</f>
        <v/>
      </c>
      <c r="D187" s="14" t="n"/>
      <c r="E187" s="14" t="n"/>
      <c r="F187" s="8">
        <f>D187+E187</f>
        <v/>
      </c>
      <c r="G187" s="14" t="n"/>
      <c r="H187" s="14" t="n"/>
      <c r="I187" s="8">
        <f>G187+H187</f>
        <v/>
      </c>
      <c r="J187" s="8">
        <f>D187+G187</f>
        <v/>
      </c>
      <c r="K187" s="8">
        <f>E187+H187</f>
        <v/>
      </c>
      <c r="L187" s="8">
        <f>J187+K187</f>
        <v/>
      </c>
      <c r="M187" s="9">
        <f>IF(C187=0,0,L187/C187*100)</f>
        <v/>
      </c>
    </row>
    <row r="188">
      <c r="A188" s="7" t="n">
        <v>4</v>
      </c>
      <c r="B188" s="8">
        <f>B8</f>
        <v/>
      </c>
      <c r="C188" s="8">
        <f>C8</f>
        <v/>
      </c>
      <c r="D188" s="14" t="n"/>
      <c r="E188" s="14" t="n"/>
      <c r="F188" s="8">
        <f>D188+E188</f>
        <v/>
      </c>
      <c r="G188" s="14" t="n"/>
      <c r="H188" s="14" t="n"/>
      <c r="I188" s="8">
        <f>G188+H188</f>
        <v/>
      </c>
      <c r="J188" s="8">
        <f>D188+G188</f>
        <v/>
      </c>
      <c r="K188" s="8">
        <f>E188+H188</f>
        <v/>
      </c>
      <c r="L188" s="8">
        <f>J188+K188</f>
        <v/>
      </c>
      <c r="M188" s="9">
        <f>IF(C188=0,0,L188/C188*100)</f>
        <v/>
      </c>
    </row>
    <row r="189">
      <c r="A189" s="7" t="n">
        <v>5</v>
      </c>
      <c r="B189" s="8">
        <f>B9</f>
        <v/>
      </c>
      <c r="C189" s="8">
        <f>C9</f>
        <v/>
      </c>
      <c r="D189" s="14" t="n"/>
      <c r="E189" s="14" t="n"/>
      <c r="F189" s="8">
        <f>D189+E189</f>
        <v/>
      </c>
      <c r="G189" s="14" t="n"/>
      <c r="H189" s="14" t="n"/>
      <c r="I189" s="8">
        <f>G189+H189</f>
        <v/>
      </c>
      <c r="J189" s="8">
        <f>D189+G189</f>
        <v/>
      </c>
      <c r="K189" s="8">
        <f>E189+H189</f>
        <v/>
      </c>
      <c r="L189" s="8">
        <f>J189+K189</f>
        <v/>
      </c>
      <c r="M189" s="9">
        <f>IF(C189=0,0,L189/C189*100)</f>
        <v/>
      </c>
    </row>
    <row r="190">
      <c r="A190" s="7" t="n">
        <v>6</v>
      </c>
      <c r="B190" s="8">
        <f>B10</f>
        <v/>
      </c>
      <c r="C190" s="8">
        <f>C10</f>
        <v/>
      </c>
      <c r="D190" s="14" t="n"/>
      <c r="E190" s="14" t="n"/>
      <c r="F190" s="8">
        <f>D190+E190</f>
        <v/>
      </c>
      <c r="G190" s="14" t="n"/>
      <c r="H190" s="14" t="n"/>
      <c r="I190" s="8">
        <f>G190+H190</f>
        <v/>
      </c>
      <c r="J190" s="8">
        <f>D190+G190</f>
        <v/>
      </c>
      <c r="K190" s="8">
        <f>E190+H190</f>
        <v/>
      </c>
      <c r="L190" s="8">
        <f>J190+K190</f>
        <v/>
      </c>
      <c r="M190" s="9">
        <f>IF(C190=0,0,L190/C190*100)</f>
        <v/>
      </c>
    </row>
    <row r="191">
      <c r="A191" s="7" t="n">
        <v>7</v>
      </c>
      <c r="B191" s="8">
        <f>B11</f>
        <v/>
      </c>
      <c r="C191" s="8">
        <f>C11</f>
        <v/>
      </c>
      <c r="D191" s="14" t="n"/>
      <c r="E191" s="14" t="n"/>
      <c r="F191" s="8">
        <f>D191+E191</f>
        <v/>
      </c>
      <c r="G191" s="14" t="n"/>
      <c r="H191" s="14" t="n"/>
      <c r="I191" s="8">
        <f>G191+H191</f>
        <v/>
      </c>
      <c r="J191" s="8">
        <f>D191+G191</f>
        <v/>
      </c>
      <c r="K191" s="8">
        <f>E191+H191</f>
        <v/>
      </c>
      <c r="L191" s="8">
        <f>J191+K191</f>
        <v/>
      </c>
      <c r="M191" s="9">
        <f>IF(C191=0,0,L191/C191*100)</f>
        <v/>
      </c>
    </row>
    <row r="192">
      <c r="A192" s="7" t="n">
        <v>8</v>
      </c>
      <c r="B192" s="8">
        <f>B12</f>
        <v/>
      </c>
      <c r="C192" s="8">
        <f>C12</f>
        <v/>
      </c>
      <c r="D192" s="14" t="n"/>
      <c r="E192" s="14" t="n"/>
      <c r="F192" s="8">
        <f>D192+E192</f>
        <v/>
      </c>
      <c r="G192" s="14" t="n"/>
      <c r="H192" s="14" t="n"/>
      <c r="I192" s="8">
        <f>G192+H192</f>
        <v/>
      </c>
      <c r="J192" s="8">
        <f>D192+G192</f>
        <v/>
      </c>
      <c r="K192" s="8">
        <f>E192+H192</f>
        <v/>
      </c>
      <c r="L192" s="8">
        <f>J192+K192</f>
        <v/>
      </c>
      <c r="M192" s="9">
        <f>IF(C192=0,0,L192/C192*100)</f>
        <v/>
      </c>
    </row>
    <row r="193">
      <c r="A193" s="7" t="n">
        <v>9</v>
      </c>
      <c r="B193" s="8">
        <f>B13</f>
        <v/>
      </c>
      <c r="C193" s="8">
        <f>C13</f>
        <v/>
      </c>
      <c r="D193" s="14" t="n"/>
      <c r="E193" s="14" t="n"/>
      <c r="F193" s="8">
        <f>D193+E193</f>
        <v/>
      </c>
      <c r="G193" s="14" t="n"/>
      <c r="H193" s="14" t="n"/>
      <c r="I193" s="8">
        <f>G193+H193</f>
        <v/>
      </c>
      <c r="J193" s="8">
        <f>D193+G193</f>
        <v/>
      </c>
      <c r="K193" s="8">
        <f>E193+H193</f>
        <v/>
      </c>
      <c r="L193" s="8">
        <f>J193+K193</f>
        <v/>
      </c>
      <c r="M193" s="9">
        <f>IF(C193=0,0,L193/C193*100)</f>
        <v/>
      </c>
    </row>
    <row r="194">
      <c r="A194" s="10" t="inlineStr">
        <is>
          <t>Total</t>
        </is>
      </c>
      <c r="B194" s="11">
        <f>SUM(B185:B193)</f>
        <v/>
      </c>
      <c r="C194" s="11">
        <f>SUM(C185:C193)</f>
        <v/>
      </c>
      <c r="D194" s="11">
        <f>SUM(D185:D193)</f>
        <v/>
      </c>
      <c r="E194" s="11">
        <f>SUM(E185:E193)</f>
        <v/>
      </c>
      <c r="F194" s="11">
        <f>D194+E194</f>
        <v/>
      </c>
      <c r="G194" s="11">
        <f>SUM(G185:G193)</f>
        <v/>
      </c>
      <c r="H194" s="11">
        <f>SUM(H185:H193)</f>
        <v/>
      </c>
      <c r="I194" s="11">
        <f>G194+H194</f>
        <v/>
      </c>
      <c r="J194" s="11">
        <f>D194+G194</f>
        <v/>
      </c>
      <c r="K194" s="11">
        <f>E194+H194</f>
        <v/>
      </c>
      <c r="L194" s="11">
        <f>J194+K194</f>
        <v/>
      </c>
      <c r="M194" s="12">
        <f>IF(C194=0,0,L194/C194*100)</f>
        <v/>
      </c>
    </row>
    <row r="196">
      <c r="A196" s="13" t="inlineStr">
        <is>
          <t>Day 13 - 2026-10-17 (Sat 31 Aswin 2083)</t>
        </is>
      </c>
    </row>
    <row r="197">
      <c r="A197" s="6" t="inlineStr">
        <is>
          <t>Ward no.</t>
        </is>
      </c>
      <c r="B197" s="6" t="inlineStr">
        <is>
          <t>Total population</t>
        </is>
      </c>
      <c r="C197" s="6" t="inlineStr">
        <is>
          <t>JE target population</t>
        </is>
      </c>
      <c r="D197" s="6" t="inlineStr">
        <is>
          <t>Vaccinated</t>
        </is>
      </c>
      <c r="E197" s="6" t="n"/>
      <c r="F197" s="6" t="n"/>
      <c r="G197" s="6" t="n"/>
      <c r="H197" s="6" t="n"/>
      <c r="I197" s="6" t="n"/>
      <c r="J197" s="6" t="n"/>
      <c r="K197" s="6" t="n"/>
      <c r="L197" s="6" t="n"/>
      <c r="M197" s="6" t="inlineStr">
        <is>
          <t>Progress %</t>
        </is>
      </c>
    </row>
    <row r="198">
      <c r="A198" s="6" t="n"/>
      <c r="B198" s="6" t="n"/>
      <c r="C198" s="6" t="n"/>
      <c r="D198" s="6" t="inlineStr">
        <is>
          <t>Age 30-60 yrs</t>
        </is>
      </c>
      <c r="E198" s="6" t="n"/>
      <c r="F198" s="6" t="n"/>
      <c r="G198" s="6" t="inlineStr">
        <is>
          <t>Age 60 above</t>
        </is>
      </c>
      <c r="H198" s="6" t="n"/>
      <c r="I198" s="6" t="n"/>
      <c r="J198" s="6" t="inlineStr">
        <is>
          <t>Total</t>
        </is>
      </c>
      <c r="K198" s="6" t="n"/>
      <c r="L198" s="6" t="inlineStr">
        <is>
          <t>Grand Total</t>
        </is>
      </c>
      <c r="M198" s="6" t="n"/>
    </row>
    <row r="199">
      <c r="A199" s="6" t="n"/>
      <c r="B199" s="6" t="n"/>
      <c r="C199" s="6" t="n"/>
      <c r="D199" s="6" t="inlineStr">
        <is>
          <t>F</t>
        </is>
      </c>
      <c r="E199" s="6" t="inlineStr">
        <is>
          <t>M</t>
        </is>
      </c>
      <c r="F199" s="6" t="inlineStr">
        <is>
          <t>Total</t>
        </is>
      </c>
      <c r="G199" s="6" t="inlineStr">
        <is>
          <t>F</t>
        </is>
      </c>
      <c r="H199" s="6" t="inlineStr">
        <is>
          <t>M</t>
        </is>
      </c>
      <c r="I199" s="6" t="inlineStr">
        <is>
          <t>Total</t>
        </is>
      </c>
      <c r="J199" s="6" t="inlineStr">
        <is>
          <t>F</t>
        </is>
      </c>
      <c r="K199" s="6" t="inlineStr">
        <is>
          <t>M</t>
        </is>
      </c>
      <c r="L199" s="6" t="n"/>
      <c r="M199" s="6" t="n"/>
    </row>
    <row r="200">
      <c r="A200" s="7" t="n">
        <v>1</v>
      </c>
      <c r="B200" s="8">
        <f>B5</f>
        <v/>
      </c>
      <c r="C200" s="8">
        <f>C5</f>
        <v/>
      </c>
      <c r="D200" s="14" t="n"/>
      <c r="E200" s="14" t="n"/>
      <c r="F200" s="8">
        <f>D200+E200</f>
        <v/>
      </c>
      <c r="G200" s="14" t="n"/>
      <c r="H200" s="14" t="n"/>
      <c r="I200" s="8">
        <f>G200+H200</f>
        <v/>
      </c>
      <c r="J200" s="8">
        <f>D200+G200</f>
        <v/>
      </c>
      <c r="K200" s="8">
        <f>E200+H200</f>
        <v/>
      </c>
      <c r="L200" s="8">
        <f>J200+K200</f>
        <v/>
      </c>
      <c r="M200" s="9">
        <f>IF(C200=0,0,L200/C200*100)</f>
        <v/>
      </c>
    </row>
    <row r="201">
      <c r="A201" s="7" t="n">
        <v>2</v>
      </c>
      <c r="B201" s="8">
        <f>B6</f>
        <v/>
      </c>
      <c r="C201" s="8">
        <f>C6</f>
        <v/>
      </c>
      <c r="D201" s="14" t="n"/>
      <c r="E201" s="14" t="n"/>
      <c r="F201" s="8">
        <f>D201+E201</f>
        <v/>
      </c>
      <c r="G201" s="14" t="n"/>
      <c r="H201" s="14" t="n"/>
      <c r="I201" s="8">
        <f>G201+H201</f>
        <v/>
      </c>
      <c r="J201" s="8">
        <f>D201+G201</f>
        <v/>
      </c>
      <c r="K201" s="8">
        <f>E201+H201</f>
        <v/>
      </c>
      <c r="L201" s="8">
        <f>J201+K201</f>
        <v/>
      </c>
      <c r="M201" s="9">
        <f>IF(C201=0,0,L201/C201*100)</f>
        <v/>
      </c>
    </row>
    <row r="202">
      <c r="A202" s="7" t="n">
        <v>3</v>
      </c>
      <c r="B202" s="8">
        <f>B7</f>
        <v/>
      </c>
      <c r="C202" s="8">
        <f>C7</f>
        <v/>
      </c>
      <c r="D202" s="14" t="n"/>
      <c r="E202" s="14" t="n"/>
      <c r="F202" s="8">
        <f>D202+E202</f>
        <v/>
      </c>
      <c r="G202" s="14" t="n"/>
      <c r="H202" s="14" t="n"/>
      <c r="I202" s="8">
        <f>G202+H202</f>
        <v/>
      </c>
      <c r="J202" s="8">
        <f>D202+G202</f>
        <v/>
      </c>
      <c r="K202" s="8">
        <f>E202+H202</f>
        <v/>
      </c>
      <c r="L202" s="8">
        <f>J202+K202</f>
        <v/>
      </c>
      <c r="M202" s="9">
        <f>IF(C202=0,0,L202/C202*100)</f>
        <v/>
      </c>
    </row>
    <row r="203">
      <c r="A203" s="7" t="n">
        <v>4</v>
      </c>
      <c r="B203" s="8">
        <f>B8</f>
        <v/>
      </c>
      <c r="C203" s="8">
        <f>C8</f>
        <v/>
      </c>
      <c r="D203" s="14" t="n"/>
      <c r="E203" s="14" t="n"/>
      <c r="F203" s="8">
        <f>D203+E203</f>
        <v/>
      </c>
      <c r="G203" s="14" t="n"/>
      <c r="H203" s="14" t="n"/>
      <c r="I203" s="8">
        <f>G203+H203</f>
        <v/>
      </c>
      <c r="J203" s="8">
        <f>D203+G203</f>
        <v/>
      </c>
      <c r="K203" s="8">
        <f>E203+H203</f>
        <v/>
      </c>
      <c r="L203" s="8">
        <f>J203+K203</f>
        <v/>
      </c>
      <c r="M203" s="9">
        <f>IF(C203=0,0,L203/C203*100)</f>
        <v/>
      </c>
    </row>
    <row r="204">
      <c r="A204" s="7" t="n">
        <v>5</v>
      </c>
      <c r="B204" s="8">
        <f>B9</f>
        <v/>
      </c>
      <c r="C204" s="8">
        <f>C9</f>
        <v/>
      </c>
      <c r="D204" s="14" t="n"/>
      <c r="E204" s="14" t="n"/>
      <c r="F204" s="8">
        <f>D204+E204</f>
        <v/>
      </c>
      <c r="G204" s="14" t="n"/>
      <c r="H204" s="14" t="n"/>
      <c r="I204" s="8">
        <f>G204+H204</f>
        <v/>
      </c>
      <c r="J204" s="8">
        <f>D204+G204</f>
        <v/>
      </c>
      <c r="K204" s="8">
        <f>E204+H204</f>
        <v/>
      </c>
      <c r="L204" s="8">
        <f>J204+K204</f>
        <v/>
      </c>
      <c r="M204" s="9">
        <f>IF(C204=0,0,L204/C204*100)</f>
        <v/>
      </c>
    </row>
    <row r="205">
      <c r="A205" s="7" t="n">
        <v>6</v>
      </c>
      <c r="B205" s="8">
        <f>B10</f>
        <v/>
      </c>
      <c r="C205" s="8">
        <f>C10</f>
        <v/>
      </c>
      <c r="D205" s="14" t="n"/>
      <c r="E205" s="14" t="n"/>
      <c r="F205" s="8">
        <f>D205+E205</f>
        <v/>
      </c>
      <c r="G205" s="14" t="n"/>
      <c r="H205" s="14" t="n"/>
      <c r="I205" s="8">
        <f>G205+H205</f>
        <v/>
      </c>
      <c r="J205" s="8">
        <f>D205+G205</f>
        <v/>
      </c>
      <c r="K205" s="8">
        <f>E205+H205</f>
        <v/>
      </c>
      <c r="L205" s="8">
        <f>J205+K205</f>
        <v/>
      </c>
      <c r="M205" s="9">
        <f>IF(C205=0,0,L205/C205*100)</f>
        <v/>
      </c>
    </row>
    <row r="206">
      <c r="A206" s="7" t="n">
        <v>7</v>
      </c>
      <c r="B206" s="8">
        <f>B11</f>
        <v/>
      </c>
      <c r="C206" s="8">
        <f>C11</f>
        <v/>
      </c>
      <c r="D206" s="14" t="n"/>
      <c r="E206" s="14" t="n"/>
      <c r="F206" s="8">
        <f>D206+E206</f>
        <v/>
      </c>
      <c r="G206" s="14" t="n"/>
      <c r="H206" s="14" t="n"/>
      <c r="I206" s="8">
        <f>G206+H206</f>
        <v/>
      </c>
      <c r="J206" s="8">
        <f>D206+G206</f>
        <v/>
      </c>
      <c r="K206" s="8">
        <f>E206+H206</f>
        <v/>
      </c>
      <c r="L206" s="8">
        <f>J206+K206</f>
        <v/>
      </c>
      <c r="M206" s="9">
        <f>IF(C206=0,0,L206/C206*100)</f>
        <v/>
      </c>
    </row>
    <row r="207">
      <c r="A207" s="7" t="n">
        <v>8</v>
      </c>
      <c r="B207" s="8">
        <f>B12</f>
        <v/>
      </c>
      <c r="C207" s="8">
        <f>C12</f>
        <v/>
      </c>
      <c r="D207" s="14" t="n"/>
      <c r="E207" s="14" t="n"/>
      <c r="F207" s="8">
        <f>D207+E207</f>
        <v/>
      </c>
      <c r="G207" s="14" t="n"/>
      <c r="H207" s="14" t="n"/>
      <c r="I207" s="8">
        <f>G207+H207</f>
        <v/>
      </c>
      <c r="J207" s="8">
        <f>D207+G207</f>
        <v/>
      </c>
      <c r="K207" s="8">
        <f>E207+H207</f>
        <v/>
      </c>
      <c r="L207" s="8">
        <f>J207+K207</f>
        <v/>
      </c>
      <c r="M207" s="9">
        <f>IF(C207=0,0,L207/C207*100)</f>
        <v/>
      </c>
    </row>
    <row r="208">
      <c r="A208" s="7" t="n">
        <v>9</v>
      </c>
      <c r="B208" s="8">
        <f>B13</f>
        <v/>
      </c>
      <c r="C208" s="8">
        <f>C13</f>
        <v/>
      </c>
      <c r="D208" s="14" t="n"/>
      <c r="E208" s="14" t="n"/>
      <c r="F208" s="8">
        <f>D208+E208</f>
        <v/>
      </c>
      <c r="G208" s="14" t="n"/>
      <c r="H208" s="14" t="n"/>
      <c r="I208" s="8">
        <f>G208+H208</f>
        <v/>
      </c>
      <c r="J208" s="8">
        <f>D208+G208</f>
        <v/>
      </c>
      <c r="K208" s="8">
        <f>E208+H208</f>
        <v/>
      </c>
      <c r="L208" s="8">
        <f>J208+K208</f>
        <v/>
      </c>
      <c r="M208" s="9">
        <f>IF(C208=0,0,L208/C208*100)</f>
        <v/>
      </c>
    </row>
    <row r="209">
      <c r="A209" s="10" t="inlineStr">
        <is>
          <t>Total</t>
        </is>
      </c>
      <c r="B209" s="11">
        <f>SUM(B200:B208)</f>
        <v/>
      </c>
      <c r="C209" s="11">
        <f>SUM(C200:C208)</f>
        <v/>
      </c>
      <c r="D209" s="11">
        <f>SUM(D200:D208)</f>
        <v/>
      </c>
      <c r="E209" s="11">
        <f>SUM(E200:E208)</f>
        <v/>
      </c>
      <c r="F209" s="11">
        <f>D209+E209</f>
        <v/>
      </c>
      <c r="G209" s="11">
        <f>SUM(G200:G208)</f>
        <v/>
      </c>
      <c r="H209" s="11">
        <f>SUM(H200:H208)</f>
        <v/>
      </c>
      <c r="I209" s="11">
        <f>G209+H209</f>
        <v/>
      </c>
      <c r="J209" s="11">
        <f>D209+G209</f>
        <v/>
      </c>
      <c r="K209" s="11">
        <f>E209+H209</f>
        <v/>
      </c>
      <c r="L209" s="11">
        <f>J209+K209</f>
        <v/>
      </c>
      <c r="M209" s="12">
        <f>IF(C209=0,0,L209/C209*100)</f>
        <v/>
      </c>
    </row>
    <row r="211">
      <c r="A211" s="13" t="inlineStr">
        <is>
          <t>Day 14 - 2026-10-18 (Sun 01 Kartik 2083)</t>
        </is>
      </c>
    </row>
    <row r="212">
      <c r="A212" s="6" t="inlineStr">
        <is>
          <t>Ward no.</t>
        </is>
      </c>
      <c r="B212" s="6" t="inlineStr">
        <is>
          <t>Total population</t>
        </is>
      </c>
      <c r="C212" s="6" t="inlineStr">
        <is>
          <t>JE target population</t>
        </is>
      </c>
      <c r="D212" s="6" t="inlineStr">
        <is>
          <t>Vaccinated</t>
        </is>
      </c>
      <c r="E212" s="6" t="n"/>
      <c r="F212" s="6" t="n"/>
      <c r="G212" s="6" t="n"/>
      <c r="H212" s="6" t="n"/>
      <c r="I212" s="6" t="n"/>
      <c r="J212" s="6" t="n"/>
      <c r="K212" s="6" t="n"/>
      <c r="L212" s="6" t="n"/>
      <c r="M212" s="6" t="inlineStr">
        <is>
          <t>Progress %</t>
        </is>
      </c>
    </row>
    <row r="213">
      <c r="A213" s="6" t="n"/>
      <c r="B213" s="6" t="n"/>
      <c r="C213" s="6" t="n"/>
      <c r="D213" s="6" t="inlineStr">
        <is>
          <t>Age 30-60 yrs</t>
        </is>
      </c>
      <c r="E213" s="6" t="n"/>
      <c r="F213" s="6" t="n"/>
      <c r="G213" s="6" t="inlineStr">
        <is>
          <t>Age 60 above</t>
        </is>
      </c>
      <c r="H213" s="6" t="n"/>
      <c r="I213" s="6" t="n"/>
      <c r="J213" s="6" t="inlineStr">
        <is>
          <t>Total</t>
        </is>
      </c>
      <c r="K213" s="6" t="n"/>
      <c r="L213" s="6" t="inlineStr">
        <is>
          <t>Grand Total</t>
        </is>
      </c>
      <c r="M213" s="6" t="n"/>
    </row>
    <row r="214">
      <c r="A214" s="6" t="n"/>
      <c r="B214" s="6" t="n"/>
      <c r="C214" s="6" t="n"/>
      <c r="D214" s="6" t="inlineStr">
        <is>
          <t>F</t>
        </is>
      </c>
      <c r="E214" s="6" t="inlineStr">
        <is>
          <t>M</t>
        </is>
      </c>
      <c r="F214" s="6" t="inlineStr">
        <is>
          <t>Total</t>
        </is>
      </c>
      <c r="G214" s="6" t="inlineStr">
        <is>
          <t>F</t>
        </is>
      </c>
      <c r="H214" s="6" t="inlineStr">
        <is>
          <t>M</t>
        </is>
      </c>
      <c r="I214" s="6" t="inlineStr">
        <is>
          <t>Total</t>
        </is>
      </c>
      <c r="J214" s="6" t="inlineStr">
        <is>
          <t>F</t>
        </is>
      </c>
      <c r="K214" s="6" t="inlineStr">
        <is>
          <t>M</t>
        </is>
      </c>
      <c r="L214" s="6" t="n"/>
      <c r="M214" s="6" t="n"/>
    </row>
    <row r="215">
      <c r="A215" s="7" t="n">
        <v>1</v>
      </c>
      <c r="B215" s="8">
        <f>B5</f>
        <v/>
      </c>
      <c r="C215" s="8">
        <f>C5</f>
        <v/>
      </c>
      <c r="D215" s="14" t="n"/>
      <c r="E215" s="14" t="n"/>
      <c r="F215" s="8">
        <f>D215+E215</f>
        <v/>
      </c>
      <c r="G215" s="14" t="n"/>
      <c r="H215" s="14" t="n"/>
      <c r="I215" s="8">
        <f>G215+H215</f>
        <v/>
      </c>
      <c r="J215" s="8">
        <f>D215+G215</f>
        <v/>
      </c>
      <c r="K215" s="8">
        <f>E215+H215</f>
        <v/>
      </c>
      <c r="L215" s="8">
        <f>J215+K215</f>
        <v/>
      </c>
      <c r="M215" s="9">
        <f>IF(C215=0,0,L215/C215*100)</f>
        <v/>
      </c>
    </row>
    <row r="216">
      <c r="A216" s="7" t="n">
        <v>2</v>
      </c>
      <c r="B216" s="8">
        <f>B6</f>
        <v/>
      </c>
      <c r="C216" s="8">
        <f>C6</f>
        <v/>
      </c>
      <c r="D216" s="14" t="n"/>
      <c r="E216" s="14" t="n"/>
      <c r="F216" s="8">
        <f>D216+E216</f>
        <v/>
      </c>
      <c r="G216" s="14" t="n"/>
      <c r="H216" s="14" t="n"/>
      <c r="I216" s="8">
        <f>G216+H216</f>
        <v/>
      </c>
      <c r="J216" s="8">
        <f>D216+G216</f>
        <v/>
      </c>
      <c r="K216" s="8">
        <f>E216+H216</f>
        <v/>
      </c>
      <c r="L216" s="8">
        <f>J216+K216</f>
        <v/>
      </c>
      <c r="M216" s="9">
        <f>IF(C216=0,0,L216/C216*100)</f>
        <v/>
      </c>
    </row>
    <row r="217">
      <c r="A217" s="7" t="n">
        <v>3</v>
      </c>
      <c r="B217" s="8">
        <f>B7</f>
        <v/>
      </c>
      <c r="C217" s="8">
        <f>C7</f>
        <v/>
      </c>
      <c r="D217" s="14" t="n"/>
      <c r="E217" s="14" t="n"/>
      <c r="F217" s="8">
        <f>D217+E217</f>
        <v/>
      </c>
      <c r="G217" s="14" t="n"/>
      <c r="H217" s="14" t="n"/>
      <c r="I217" s="8">
        <f>G217+H217</f>
        <v/>
      </c>
      <c r="J217" s="8">
        <f>D217+G217</f>
        <v/>
      </c>
      <c r="K217" s="8">
        <f>E217+H217</f>
        <v/>
      </c>
      <c r="L217" s="8">
        <f>J217+K217</f>
        <v/>
      </c>
      <c r="M217" s="9">
        <f>IF(C217=0,0,L217/C217*100)</f>
        <v/>
      </c>
    </row>
    <row r="218">
      <c r="A218" s="7" t="n">
        <v>4</v>
      </c>
      <c r="B218" s="8">
        <f>B8</f>
        <v/>
      </c>
      <c r="C218" s="8">
        <f>C8</f>
        <v/>
      </c>
      <c r="D218" s="14" t="n"/>
      <c r="E218" s="14" t="n"/>
      <c r="F218" s="8">
        <f>D218+E218</f>
        <v/>
      </c>
      <c r="G218" s="14" t="n"/>
      <c r="H218" s="14" t="n"/>
      <c r="I218" s="8">
        <f>G218+H218</f>
        <v/>
      </c>
      <c r="J218" s="8">
        <f>D218+G218</f>
        <v/>
      </c>
      <c r="K218" s="8">
        <f>E218+H218</f>
        <v/>
      </c>
      <c r="L218" s="8">
        <f>J218+K218</f>
        <v/>
      </c>
      <c r="M218" s="9">
        <f>IF(C218=0,0,L218/C218*100)</f>
        <v/>
      </c>
    </row>
    <row r="219">
      <c r="A219" s="7" t="n">
        <v>5</v>
      </c>
      <c r="B219" s="8">
        <f>B9</f>
        <v/>
      </c>
      <c r="C219" s="8">
        <f>C9</f>
        <v/>
      </c>
      <c r="D219" s="14" t="n"/>
      <c r="E219" s="14" t="n"/>
      <c r="F219" s="8">
        <f>D219+E219</f>
        <v/>
      </c>
      <c r="G219" s="14" t="n"/>
      <c r="H219" s="14" t="n"/>
      <c r="I219" s="8">
        <f>G219+H219</f>
        <v/>
      </c>
      <c r="J219" s="8">
        <f>D219+G219</f>
        <v/>
      </c>
      <c r="K219" s="8">
        <f>E219+H219</f>
        <v/>
      </c>
      <c r="L219" s="8">
        <f>J219+K219</f>
        <v/>
      </c>
      <c r="M219" s="9">
        <f>IF(C219=0,0,L219/C219*100)</f>
        <v/>
      </c>
    </row>
    <row r="220">
      <c r="A220" s="7" t="n">
        <v>6</v>
      </c>
      <c r="B220" s="8">
        <f>B10</f>
        <v/>
      </c>
      <c r="C220" s="8">
        <f>C10</f>
        <v/>
      </c>
      <c r="D220" s="14" t="n"/>
      <c r="E220" s="14" t="n"/>
      <c r="F220" s="8">
        <f>D220+E220</f>
        <v/>
      </c>
      <c r="G220" s="14" t="n"/>
      <c r="H220" s="14" t="n"/>
      <c r="I220" s="8">
        <f>G220+H220</f>
        <v/>
      </c>
      <c r="J220" s="8">
        <f>D220+G220</f>
        <v/>
      </c>
      <c r="K220" s="8">
        <f>E220+H220</f>
        <v/>
      </c>
      <c r="L220" s="8">
        <f>J220+K220</f>
        <v/>
      </c>
      <c r="M220" s="9">
        <f>IF(C220=0,0,L220/C220*100)</f>
        <v/>
      </c>
    </row>
    <row r="221">
      <c r="A221" s="7" t="n">
        <v>7</v>
      </c>
      <c r="B221" s="8">
        <f>B11</f>
        <v/>
      </c>
      <c r="C221" s="8">
        <f>C11</f>
        <v/>
      </c>
      <c r="D221" s="14" t="n"/>
      <c r="E221" s="14" t="n"/>
      <c r="F221" s="8">
        <f>D221+E221</f>
        <v/>
      </c>
      <c r="G221" s="14" t="n"/>
      <c r="H221" s="14" t="n"/>
      <c r="I221" s="8">
        <f>G221+H221</f>
        <v/>
      </c>
      <c r="J221" s="8">
        <f>D221+G221</f>
        <v/>
      </c>
      <c r="K221" s="8">
        <f>E221+H221</f>
        <v/>
      </c>
      <c r="L221" s="8">
        <f>J221+K221</f>
        <v/>
      </c>
      <c r="M221" s="9">
        <f>IF(C221=0,0,L221/C221*100)</f>
        <v/>
      </c>
    </row>
    <row r="222">
      <c r="A222" s="7" t="n">
        <v>8</v>
      </c>
      <c r="B222" s="8">
        <f>B12</f>
        <v/>
      </c>
      <c r="C222" s="8">
        <f>C12</f>
        <v/>
      </c>
      <c r="D222" s="14" t="n"/>
      <c r="E222" s="14" t="n"/>
      <c r="F222" s="8">
        <f>D222+E222</f>
        <v/>
      </c>
      <c r="G222" s="14" t="n"/>
      <c r="H222" s="14" t="n"/>
      <c r="I222" s="8">
        <f>G222+H222</f>
        <v/>
      </c>
      <c r="J222" s="8">
        <f>D222+G222</f>
        <v/>
      </c>
      <c r="K222" s="8">
        <f>E222+H222</f>
        <v/>
      </c>
      <c r="L222" s="8">
        <f>J222+K222</f>
        <v/>
      </c>
      <c r="M222" s="9">
        <f>IF(C222=0,0,L222/C222*100)</f>
        <v/>
      </c>
    </row>
    <row r="223">
      <c r="A223" s="7" t="n">
        <v>9</v>
      </c>
      <c r="B223" s="8">
        <f>B13</f>
        <v/>
      </c>
      <c r="C223" s="8">
        <f>C13</f>
        <v/>
      </c>
      <c r="D223" s="14" t="n"/>
      <c r="E223" s="14" t="n"/>
      <c r="F223" s="8">
        <f>D223+E223</f>
        <v/>
      </c>
      <c r="G223" s="14" t="n"/>
      <c r="H223" s="14" t="n"/>
      <c r="I223" s="8">
        <f>G223+H223</f>
        <v/>
      </c>
      <c r="J223" s="8">
        <f>D223+G223</f>
        <v/>
      </c>
      <c r="K223" s="8">
        <f>E223+H223</f>
        <v/>
      </c>
      <c r="L223" s="8">
        <f>J223+K223</f>
        <v/>
      </c>
      <c r="M223" s="9">
        <f>IF(C223=0,0,L223/C223*100)</f>
        <v/>
      </c>
    </row>
    <row r="224">
      <c r="A224" s="10" t="inlineStr">
        <is>
          <t>Total</t>
        </is>
      </c>
      <c r="B224" s="11">
        <f>SUM(B215:B223)</f>
        <v/>
      </c>
      <c r="C224" s="11">
        <f>SUM(C215:C223)</f>
        <v/>
      </c>
      <c r="D224" s="11">
        <f>SUM(D215:D223)</f>
        <v/>
      </c>
      <c r="E224" s="11">
        <f>SUM(E215:E223)</f>
        <v/>
      </c>
      <c r="F224" s="11">
        <f>D224+E224</f>
        <v/>
      </c>
      <c r="G224" s="11">
        <f>SUM(G215:G223)</f>
        <v/>
      </c>
      <c r="H224" s="11">
        <f>SUM(H215:H223)</f>
        <v/>
      </c>
      <c r="I224" s="11">
        <f>G224+H224</f>
        <v/>
      </c>
      <c r="J224" s="11">
        <f>D224+G224</f>
        <v/>
      </c>
      <c r="K224" s="11">
        <f>E224+H224</f>
        <v/>
      </c>
      <c r="L224" s="11">
        <f>J224+K224</f>
        <v/>
      </c>
      <c r="M224" s="12">
        <f>IF(C224=0,0,L224/C224*100)</f>
        <v/>
      </c>
    </row>
    <row r="226">
      <c r="A226" s="13" t="inlineStr">
        <is>
          <t>Day 15 - 2026-10-19 (Mon 02 Kartik 2083)</t>
        </is>
      </c>
    </row>
    <row r="227">
      <c r="A227" s="6" t="inlineStr">
        <is>
          <t>Ward no.</t>
        </is>
      </c>
      <c r="B227" s="6" t="inlineStr">
        <is>
          <t>Total population</t>
        </is>
      </c>
      <c r="C227" s="6" t="inlineStr">
        <is>
          <t>JE target population</t>
        </is>
      </c>
      <c r="D227" s="6" t="inlineStr">
        <is>
          <t>Vaccinated</t>
        </is>
      </c>
      <c r="E227" s="6" t="n"/>
      <c r="F227" s="6" t="n"/>
      <c r="G227" s="6" t="n"/>
      <c r="H227" s="6" t="n"/>
      <c r="I227" s="6" t="n"/>
      <c r="J227" s="6" t="n"/>
      <c r="K227" s="6" t="n"/>
      <c r="L227" s="6" t="n"/>
      <c r="M227" s="6" t="inlineStr">
        <is>
          <t>Progress %</t>
        </is>
      </c>
    </row>
    <row r="228">
      <c r="A228" s="6" t="n"/>
      <c r="B228" s="6" t="n"/>
      <c r="C228" s="6" t="n"/>
      <c r="D228" s="6" t="inlineStr">
        <is>
          <t>Age 30-60 yrs</t>
        </is>
      </c>
      <c r="E228" s="6" t="n"/>
      <c r="F228" s="6" t="n"/>
      <c r="G228" s="6" t="inlineStr">
        <is>
          <t>Age 60 above</t>
        </is>
      </c>
      <c r="H228" s="6" t="n"/>
      <c r="I228" s="6" t="n"/>
      <c r="J228" s="6" t="inlineStr">
        <is>
          <t>Total</t>
        </is>
      </c>
      <c r="K228" s="6" t="n"/>
      <c r="L228" s="6" t="inlineStr">
        <is>
          <t>Grand Total</t>
        </is>
      </c>
      <c r="M228" s="6" t="n"/>
    </row>
    <row r="229">
      <c r="A229" s="6" t="n"/>
      <c r="B229" s="6" t="n"/>
      <c r="C229" s="6" t="n"/>
      <c r="D229" s="6" t="inlineStr">
        <is>
          <t>F</t>
        </is>
      </c>
      <c r="E229" s="6" t="inlineStr">
        <is>
          <t>M</t>
        </is>
      </c>
      <c r="F229" s="6" t="inlineStr">
        <is>
          <t>Total</t>
        </is>
      </c>
      <c r="G229" s="6" t="inlineStr">
        <is>
          <t>F</t>
        </is>
      </c>
      <c r="H229" s="6" t="inlineStr">
        <is>
          <t>M</t>
        </is>
      </c>
      <c r="I229" s="6" t="inlineStr">
        <is>
          <t>Total</t>
        </is>
      </c>
      <c r="J229" s="6" t="inlineStr">
        <is>
          <t>F</t>
        </is>
      </c>
      <c r="K229" s="6" t="inlineStr">
        <is>
          <t>M</t>
        </is>
      </c>
      <c r="L229" s="6" t="n"/>
      <c r="M229" s="6" t="n"/>
    </row>
    <row r="230">
      <c r="A230" s="7" t="n">
        <v>1</v>
      </c>
      <c r="B230" s="8">
        <f>B5</f>
        <v/>
      </c>
      <c r="C230" s="8">
        <f>C5</f>
        <v/>
      </c>
      <c r="D230" s="14" t="n"/>
      <c r="E230" s="14" t="n"/>
      <c r="F230" s="8">
        <f>D230+E230</f>
        <v/>
      </c>
      <c r="G230" s="14" t="n"/>
      <c r="H230" s="14" t="n"/>
      <c r="I230" s="8">
        <f>G230+H230</f>
        <v/>
      </c>
      <c r="J230" s="8">
        <f>D230+G230</f>
        <v/>
      </c>
      <c r="K230" s="8">
        <f>E230+H230</f>
        <v/>
      </c>
      <c r="L230" s="8">
        <f>J230+K230</f>
        <v/>
      </c>
      <c r="M230" s="9">
        <f>IF(C230=0,0,L230/C230*100)</f>
        <v/>
      </c>
    </row>
    <row r="231">
      <c r="A231" s="7" t="n">
        <v>2</v>
      </c>
      <c r="B231" s="8">
        <f>B6</f>
        <v/>
      </c>
      <c r="C231" s="8">
        <f>C6</f>
        <v/>
      </c>
      <c r="D231" s="14" t="n"/>
      <c r="E231" s="14" t="n"/>
      <c r="F231" s="8">
        <f>D231+E231</f>
        <v/>
      </c>
      <c r="G231" s="14" t="n"/>
      <c r="H231" s="14" t="n"/>
      <c r="I231" s="8">
        <f>G231+H231</f>
        <v/>
      </c>
      <c r="J231" s="8">
        <f>D231+G231</f>
        <v/>
      </c>
      <c r="K231" s="8">
        <f>E231+H231</f>
        <v/>
      </c>
      <c r="L231" s="8">
        <f>J231+K231</f>
        <v/>
      </c>
      <c r="M231" s="9">
        <f>IF(C231=0,0,L231/C231*100)</f>
        <v/>
      </c>
    </row>
    <row r="232">
      <c r="A232" s="7" t="n">
        <v>3</v>
      </c>
      <c r="B232" s="8">
        <f>B7</f>
        <v/>
      </c>
      <c r="C232" s="8">
        <f>C7</f>
        <v/>
      </c>
      <c r="D232" s="14" t="n"/>
      <c r="E232" s="14" t="n"/>
      <c r="F232" s="8">
        <f>D232+E232</f>
        <v/>
      </c>
      <c r="G232" s="14" t="n"/>
      <c r="H232" s="14" t="n"/>
      <c r="I232" s="8">
        <f>G232+H232</f>
        <v/>
      </c>
      <c r="J232" s="8">
        <f>D232+G232</f>
        <v/>
      </c>
      <c r="K232" s="8">
        <f>E232+H232</f>
        <v/>
      </c>
      <c r="L232" s="8">
        <f>J232+K232</f>
        <v/>
      </c>
      <c r="M232" s="9">
        <f>IF(C232=0,0,L232/C232*100)</f>
        <v/>
      </c>
    </row>
    <row r="233">
      <c r="A233" s="7" t="n">
        <v>4</v>
      </c>
      <c r="B233" s="8">
        <f>B8</f>
        <v/>
      </c>
      <c r="C233" s="8">
        <f>C8</f>
        <v/>
      </c>
      <c r="D233" s="14" t="n"/>
      <c r="E233" s="14" t="n"/>
      <c r="F233" s="8">
        <f>D233+E233</f>
        <v/>
      </c>
      <c r="G233" s="14" t="n"/>
      <c r="H233" s="14" t="n"/>
      <c r="I233" s="8">
        <f>G233+H233</f>
        <v/>
      </c>
      <c r="J233" s="8">
        <f>D233+G233</f>
        <v/>
      </c>
      <c r="K233" s="8">
        <f>E233+H233</f>
        <v/>
      </c>
      <c r="L233" s="8">
        <f>J233+K233</f>
        <v/>
      </c>
      <c r="M233" s="9">
        <f>IF(C233=0,0,L233/C233*100)</f>
        <v/>
      </c>
    </row>
    <row r="234">
      <c r="A234" s="7" t="n">
        <v>5</v>
      </c>
      <c r="B234" s="8">
        <f>B9</f>
        <v/>
      </c>
      <c r="C234" s="8">
        <f>C9</f>
        <v/>
      </c>
      <c r="D234" s="14" t="n"/>
      <c r="E234" s="14" t="n"/>
      <c r="F234" s="8">
        <f>D234+E234</f>
        <v/>
      </c>
      <c r="G234" s="14" t="n"/>
      <c r="H234" s="14" t="n"/>
      <c r="I234" s="8">
        <f>G234+H234</f>
        <v/>
      </c>
      <c r="J234" s="8">
        <f>D234+G234</f>
        <v/>
      </c>
      <c r="K234" s="8">
        <f>E234+H234</f>
        <v/>
      </c>
      <c r="L234" s="8">
        <f>J234+K234</f>
        <v/>
      </c>
      <c r="M234" s="9">
        <f>IF(C234=0,0,L234/C234*100)</f>
        <v/>
      </c>
    </row>
    <row r="235">
      <c r="A235" s="7" t="n">
        <v>6</v>
      </c>
      <c r="B235" s="8">
        <f>B10</f>
        <v/>
      </c>
      <c r="C235" s="8">
        <f>C10</f>
        <v/>
      </c>
      <c r="D235" s="14" t="n"/>
      <c r="E235" s="14" t="n"/>
      <c r="F235" s="8">
        <f>D235+E235</f>
        <v/>
      </c>
      <c r="G235" s="14" t="n"/>
      <c r="H235" s="14" t="n"/>
      <c r="I235" s="8">
        <f>G235+H235</f>
        <v/>
      </c>
      <c r="J235" s="8">
        <f>D235+G235</f>
        <v/>
      </c>
      <c r="K235" s="8">
        <f>E235+H235</f>
        <v/>
      </c>
      <c r="L235" s="8">
        <f>J235+K235</f>
        <v/>
      </c>
      <c r="M235" s="9">
        <f>IF(C235=0,0,L235/C235*100)</f>
        <v/>
      </c>
    </row>
    <row r="236">
      <c r="A236" s="7" t="n">
        <v>7</v>
      </c>
      <c r="B236" s="8">
        <f>B11</f>
        <v/>
      </c>
      <c r="C236" s="8">
        <f>C11</f>
        <v/>
      </c>
      <c r="D236" s="14" t="n"/>
      <c r="E236" s="14" t="n"/>
      <c r="F236" s="8">
        <f>D236+E236</f>
        <v/>
      </c>
      <c r="G236" s="14" t="n"/>
      <c r="H236" s="14" t="n"/>
      <c r="I236" s="8">
        <f>G236+H236</f>
        <v/>
      </c>
      <c r="J236" s="8">
        <f>D236+G236</f>
        <v/>
      </c>
      <c r="K236" s="8">
        <f>E236+H236</f>
        <v/>
      </c>
      <c r="L236" s="8">
        <f>J236+K236</f>
        <v/>
      </c>
      <c r="M236" s="9">
        <f>IF(C236=0,0,L236/C236*100)</f>
        <v/>
      </c>
    </row>
    <row r="237">
      <c r="A237" s="7" t="n">
        <v>8</v>
      </c>
      <c r="B237" s="8">
        <f>B12</f>
        <v/>
      </c>
      <c r="C237" s="8">
        <f>C12</f>
        <v/>
      </c>
      <c r="D237" s="14" t="n"/>
      <c r="E237" s="14" t="n"/>
      <c r="F237" s="8">
        <f>D237+E237</f>
        <v/>
      </c>
      <c r="G237" s="14" t="n"/>
      <c r="H237" s="14" t="n"/>
      <c r="I237" s="8">
        <f>G237+H237</f>
        <v/>
      </c>
      <c r="J237" s="8">
        <f>D237+G237</f>
        <v/>
      </c>
      <c r="K237" s="8">
        <f>E237+H237</f>
        <v/>
      </c>
      <c r="L237" s="8">
        <f>J237+K237</f>
        <v/>
      </c>
      <c r="M237" s="9">
        <f>IF(C237=0,0,L237/C237*100)</f>
        <v/>
      </c>
    </row>
    <row r="238">
      <c r="A238" s="7" t="n">
        <v>9</v>
      </c>
      <c r="B238" s="8">
        <f>B13</f>
        <v/>
      </c>
      <c r="C238" s="8">
        <f>C13</f>
        <v/>
      </c>
      <c r="D238" s="14" t="n"/>
      <c r="E238" s="14" t="n"/>
      <c r="F238" s="8">
        <f>D238+E238</f>
        <v/>
      </c>
      <c r="G238" s="14" t="n"/>
      <c r="H238" s="14" t="n"/>
      <c r="I238" s="8">
        <f>G238+H238</f>
        <v/>
      </c>
      <c r="J238" s="8">
        <f>D238+G238</f>
        <v/>
      </c>
      <c r="K238" s="8">
        <f>E238+H238</f>
        <v/>
      </c>
      <c r="L238" s="8">
        <f>J238+K238</f>
        <v/>
      </c>
      <c r="M238" s="9">
        <f>IF(C238=0,0,L238/C238*100)</f>
        <v/>
      </c>
    </row>
    <row r="239">
      <c r="A239" s="10" t="inlineStr">
        <is>
          <t>Total</t>
        </is>
      </c>
      <c r="B239" s="11">
        <f>SUM(B230:B238)</f>
        <v/>
      </c>
      <c r="C239" s="11">
        <f>SUM(C230:C238)</f>
        <v/>
      </c>
      <c r="D239" s="11">
        <f>SUM(D230:D238)</f>
        <v/>
      </c>
      <c r="E239" s="11">
        <f>SUM(E230:E238)</f>
        <v/>
      </c>
      <c r="F239" s="11">
        <f>D239+E239</f>
        <v/>
      </c>
      <c r="G239" s="11">
        <f>SUM(G230:G238)</f>
        <v/>
      </c>
      <c r="H239" s="11">
        <f>SUM(H230:H238)</f>
        <v/>
      </c>
      <c r="I239" s="11">
        <f>G239+H239</f>
        <v/>
      </c>
      <c r="J239" s="11">
        <f>D239+G239</f>
        <v/>
      </c>
      <c r="K239" s="11">
        <f>E239+H239</f>
        <v/>
      </c>
      <c r="L239" s="11">
        <f>J239+K239</f>
        <v/>
      </c>
      <c r="M239" s="12">
        <f>IF(C239=0,0,L239/C239*100)</f>
        <v/>
      </c>
    </row>
  </sheetData>
  <sheetProtection selectLockedCells="0" selectUnlockedCells="0" sheet="1" objects="0" insertRows="1" insertHyperlinks="1" autoFilter="1" scenarios="0" formatColumns="0" deleteColumns="1" insertColumns="1" pivotTables="1" deleteRows="1" formatCells="0" formatRows="0" sort="1"/>
  <mergeCells count="160">
    <mergeCell ref="L3:L4"/>
    <mergeCell ref="L183:L184"/>
    <mergeCell ref="M122:M124"/>
    <mergeCell ref="C32:C34"/>
    <mergeCell ref="M32:M34"/>
    <mergeCell ref="L93:L94"/>
    <mergeCell ref="A121:M121"/>
    <mergeCell ref="B92:B94"/>
    <mergeCell ref="A31:M31"/>
    <mergeCell ref="D168:F168"/>
    <mergeCell ref="D62:L62"/>
    <mergeCell ref="D122:L122"/>
    <mergeCell ref="B47:B49"/>
    <mergeCell ref="G153:I153"/>
    <mergeCell ref="A107:A109"/>
    <mergeCell ref="A226:M226"/>
    <mergeCell ref="C107:C109"/>
    <mergeCell ref="G63:I63"/>
    <mergeCell ref="J108:K108"/>
    <mergeCell ref="L168:L169"/>
    <mergeCell ref="B62:B64"/>
    <mergeCell ref="B152:B154"/>
    <mergeCell ref="A212:A214"/>
    <mergeCell ref="C212:C214"/>
    <mergeCell ref="A16:M16"/>
    <mergeCell ref="B167:B169"/>
    <mergeCell ref="D183:F183"/>
    <mergeCell ref="B107:B109"/>
    <mergeCell ref="J228:K228"/>
    <mergeCell ref="L228:L229"/>
    <mergeCell ref="D2:L2"/>
    <mergeCell ref="A151:M151"/>
    <mergeCell ref="L198:L199"/>
    <mergeCell ref="A122:A124"/>
    <mergeCell ref="C122:C124"/>
    <mergeCell ref="M47:M49"/>
    <mergeCell ref="A32:A34"/>
    <mergeCell ref="G78:I78"/>
    <mergeCell ref="J93:K93"/>
    <mergeCell ref="D197:L197"/>
    <mergeCell ref="D47:L47"/>
    <mergeCell ref="L18:L19"/>
    <mergeCell ref="B197:B199"/>
    <mergeCell ref="L123:L124"/>
    <mergeCell ref="L33:L34"/>
    <mergeCell ref="D93:F93"/>
    <mergeCell ref="L213:L214"/>
    <mergeCell ref="M152:M154"/>
    <mergeCell ref="D3:F3"/>
    <mergeCell ref="C62:C64"/>
    <mergeCell ref="D152:L152"/>
    <mergeCell ref="D167:L167"/>
    <mergeCell ref="B137:B139"/>
    <mergeCell ref="A61:M61"/>
    <mergeCell ref="J183:K183"/>
    <mergeCell ref="A227:A229"/>
    <mergeCell ref="M107:M109"/>
    <mergeCell ref="L108:L109"/>
    <mergeCell ref="A137:A139"/>
    <mergeCell ref="B182:B184"/>
    <mergeCell ref="C137:C139"/>
    <mergeCell ref="A197:A199"/>
    <mergeCell ref="C197:C199"/>
    <mergeCell ref="A46:M46"/>
    <mergeCell ref="J3:K3"/>
    <mergeCell ref="M212:M214"/>
    <mergeCell ref="D108:F108"/>
    <mergeCell ref="M77:M79"/>
    <mergeCell ref="C182:C184"/>
    <mergeCell ref="J48:K48"/>
    <mergeCell ref="J153:K153"/>
    <mergeCell ref="A76:M76"/>
    <mergeCell ref="L48:L49"/>
    <mergeCell ref="A181:M181"/>
    <mergeCell ref="A2:A4"/>
    <mergeCell ref="A17:A19"/>
    <mergeCell ref="C2:C4"/>
    <mergeCell ref="D107:L107"/>
    <mergeCell ref="C17:C19"/>
    <mergeCell ref="G93:I93"/>
    <mergeCell ref="A47:A49"/>
    <mergeCell ref="D17:L17"/>
    <mergeCell ref="G3:I3"/>
    <mergeCell ref="D78:F78"/>
    <mergeCell ref="M17:M19"/>
    <mergeCell ref="A62:A64"/>
    <mergeCell ref="G108:I108"/>
    <mergeCell ref="M197:M199"/>
    <mergeCell ref="M62:M64"/>
    <mergeCell ref="G123:I123"/>
    <mergeCell ref="D212:L212"/>
    <mergeCell ref="A92:A94"/>
    <mergeCell ref="D18:F18"/>
    <mergeCell ref="A152:A154"/>
    <mergeCell ref="G168:I168"/>
    <mergeCell ref="B212:B214"/>
    <mergeCell ref="A166:M166"/>
    <mergeCell ref="L138:L139"/>
    <mergeCell ref="G213:I213"/>
    <mergeCell ref="D33:F33"/>
    <mergeCell ref="A167:A169"/>
    <mergeCell ref="D92:L92"/>
    <mergeCell ref="C92:C94"/>
    <mergeCell ref="M167:M169"/>
    <mergeCell ref="A1:M1"/>
    <mergeCell ref="L153:L154"/>
    <mergeCell ref="D123:F123"/>
    <mergeCell ref="D228:F228"/>
    <mergeCell ref="J168:K168"/>
    <mergeCell ref="B2:B4"/>
    <mergeCell ref="D138:F138"/>
    <mergeCell ref="D182:L182"/>
    <mergeCell ref="B17:B19"/>
    <mergeCell ref="B77:B79"/>
    <mergeCell ref="C227:C229"/>
    <mergeCell ref="M227:M229"/>
    <mergeCell ref="J213:K213"/>
    <mergeCell ref="G228:I228"/>
    <mergeCell ref="A136:M136"/>
    <mergeCell ref="M137:M139"/>
    <mergeCell ref="D198:F198"/>
    <mergeCell ref="D213:F213"/>
    <mergeCell ref="A106:M106"/>
    <mergeCell ref="L78:L79"/>
    <mergeCell ref="D32:L32"/>
    <mergeCell ref="G18:I18"/>
    <mergeCell ref="D48:F48"/>
    <mergeCell ref="A91:M91"/>
    <mergeCell ref="C77:C79"/>
    <mergeCell ref="G33:I33"/>
    <mergeCell ref="J78:K78"/>
    <mergeCell ref="A211:M211"/>
    <mergeCell ref="J123:K123"/>
    <mergeCell ref="D227:L227"/>
    <mergeCell ref="D137:L137"/>
    <mergeCell ref="A77:A79"/>
    <mergeCell ref="B122:B124"/>
    <mergeCell ref="B227:B229"/>
    <mergeCell ref="B32:B34"/>
    <mergeCell ref="A182:A184"/>
    <mergeCell ref="G138:I138"/>
    <mergeCell ref="L63:L64"/>
    <mergeCell ref="M182:M184"/>
    <mergeCell ref="G183:I183"/>
    <mergeCell ref="M92:M94"/>
    <mergeCell ref="J63:K63"/>
    <mergeCell ref="G198:I198"/>
    <mergeCell ref="M2:M4"/>
    <mergeCell ref="D153:F153"/>
    <mergeCell ref="A196:M196"/>
    <mergeCell ref="D63:F63"/>
    <mergeCell ref="C152:C154"/>
    <mergeCell ref="C167:C169"/>
    <mergeCell ref="C47:C49"/>
    <mergeCell ref="J138:K138"/>
    <mergeCell ref="J18:K18"/>
    <mergeCell ref="J33:K33"/>
    <mergeCell ref="G48:I48"/>
    <mergeCell ref="J198:K198"/>
    <mergeCell ref="D77:L77"/>
  </mergeCells>
  <dataValidations count="1">
    <dataValidation sqref="D20 D21 D22 D23 D24 D25 D26 D27 D28 D35 D36 D37 D38 D39 D40 D41 D42 D43 D50 D51 D52 D53 D54 D55 D56 D57 D58 D65 D66 D67 D68 D69 D70 D71 D72 D73 D80 D81 D82 D83 D84 D85 D86 D87 D88 D95 D96 D97 D98 D99 D100 D101 D102 D103 D110 D111 D112 D113 D114 D115 D116 D117 D118 D125 D126 D127 D128 D129 D130 D131 D132 D133 D140 D141 D142 D143 D144 D145 D146 D147 D148 D155 D156 D157 D158 D159 D160 D161 D162 D163 D170 D171 D172 D173 D174 D175 D176 D177 D178 D185 D186 D187 D188 D189 D190 D191 D192 D193 D200 D201 D202 D203 D204 D205 D206 D207 D208 D215 D216 D217 D218 D219 D220 D221 D222 D223 D230 D231 D232 D233 D234 D235 D236 D237 D238 E20 E21 E22 E23 E24 E25 E26 E27 E28 E35 E36 E37 E38 E39 E40 E41 E42 E43 E50 E51 E52 E53 E54 E55 E56 E57 E58 E65 E66 E67 E68 E69 E70 E71 E72 E73 E80 E81 E82 E83 E84 E85 E86 E87 E88 E95 E96 E97 E98 E99 E100 E101 E102 E103 E110 E111 E112 E113 E114 E115 E116 E117 E118 E125 E126 E127 E128 E129 E130 E131 E132 E133 E140 E141 E142 E143 E144 E145 E146 E147 E148 E155 E156 E157 E158 E159 E160 E161 E162 E163 E170 E171 E172 E173 E174 E175 E176 E177 E178 E185 E186 E187 E188 E189 E190 E191 E192 E193 E200 E201 E202 E203 E204 E205 E206 E207 E208 E215 E216 E217 E218 E219 E220 E221 E222 E223 E230 E231 E232 E233 E234 E235 E236 E237 E238 G20 G21 G22 G23 G24 G25 G26 G27 G28 G35 G36 G37 G38 G39 G40 G41 G42 G43 G50 G51 G52 G53 G54 G55 G56 G57 G58 G65 G66 G67 G68 G69 G70 G71 G72 G73 G80 G81 G82 G83 G84 G85 G86 G87 G88 G95 G96 G97 G98 G99 G100 G101 G102 G103 G110 G111 G112 G113 G114 G115 G116 G117 G118 G125 G126 G127 G128 G129 G130 G131 G132 G133 G140 G141 G142 G143 G144 G145 G146 G147 G148 G155 G156 G157 G158 G159 G160 G161 G162 G163 G170 G171 G172 G173 G174 G175 G176 G177 G178 G185 G186 G187 G188 G189 G190 G191 G192 G193 G200 G201 G202 G203 G204 G205 G206 G207 G208 G215 G216 G217 G218 G219 G220 G221 G222 G223 G230 G231 G232 G233 G234 G235 G236 G237 G238 H20 H21 H22 H23 H24 H25 H26 H27 H28 H35 H36 H37 H38 H39 H40 H41 H42 H43 H50 H51 H52 H53 H54 H55 H56 H57 H58 H65 H66 H67 H68 H69 H70 H71 H72 H73 H80 H81 H82 H83 H84 H85 H86 H87 H88 H95 H96 H97 H98 H99 H100 H101 H102 H103 H110 H111 H112 H113 H114 H115 H116 H117 H118 H125 H126 H127 H128 H129 H130 H131 H132 H133 H140 H141 H142 H143 H144 H145 H146 H147 H148 H155 H156 H157 H158 H159 H160 H161 H162 H163 H170 H171 H172 H173 H174 H175 H176 H177 H178 H185 H186 H187 H188 H189 H190 H191 H192 H193 H200 H201 H202 H203 H204 H205 H206 H207 H208 H215 H216 H217 H218 H219 H220 H221 H222 H223 H230 H231 H232 H233 H234 H235 H236 H237 H238" showDropDown="0" showInputMessage="0" showErrorMessage="1" allowBlank="0" errorTitle="Whole number only" error="Enter a whole number of 0 or more." type="whole" operator="greaterThanOrEqual">
      <formula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71"/>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13"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10" customWidth="1" min="12" max="12"/>
    <col width="9" customWidth="1" min="13" max="13"/>
  </cols>
  <sheetData>
    <row r="1">
      <c r="A1" s="5" t="inlineStr">
        <is>
          <t>Shivasatakshi Municipality - Campaign Total (5-19 Oct 2026)</t>
        </is>
      </c>
    </row>
    <row r="2">
      <c r="A2" s="6" t="inlineStr">
        <is>
          <t>Ward no.</t>
        </is>
      </c>
      <c r="B2" s="6" t="inlineStr">
        <is>
          <t>Total population</t>
        </is>
      </c>
      <c r="C2" s="6" t="inlineStr">
        <is>
          <t>JE target population</t>
        </is>
      </c>
      <c r="D2" s="6" t="inlineStr">
        <is>
          <t>Vaccinated</t>
        </is>
      </c>
      <c r="E2" s="6" t="n"/>
      <c r="F2" s="6" t="n"/>
      <c r="G2" s="6" t="n"/>
      <c r="H2" s="6" t="n"/>
      <c r="I2" s="6" t="n"/>
      <c r="J2" s="6" t="n"/>
      <c r="K2" s="6" t="n"/>
      <c r="L2" s="6" t="n"/>
      <c r="M2" s="6" t="inlineStr">
        <is>
          <t>Progress %</t>
        </is>
      </c>
    </row>
    <row r="3">
      <c r="A3" s="6" t="n"/>
      <c r="B3" s="6" t="n"/>
      <c r="C3" s="6" t="n"/>
      <c r="D3" s="6" t="inlineStr">
        <is>
          <t>Age 30-60 yrs</t>
        </is>
      </c>
      <c r="E3" s="6" t="n"/>
      <c r="F3" s="6" t="n"/>
      <c r="G3" s="6" t="inlineStr">
        <is>
          <t>Age 60 above</t>
        </is>
      </c>
      <c r="H3" s="6" t="n"/>
      <c r="I3" s="6" t="n"/>
      <c r="J3" s="6" t="inlineStr">
        <is>
          <t>Total</t>
        </is>
      </c>
      <c r="K3" s="6" t="n"/>
      <c r="L3" s="6" t="inlineStr">
        <is>
          <t>Grand Total</t>
        </is>
      </c>
      <c r="M3" s="6" t="n"/>
    </row>
    <row r="4">
      <c r="A4" s="6" t="n"/>
      <c r="B4" s="6" t="n"/>
      <c r="C4" s="6" t="n"/>
      <c r="D4" s="6" t="inlineStr">
        <is>
          <t>F</t>
        </is>
      </c>
      <c r="E4" s="6" t="inlineStr">
        <is>
          <t>M</t>
        </is>
      </c>
      <c r="F4" s="6" t="inlineStr">
        <is>
          <t>Total</t>
        </is>
      </c>
      <c r="G4" s="6" t="inlineStr">
        <is>
          <t>F</t>
        </is>
      </c>
      <c r="H4" s="6" t="inlineStr">
        <is>
          <t>M</t>
        </is>
      </c>
      <c r="I4" s="6" t="inlineStr">
        <is>
          <t>Total</t>
        </is>
      </c>
      <c r="J4" s="6" t="inlineStr">
        <is>
          <t>F</t>
        </is>
      </c>
      <c r="K4" s="6" t="inlineStr">
        <is>
          <t>M</t>
        </is>
      </c>
      <c r="L4" s="6" t="n"/>
      <c r="M4" s="6" t="n"/>
    </row>
    <row r="5">
      <c r="A5" s="7" t="n">
        <v>1</v>
      </c>
      <c r="B5" s="8" t="n">
        <v>6369</v>
      </c>
      <c r="C5" s="8" t="n">
        <v>3057.12</v>
      </c>
      <c r="D5" s="8">
        <f>D22+D39+D56+D73+D90+D107+D124+D141+D158+D175+D192+D209+D226+D243+D260</f>
        <v/>
      </c>
      <c r="E5" s="8">
        <f>E22+E39+E56+E73+E90+E107+E124+E141+E158+E175+E192+E209+E226+E243+E260</f>
        <v/>
      </c>
      <c r="F5" s="8">
        <f>D5+E5</f>
        <v/>
      </c>
      <c r="G5" s="8">
        <f>G22+G39+G56+G73+G90+G107+G124+G141+G158+G175+G192+G209+G226+G243+G260</f>
        <v/>
      </c>
      <c r="H5" s="8">
        <f>H22+H39+H56+H73+H90+H107+H124+H141+H158+H175+H192+H209+H226+H243+H260</f>
        <v/>
      </c>
      <c r="I5" s="8">
        <f>G5+H5</f>
        <v/>
      </c>
      <c r="J5" s="8">
        <f>D5+G5</f>
        <v/>
      </c>
      <c r="K5" s="8">
        <f>E5+H5</f>
        <v/>
      </c>
      <c r="L5" s="8">
        <f>J5+K5</f>
        <v/>
      </c>
      <c r="M5" s="9">
        <f>IF(C5=0,0,L5/C5*100)</f>
        <v/>
      </c>
    </row>
    <row r="6">
      <c r="A6" s="7" t="n">
        <v>2</v>
      </c>
      <c r="B6" s="8" t="n">
        <v>6172</v>
      </c>
      <c r="C6" s="8" t="n">
        <v>2962.56</v>
      </c>
      <c r="D6" s="8">
        <f>D23+D40+D57+D74+D91+D108+D125+D142+D159+D176+D193+D210+D227+D244+D261</f>
        <v/>
      </c>
      <c r="E6" s="8">
        <f>E23+E40+E57+E74+E91+E108+E125+E142+E159+E176+E193+E210+E227+E244+E261</f>
        <v/>
      </c>
      <c r="F6" s="8">
        <f>D6+E6</f>
        <v/>
      </c>
      <c r="G6" s="8">
        <f>G23+G40+G57+G74+G91+G108+G125+G142+G159+G176+G193+G210+G227+G244+G261</f>
        <v/>
      </c>
      <c r="H6" s="8">
        <f>H23+H40+H57+H74+H91+H108+H125+H142+H159+H176+H193+H210+H227+H244+H261</f>
        <v/>
      </c>
      <c r="I6" s="8">
        <f>G6+H6</f>
        <v/>
      </c>
      <c r="J6" s="8">
        <f>D6+G6</f>
        <v/>
      </c>
      <c r="K6" s="8">
        <f>E6+H6</f>
        <v/>
      </c>
      <c r="L6" s="8">
        <f>J6+K6</f>
        <v/>
      </c>
      <c r="M6" s="9">
        <f>IF(C6=0,0,L6/C6*100)</f>
        <v/>
      </c>
    </row>
    <row r="7">
      <c r="A7" s="7" t="n">
        <v>3</v>
      </c>
      <c r="B7" s="8" t="n">
        <v>4635</v>
      </c>
      <c r="C7" s="8" t="n">
        <v>2224.8</v>
      </c>
      <c r="D7" s="8">
        <f>D24+D41+D58+D75+D92+D109+D126+D143+D160+D177+D194+D211+D228+D245+D262</f>
        <v/>
      </c>
      <c r="E7" s="8">
        <f>E24+E41+E58+E75+E92+E109+E126+E143+E160+E177+E194+E211+E228+E245+E262</f>
        <v/>
      </c>
      <c r="F7" s="8">
        <f>D7+E7</f>
        <v/>
      </c>
      <c r="G7" s="8">
        <f>G24+G41+G58+G75+G92+G109+G126+G143+G160+G177+G194+G211+G228+G245+G262</f>
        <v/>
      </c>
      <c r="H7" s="8">
        <f>H24+H41+H58+H75+H92+H109+H126+H143+H160+H177+H194+H211+H228+H245+H262</f>
        <v/>
      </c>
      <c r="I7" s="8">
        <f>G7+H7</f>
        <v/>
      </c>
      <c r="J7" s="8">
        <f>D7+G7</f>
        <v/>
      </c>
      <c r="K7" s="8">
        <f>E7+H7</f>
        <v/>
      </c>
      <c r="L7" s="8">
        <f>J7+K7</f>
        <v/>
      </c>
      <c r="M7" s="9">
        <f>IF(C7=0,0,L7/C7*100)</f>
        <v/>
      </c>
    </row>
    <row r="8">
      <c r="A8" s="7" t="n">
        <v>4</v>
      </c>
      <c r="B8" s="8" t="n">
        <v>6399</v>
      </c>
      <c r="C8" s="8" t="n">
        <v>3071.52</v>
      </c>
      <c r="D8" s="8">
        <f>D25+D42+D59+D76+D93+D110+D127+D144+D161+D178+D195+D212+D229+D246+D263</f>
        <v/>
      </c>
      <c r="E8" s="8">
        <f>E25+E42+E59+E76+E93+E110+E127+E144+E161+E178+E195+E212+E229+E246+E263</f>
        <v/>
      </c>
      <c r="F8" s="8">
        <f>D8+E8</f>
        <v/>
      </c>
      <c r="G8" s="8">
        <f>G25+G42+G59+G76+G93+G110+G127+G144+G161+G178+G195+G212+G229+G246+G263</f>
        <v/>
      </c>
      <c r="H8" s="8">
        <f>H25+H42+H59+H76+H93+H110+H127+H144+H161+H178+H195+H212+H229+H246+H263</f>
        <v/>
      </c>
      <c r="I8" s="8">
        <f>G8+H8</f>
        <v/>
      </c>
      <c r="J8" s="8">
        <f>D8+G8</f>
        <v/>
      </c>
      <c r="K8" s="8">
        <f>E8+H8</f>
        <v/>
      </c>
      <c r="L8" s="8">
        <f>J8+K8</f>
        <v/>
      </c>
      <c r="M8" s="9">
        <f>IF(C8=0,0,L8/C8*100)</f>
        <v/>
      </c>
    </row>
    <row r="9">
      <c r="A9" s="7" t="n">
        <v>5</v>
      </c>
      <c r="B9" s="8" t="n">
        <v>4767</v>
      </c>
      <c r="C9" s="8" t="n">
        <v>2288.16</v>
      </c>
      <c r="D9" s="8">
        <f>D26+D43+D60+D77+D94+D111+D128+D145+D162+D179+D196+D213+D230+D247+D264</f>
        <v/>
      </c>
      <c r="E9" s="8">
        <f>E26+E43+E60+E77+E94+E111+E128+E145+E162+E179+E196+E213+E230+E247+E264</f>
        <v/>
      </c>
      <c r="F9" s="8">
        <f>D9+E9</f>
        <v/>
      </c>
      <c r="G9" s="8">
        <f>G26+G43+G60+G77+G94+G111+G128+G145+G162+G179+G196+G213+G230+G247+G264</f>
        <v/>
      </c>
      <c r="H9" s="8">
        <f>H26+H43+H60+H77+H94+H111+H128+H145+H162+H179+H196+H213+H230+H247+H264</f>
        <v/>
      </c>
      <c r="I9" s="8">
        <f>G9+H9</f>
        <v/>
      </c>
      <c r="J9" s="8">
        <f>D9+G9</f>
        <v/>
      </c>
      <c r="K9" s="8">
        <f>E9+H9</f>
        <v/>
      </c>
      <c r="L9" s="8">
        <f>J9+K9</f>
        <v/>
      </c>
      <c r="M9" s="9">
        <f>IF(C9=0,0,L9/C9*100)</f>
        <v/>
      </c>
    </row>
    <row r="10">
      <c r="A10" s="7" t="n">
        <v>6</v>
      </c>
      <c r="B10" s="8" t="n">
        <v>6247</v>
      </c>
      <c r="C10" s="8" t="n">
        <v>2998.56</v>
      </c>
      <c r="D10" s="8">
        <f>D27+D44+D61+D78+D95+D112+D129+D146+D163+D180+D197+D214+D231+D248+D265</f>
        <v/>
      </c>
      <c r="E10" s="8">
        <f>E27+E44+E61+E78+E95+E112+E129+E146+E163+E180+E197+E214+E231+E248+E265</f>
        <v/>
      </c>
      <c r="F10" s="8">
        <f>D10+E10</f>
        <v/>
      </c>
      <c r="G10" s="8">
        <f>G27+G44+G61+G78+G95+G112+G129+G146+G163+G180+G197+G214+G231+G248+G265</f>
        <v/>
      </c>
      <c r="H10" s="8">
        <f>H27+H44+H61+H78+H95+H112+H129+H146+H163+H180+H197+H214+H231+H248+H265</f>
        <v/>
      </c>
      <c r="I10" s="8">
        <f>G10+H10</f>
        <v/>
      </c>
      <c r="J10" s="8">
        <f>D10+G10</f>
        <v/>
      </c>
      <c r="K10" s="8">
        <f>E10+H10</f>
        <v/>
      </c>
      <c r="L10" s="8">
        <f>J10+K10</f>
        <v/>
      </c>
      <c r="M10" s="9">
        <f>IF(C10=0,0,L10/C10*100)</f>
        <v/>
      </c>
    </row>
    <row r="11">
      <c r="A11" s="7" t="n">
        <v>7</v>
      </c>
      <c r="B11" s="8" t="n">
        <v>8247</v>
      </c>
      <c r="C11" s="8" t="n">
        <v>3958.559999999999</v>
      </c>
      <c r="D11" s="8">
        <f>D28+D45+D62+D79+D96+D113+D130+D147+D164+D181+D198+D215+D232+D249+D266</f>
        <v/>
      </c>
      <c r="E11" s="8">
        <f>E28+E45+E62+E79+E96+E113+E130+E147+E164+E181+E198+E215+E232+E249+E266</f>
        <v/>
      </c>
      <c r="F11" s="8">
        <f>D11+E11</f>
        <v/>
      </c>
      <c r="G11" s="8">
        <f>G28+G45+G62+G79+G96+G113+G130+G147+G164+G181+G198+G215+G232+G249+G266</f>
        <v/>
      </c>
      <c r="H11" s="8">
        <f>H28+H45+H62+H79+H96+H113+H130+H147+H164+H181+H198+H215+H232+H249+H266</f>
        <v/>
      </c>
      <c r="I11" s="8">
        <f>G11+H11</f>
        <v/>
      </c>
      <c r="J11" s="8">
        <f>D11+G11</f>
        <v/>
      </c>
      <c r="K11" s="8">
        <f>E11+H11</f>
        <v/>
      </c>
      <c r="L11" s="8">
        <f>J11+K11</f>
        <v/>
      </c>
      <c r="M11" s="9">
        <f>IF(C11=0,0,L11/C11*100)</f>
        <v/>
      </c>
    </row>
    <row r="12">
      <c r="A12" s="7" t="n">
        <v>8</v>
      </c>
      <c r="B12" s="8" t="n">
        <v>9607</v>
      </c>
      <c r="C12" s="8" t="n">
        <v>4611.36</v>
      </c>
      <c r="D12" s="8">
        <f>D29+D46+D63+D80+D97+D114+D131+D148+D165+D182+D199+D216+D233+D250+D267</f>
        <v/>
      </c>
      <c r="E12" s="8">
        <f>E29+E46+E63+E80+E97+E114+E131+E148+E165+E182+E199+E216+E233+E250+E267</f>
        <v/>
      </c>
      <c r="F12" s="8">
        <f>D12+E12</f>
        <v/>
      </c>
      <c r="G12" s="8">
        <f>G29+G46+G63+G80+G97+G114+G131+G148+G165+G182+G199+G216+G233+G250+G267</f>
        <v/>
      </c>
      <c r="H12" s="8">
        <f>H29+H46+H63+H80+H97+H114+H131+H148+H165+H182+H199+H216+H233+H250+H267</f>
        <v/>
      </c>
      <c r="I12" s="8">
        <f>G12+H12</f>
        <v/>
      </c>
      <c r="J12" s="8">
        <f>D12+G12</f>
        <v/>
      </c>
      <c r="K12" s="8">
        <f>E12+H12</f>
        <v/>
      </c>
      <c r="L12" s="8">
        <f>J12+K12</f>
        <v/>
      </c>
      <c r="M12" s="9">
        <f>IF(C12=0,0,L12/C12*100)</f>
        <v/>
      </c>
    </row>
    <row r="13">
      <c r="A13" s="7" t="n">
        <v>9</v>
      </c>
      <c r="B13" s="8" t="n">
        <v>6800</v>
      </c>
      <c r="C13" s="8" t="n">
        <v>3264</v>
      </c>
      <c r="D13" s="8">
        <f>D30+D47+D64+D81+D98+D115+D132+D149+D166+D183+D200+D217+D234+D251+D268</f>
        <v/>
      </c>
      <c r="E13" s="8">
        <f>E30+E47+E64+E81+E98+E115+E132+E149+E166+E183+E200+E217+E234+E251+E268</f>
        <v/>
      </c>
      <c r="F13" s="8">
        <f>D13+E13</f>
        <v/>
      </c>
      <c r="G13" s="8">
        <f>G30+G47+G64+G81+G98+G115+G132+G149+G166+G183+G200+G217+G234+G251+G268</f>
        <v/>
      </c>
      <c r="H13" s="8">
        <f>H30+H47+H64+H81+H98+H115+H132+H149+H166+H183+H200+H217+H234+H251+H268</f>
        <v/>
      </c>
      <c r="I13" s="8">
        <f>G13+H13</f>
        <v/>
      </c>
      <c r="J13" s="8">
        <f>D13+G13</f>
        <v/>
      </c>
      <c r="K13" s="8">
        <f>E13+H13</f>
        <v/>
      </c>
      <c r="L13" s="8">
        <f>J13+K13</f>
        <v/>
      </c>
      <c r="M13" s="9">
        <f>IF(C13=0,0,L13/C13*100)</f>
        <v/>
      </c>
    </row>
    <row r="14">
      <c r="A14" s="7" t="n">
        <v>10</v>
      </c>
      <c r="B14" s="8" t="n">
        <v>7567</v>
      </c>
      <c r="C14" s="8" t="n">
        <v>3632.16</v>
      </c>
      <c r="D14" s="8">
        <f>D31+D48+D65+D82+D99+D116+D133+D150+D167+D184+D201+D218+D235+D252+D269</f>
        <v/>
      </c>
      <c r="E14" s="8">
        <f>E31+E48+E65+E82+E99+E116+E133+E150+E167+E184+E201+E218+E235+E252+E269</f>
        <v/>
      </c>
      <c r="F14" s="8">
        <f>D14+E14</f>
        <v/>
      </c>
      <c r="G14" s="8">
        <f>G31+G48+G65+G82+G99+G116+G133+G150+G167+G184+G201+G218+G235+G252+G269</f>
        <v/>
      </c>
      <c r="H14" s="8">
        <f>H31+H48+H65+H82+H99+H116+H133+H150+H167+H184+H201+H218+H235+H252+H269</f>
        <v/>
      </c>
      <c r="I14" s="8">
        <f>G14+H14</f>
        <v/>
      </c>
      <c r="J14" s="8">
        <f>D14+G14</f>
        <v/>
      </c>
      <c r="K14" s="8">
        <f>E14+H14</f>
        <v/>
      </c>
      <c r="L14" s="8">
        <f>J14+K14</f>
        <v/>
      </c>
      <c r="M14" s="9">
        <f>IF(C14=0,0,L14/C14*100)</f>
        <v/>
      </c>
    </row>
    <row r="15">
      <c r="A15" s="7" t="n">
        <v>11</v>
      </c>
      <c r="B15" s="8" t="n">
        <v>9230</v>
      </c>
      <c r="C15" s="8" t="n">
        <v>4430.4</v>
      </c>
      <c r="D15" s="8">
        <f>D32+D49+D66+D83+D100+D117+D134+D151+D168+D185+D202+D219+D236+D253+D270</f>
        <v/>
      </c>
      <c r="E15" s="8">
        <f>E32+E49+E66+E83+E100+E117+E134+E151+E168+E185+E202+E219+E236+E253+E270</f>
        <v/>
      </c>
      <c r="F15" s="8">
        <f>D15+E15</f>
        <v/>
      </c>
      <c r="G15" s="8">
        <f>G32+G49+G66+G83+G100+G117+G134+G151+G168+G185+G202+G219+G236+G253+G270</f>
        <v/>
      </c>
      <c r="H15" s="8">
        <f>H32+H49+H66+H83+H100+H117+H134+H151+H168+H185+H202+H219+H236+H253+H270</f>
        <v/>
      </c>
      <c r="I15" s="8">
        <f>G15+H15</f>
        <v/>
      </c>
      <c r="J15" s="8">
        <f>D15+G15</f>
        <v/>
      </c>
      <c r="K15" s="8">
        <f>E15+H15</f>
        <v/>
      </c>
      <c r="L15" s="8">
        <f>J15+K15</f>
        <v/>
      </c>
      <c r="M15" s="9">
        <f>IF(C15=0,0,L15/C15*100)</f>
        <v/>
      </c>
    </row>
    <row r="16">
      <c r="A16" s="10" t="inlineStr">
        <is>
          <t>Total</t>
        </is>
      </c>
      <c r="B16" s="11">
        <f>SUM(B5:B15)</f>
        <v/>
      </c>
      <c r="C16" s="11">
        <f>SUM(C5:C15)</f>
        <v/>
      </c>
      <c r="D16" s="11">
        <f>SUM(D5:D15)</f>
        <v/>
      </c>
      <c r="E16" s="11">
        <f>SUM(E5:E15)</f>
        <v/>
      </c>
      <c r="F16" s="11">
        <f>D16+E16</f>
        <v/>
      </c>
      <c r="G16" s="11">
        <f>SUM(G5:G15)</f>
        <v/>
      </c>
      <c r="H16" s="11">
        <f>SUM(H5:H15)</f>
        <v/>
      </c>
      <c r="I16" s="11">
        <f>G16+H16</f>
        <v/>
      </c>
      <c r="J16" s="11">
        <f>D16+G16</f>
        <v/>
      </c>
      <c r="K16" s="11">
        <f>E16+H16</f>
        <v/>
      </c>
      <c r="L16" s="11">
        <f>J16+K16</f>
        <v/>
      </c>
      <c r="M16" s="12">
        <f>IF(C16=0,0,L16/C16*100)</f>
        <v/>
      </c>
    </row>
    <row r="18">
      <c r="A18" s="13" t="inlineStr">
        <is>
          <t>Day 1 - 2026-10-05 (Mon 19 Aswin 2083)</t>
        </is>
      </c>
    </row>
    <row r="19">
      <c r="A19" s="6" t="inlineStr">
        <is>
          <t>Ward no.</t>
        </is>
      </c>
      <c r="B19" s="6" t="inlineStr">
        <is>
          <t>Total population</t>
        </is>
      </c>
      <c r="C19" s="6" t="inlineStr">
        <is>
          <t>JE target population</t>
        </is>
      </c>
      <c r="D19" s="6" t="inlineStr">
        <is>
          <t>Vaccinated</t>
        </is>
      </c>
      <c r="E19" s="6" t="n"/>
      <c r="F19" s="6" t="n"/>
      <c r="G19" s="6" t="n"/>
      <c r="H19" s="6" t="n"/>
      <c r="I19" s="6" t="n"/>
      <c r="J19" s="6" t="n"/>
      <c r="K19" s="6" t="n"/>
      <c r="L19" s="6" t="n"/>
      <c r="M19" s="6" t="inlineStr">
        <is>
          <t>Progress %</t>
        </is>
      </c>
    </row>
    <row r="20">
      <c r="A20" s="6" t="n"/>
      <c r="B20" s="6" t="n"/>
      <c r="C20" s="6" t="n"/>
      <c r="D20" s="6" t="inlineStr">
        <is>
          <t>Age 30-60 yrs</t>
        </is>
      </c>
      <c r="E20" s="6" t="n"/>
      <c r="F20" s="6" t="n"/>
      <c r="G20" s="6" t="inlineStr">
        <is>
          <t>Age 60 above</t>
        </is>
      </c>
      <c r="H20" s="6" t="n"/>
      <c r="I20" s="6" t="n"/>
      <c r="J20" s="6" t="inlineStr">
        <is>
          <t>Total</t>
        </is>
      </c>
      <c r="K20" s="6" t="n"/>
      <c r="L20" s="6" t="inlineStr">
        <is>
          <t>Grand Total</t>
        </is>
      </c>
      <c r="M20" s="6" t="n"/>
    </row>
    <row r="21">
      <c r="A21" s="6" t="n"/>
      <c r="B21" s="6" t="n"/>
      <c r="C21" s="6" t="n"/>
      <c r="D21" s="6" t="inlineStr">
        <is>
          <t>F</t>
        </is>
      </c>
      <c r="E21" s="6" t="inlineStr">
        <is>
          <t>M</t>
        </is>
      </c>
      <c r="F21" s="6" t="inlineStr">
        <is>
          <t>Total</t>
        </is>
      </c>
      <c r="G21" s="6" t="inlineStr">
        <is>
          <t>F</t>
        </is>
      </c>
      <c r="H21" s="6" t="inlineStr">
        <is>
          <t>M</t>
        </is>
      </c>
      <c r="I21" s="6" t="inlineStr">
        <is>
          <t>Total</t>
        </is>
      </c>
      <c r="J21" s="6" t="inlineStr">
        <is>
          <t>F</t>
        </is>
      </c>
      <c r="K21" s="6" t="inlineStr">
        <is>
          <t>M</t>
        </is>
      </c>
      <c r="L21" s="6" t="n"/>
      <c r="M21" s="6" t="n"/>
    </row>
    <row r="22">
      <c r="A22" s="7" t="n">
        <v>1</v>
      </c>
      <c r="B22" s="8">
        <f>B5</f>
        <v/>
      </c>
      <c r="C22" s="8">
        <f>C5</f>
        <v/>
      </c>
      <c r="D22" s="14" t="n"/>
      <c r="E22" s="14" t="n"/>
      <c r="F22" s="8">
        <f>D22+E22</f>
        <v/>
      </c>
      <c r="G22" s="14" t="n"/>
      <c r="H22" s="14" t="n"/>
      <c r="I22" s="8">
        <f>G22+H22</f>
        <v/>
      </c>
      <c r="J22" s="8">
        <f>D22+G22</f>
        <v/>
      </c>
      <c r="K22" s="8">
        <f>E22+H22</f>
        <v/>
      </c>
      <c r="L22" s="8">
        <f>J22+K22</f>
        <v/>
      </c>
      <c r="M22" s="9">
        <f>IF(C22=0,0,L22/C22*100)</f>
        <v/>
      </c>
    </row>
    <row r="23">
      <c r="A23" s="7" t="n">
        <v>2</v>
      </c>
      <c r="B23" s="8">
        <f>B6</f>
        <v/>
      </c>
      <c r="C23" s="8">
        <f>C6</f>
        <v/>
      </c>
      <c r="D23" s="14" t="n"/>
      <c r="E23" s="14" t="n"/>
      <c r="F23" s="8">
        <f>D23+E23</f>
        <v/>
      </c>
      <c r="G23" s="14" t="n"/>
      <c r="H23" s="14" t="n"/>
      <c r="I23" s="8">
        <f>G23+H23</f>
        <v/>
      </c>
      <c r="J23" s="8">
        <f>D23+G23</f>
        <v/>
      </c>
      <c r="K23" s="8">
        <f>E23+H23</f>
        <v/>
      </c>
      <c r="L23" s="8">
        <f>J23+K23</f>
        <v/>
      </c>
      <c r="M23" s="9">
        <f>IF(C23=0,0,L23/C23*100)</f>
        <v/>
      </c>
    </row>
    <row r="24">
      <c r="A24" s="7" t="n">
        <v>3</v>
      </c>
      <c r="B24" s="8">
        <f>B7</f>
        <v/>
      </c>
      <c r="C24" s="8">
        <f>C7</f>
        <v/>
      </c>
      <c r="D24" s="14" t="n"/>
      <c r="E24" s="14" t="n"/>
      <c r="F24" s="8">
        <f>D24+E24</f>
        <v/>
      </c>
      <c r="G24" s="14" t="n"/>
      <c r="H24" s="14" t="n"/>
      <c r="I24" s="8">
        <f>G24+H24</f>
        <v/>
      </c>
      <c r="J24" s="8">
        <f>D24+G24</f>
        <v/>
      </c>
      <c r="K24" s="8">
        <f>E24+H24</f>
        <v/>
      </c>
      <c r="L24" s="8">
        <f>J24+K24</f>
        <v/>
      </c>
      <c r="M24" s="9">
        <f>IF(C24=0,0,L24/C24*100)</f>
        <v/>
      </c>
    </row>
    <row r="25">
      <c r="A25" s="7" t="n">
        <v>4</v>
      </c>
      <c r="B25" s="8">
        <f>B8</f>
        <v/>
      </c>
      <c r="C25" s="8">
        <f>C8</f>
        <v/>
      </c>
      <c r="D25" s="14" t="n"/>
      <c r="E25" s="14" t="n"/>
      <c r="F25" s="8">
        <f>D25+E25</f>
        <v/>
      </c>
      <c r="G25" s="14" t="n"/>
      <c r="H25" s="14" t="n"/>
      <c r="I25" s="8">
        <f>G25+H25</f>
        <v/>
      </c>
      <c r="J25" s="8">
        <f>D25+G25</f>
        <v/>
      </c>
      <c r="K25" s="8">
        <f>E25+H25</f>
        <v/>
      </c>
      <c r="L25" s="8">
        <f>J25+K25</f>
        <v/>
      </c>
      <c r="M25" s="9">
        <f>IF(C25=0,0,L25/C25*100)</f>
        <v/>
      </c>
    </row>
    <row r="26">
      <c r="A26" s="7" t="n">
        <v>5</v>
      </c>
      <c r="B26" s="8">
        <f>B9</f>
        <v/>
      </c>
      <c r="C26" s="8">
        <f>C9</f>
        <v/>
      </c>
      <c r="D26" s="14" t="n"/>
      <c r="E26" s="14" t="n"/>
      <c r="F26" s="8">
        <f>D26+E26</f>
        <v/>
      </c>
      <c r="G26" s="14" t="n"/>
      <c r="H26" s="14" t="n"/>
      <c r="I26" s="8">
        <f>G26+H26</f>
        <v/>
      </c>
      <c r="J26" s="8">
        <f>D26+G26</f>
        <v/>
      </c>
      <c r="K26" s="8">
        <f>E26+H26</f>
        <v/>
      </c>
      <c r="L26" s="8">
        <f>J26+K26</f>
        <v/>
      </c>
      <c r="M26" s="9">
        <f>IF(C26=0,0,L26/C26*100)</f>
        <v/>
      </c>
    </row>
    <row r="27">
      <c r="A27" s="7" t="n">
        <v>6</v>
      </c>
      <c r="B27" s="8">
        <f>B10</f>
        <v/>
      </c>
      <c r="C27" s="8">
        <f>C10</f>
        <v/>
      </c>
      <c r="D27" s="14" t="n"/>
      <c r="E27" s="14" t="n"/>
      <c r="F27" s="8">
        <f>D27+E27</f>
        <v/>
      </c>
      <c r="G27" s="14" t="n"/>
      <c r="H27" s="14" t="n"/>
      <c r="I27" s="8">
        <f>G27+H27</f>
        <v/>
      </c>
      <c r="J27" s="8">
        <f>D27+G27</f>
        <v/>
      </c>
      <c r="K27" s="8">
        <f>E27+H27</f>
        <v/>
      </c>
      <c r="L27" s="8">
        <f>J27+K27</f>
        <v/>
      </c>
      <c r="M27" s="9">
        <f>IF(C27=0,0,L27/C27*100)</f>
        <v/>
      </c>
    </row>
    <row r="28">
      <c r="A28" s="7" t="n">
        <v>7</v>
      </c>
      <c r="B28" s="8">
        <f>B11</f>
        <v/>
      </c>
      <c r="C28" s="8">
        <f>C11</f>
        <v/>
      </c>
      <c r="D28" s="14" t="n"/>
      <c r="E28" s="14" t="n"/>
      <c r="F28" s="8">
        <f>D28+E28</f>
        <v/>
      </c>
      <c r="G28" s="14" t="n"/>
      <c r="H28" s="14" t="n"/>
      <c r="I28" s="8">
        <f>G28+H28</f>
        <v/>
      </c>
      <c r="J28" s="8">
        <f>D28+G28</f>
        <v/>
      </c>
      <c r="K28" s="8">
        <f>E28+H28</f>
        <v/>
      </c>
      <c r="L28" s="8">
        <f>J28+K28</f>
        <v/>
      </c>
      <c r="M28" s="9">
        <f>IF(C28=0,0,L28/C28*100)</f>
        <v/>
      </c>
    </row>
    <row r="29">
      <c r="A29" s="7" t="n">
        <v>8</v>
      </c>
      <c r="B29" s="8">
        <f>B12</f>
        <v/>
      </c>
      <c r="C29" s="8">
        <f>C12</f>
        <v/>
      </c>
      <c r="D29" s="14" t="n"/>
      <c r="E29" s="14" t="n"/>
      <c r="F29" s="8">
        <f>D29+E29</f>
        <v/>
      </c>
      <c r="G29" s="14" t="n"/>
      <c r="H29" s="14" t="n"/>
      <c r="I29" s="8">
        <f>G29+H29</f>
        <v/>
      </c>
      <c r="J29" s="8">
        <f>D29+G29</f>
        <v/>
      </c>
      <c r="K29" s="8">
        <f>E29+H29</f>
        <v/>
      </c>
      <c r="L29" s="8">
        <f>J29+K29</f>
        <v/>
      </c>
      <c r="M29" s="9">
        <f>IF(C29=0,0,L29/C29*100)</f>
        <v/>
      </c>
    </row>
    <row r="30">
      <c r="A30" s="7" t="n">
        <v>9</v>
      </c>
      <c r="B30" s="8">
        <f>B13</f>
        <v/>
      </c>
      <c r="C30" s="8">
        <f>C13</f>
        <v/>
      </c>
      <c r="D30" s="14" t="n"/>
      <c r="E30" s="14" t="n"/>
      <c r="F30" s="8">
        <f>D30+E30</f>
        <v/>
      </c>
      <c r="G30" s="14" t="n"/>
      <c r="H30" s="14" t="n"/>
      <c r="I30" s="8">
        <f>G30+H30</f>
        <v/>
      </c>
      <c r="J30" s="8">
        <f>D30+G30</f>
        <v/>
      </c>
      <c r="K30" s="8">
        <f>E30+H30</f>
        <v/>
      </c>
      <c r="L30" s="8">
        <f>J30+K30</f>
        <v/>
      </c>
      <c r="M30" s="9">
        <f>IF(C30=0,0,L30/C30*100)</f>
        <v/>
      </c>
    </row>
    <row r="31">
      <c r="A31" s="7" t="n">
        <v>10</v>
      </c>
      <c r="B31" s="8">
        <f>B14</f>
        <v/>
      </c>
      <c r="C31" s="8">
        <f>C14</f>
        <v/>
      </c>
      <c r="D31" s="14" t="n"/>
      <c r="E31" s="14" t="n"/>
      <c r="F31" s="8">
        <f>D31+E31</f>
        <v/>
      </c>
      <c r="G31" s="14" t="n"/>
      <c r="H31" s="14" t="n"/>
      <c r="I31" s="8">
        <f>G31+H31</f>
        <v/>
      </c>
      <c r="J31" s="8">
        <f>D31+G31</f>
        <v/>
      </c>
      <c r="K31" s="8">
        <f>E31+H31</f>
        <v/>
      </c>
      <c r="L31" s="8">
        <f>J31+K31</f>
        <v/>
      </c>
      <c r="M31" s="9">
        <f>IF(C31=0,0,L31/C31*100)</f>
        <v/>
      </c>
    </row>
    <row r="32">
      <c r="A32" s="7" t="n">
        <v>11</v>
      </c>
      <c r="B32" s="8">
        <f>B15</f>
        <v/>
      </c>
      <c r="C32" s="8">
        <f>C15</f>
        <v/>
      </c>
      <c r="D32" s="14" t="n"/>
      <c r="E32" s="14" t="n"/>
      <c r="F32" s="8">
        <f>D32+E32</f>
        <v/>
      </c>
      <c r="G32" s="14" t="n"/>
      <c r="H32" s="14" t="n"/>
      <c r="I32" s="8">
        <f>G32+H32</f>
        <v/>
      </c>
      <c r="J32" s="8">
        <f>D32+G32</f>
        <v/>
      </c>
      <c r="K32" s="8">
        <f>E32+H32</f>
        <v/>
      </c>
      <c r="L32" s="8">
        <f>J32+K32</f>
        <v/>
      </c>
      <c r="M32" s="9">
        <f>IF(C32=0,0,L32/C32*100)</f>
        <v/>
      </c>
    </row>
    <row r="33">
      <c r="A33" s="10" t="inlineStr">
        <is>
          <t>Total</t>
        </is>
      </c>
      <c r="B33" s="11">
        <f>SUM(B22:B32)</f>
        <v/>
      </c>
      <c r="C33" s="11">
        <f>SUM(C22:C32)</f>
        <v/>
      </c>
      <c r="D33" s="11">
        <f>SUM(D22:D32)</f>
        <v/>
      </c>
      <c r="E33" s="11">
        <f>SUM(E22:E32)</f>
        <v/>
      </c>
      <c r="F33" s="11">
        <f>D33+E33</f>
        <v/>
      </c>
      <c r="G33" s="11">
        <f>SUM(G22:G32)</f>
        <v/>
      </c>
      <c r="H33" s="11">
        <f>SUM(H22:H32)</f>
        <v/>
      </c>
      <c r="I33" s="11">
        <f>G33+H33</f>
        <v/>
      </c>
      <c r="J33" s="11">
        <f>D33+G33</f>
        <v/>
      </c>
      <c r="K33" s="11">
        <f>E33+H33</f>
        <v/>
      </c>
      <c r="L33" s="11">
        <f>J33+K33</f>
        <v/>
      </c>
      <c r="M33" s="12">
        <f>IF(C33=0,0,L33/C33*100)</f>
        <v/>
      </c>
    </row>
    <row r="35">
      <c r="A35" s="13" t="inlineStr">
        <is>
          <t>Day 2 - 2026-10-06 (Tue 20 Aswin 2083)</t>
        </is>
      </c>
    </row>
    <row r="36">
      <c r="A36" s="6" t="inlineStr">
        <is>
          <t>Ward no.</t>
        </is>
      </c>
      <c r="B36" s="6" t="inlineStr">
        <is>
          <t>Total population</t>
        </is>
      </c>
      <c r="C36" s="6" t="inlineStr">
        <is>
          <t>JE target population</t>
        </is>
      </c>
      <c r="D36" s="6" t="inlineStr">
        <is>
          <t>Vaccinated</t>
        </is>
      </c>
      <c r="E36" s="6" t="n"/>
      <c r="F36" s="6" t="n"/>
      <c r="G36" s="6" t="n"/>
      <c r="H36" s="6" t="n"/>
      <c r="I36" s="6" t="n"/>
      <c r="J36" s="6" t="n"/>
      <c r="K36" s="6" t="n"/>
      <c r="L36" s="6" t="n"/>
      <c r="M36" s="6" t="inlineStr">
        <is>
          <t>Progress %</t>
        </is>
      </c>
    </row>
    <row r="37">
      <c r="A37" s="6" t="n"/>
      <c r="B37" s="6" t="n"/>
      <c r="C37" s="6" t="n"/>
      <c r="D37" s="6" t="inlineStr">
        <is>
          <t>Age 30-60 yrs</t>
        </is>
      </c>
      <c r="E37" s="6" t="n"/>
      <c r="F37" s="6" t="n"/>
      <c r="G37" s="6" t="inlineStr">
        <is>
          <t>Age 60 above</t>
        </is>
      </c>
      <c r="H37" s="6" t="n"/>
      <c r="I37" s="6" t="n"/>
      <c r="J37" s="6" t="inlineStr">
        <is>
          <t>Total</t>
        </is>
      </c>
      <c r="K37" s="6" t="n"/>
      <c r="L37" s="6" t="inlineStr">
        <is>
          <t>Grand Total</t>
        </is>
      </c>
      <c r="M37" s="6" t="n"/>
    </row>
    <row r="38">
      <c r="A38" s="6" t="n"/>
      <c r="B38" s="6" t="n"/>
      <c r="C38" s="6" t="n"/>
      <c r="D38" s="6" t="inlineStr">
        <is>
          <t>F</t>
        </is>
      </c>
      <c r="E38" s="6" t="inlineStr">
        <is>
          <t>M</t>
        </is>
      </c>
      <c r="F38" s="6" t="inlineStr">
        <is>
          <t>Total</t>
        </is>
      </c>
      <c r="G38" s="6" t="inlineStr">
        <is>
          <t>F</t>
        </is>
      </c>
      <c r="H38" s="6" t="inlineStr">
        <is>
          <t>M</t>
        </is>
      </c>
      <c r="I38" s="6" t="inlineStr">
        <is>
          <t>Total</t>
        </is>
      </c>
      <c r="J38" s="6" t="inlineStr">
        <is>
          <t>F</t>
        </is>
      </c>
      <c r="K38" s="6" t="inlineStr">
        <is>
          <t>M</t>
        </is>
      </c>
      <c r="L38" s="6" t="n"/>
      <c r="M38" s="6" t="n"/>
    </row>
    <row r="39">
      <c r="A39" s="7" t="n">
        <v>1</v>
      </c>
      <c r="B39" s="8">
        <f>B5</f>
        <v/>
      </c>
      <c r="C39" s="8">
        <f>C5</f>
        <v/>
      </c>
      <c r="D39" s="14" t="n"/>
      <c r="E39" s="14" t="n"/>
      <c r="F39" s="8">
        <f>D39+E39</f>
        <v/>
      </c>
      <c r="G39" s="14" t="n"/>
      <c r="H39" s="14" t="n"/>
      <c r="I39" s="8">
        <f>G39+H39</f>
        <v/>
      </c>
      <c r="J39" s="8">
        <f>D39+G39</f>
        <v/>
      </c>
      <c r="K39" s="8">
        <f>E39+H39</f>
        <v/>
      </c>
      <c r="L39" s="8">
        <f>J39+K39</f>
        <v/>
      </c>
      <c r="M39" s="9">
        <f>IF(C39=0,0,L39/C39*100)</f>
        <v/>
      </c>
    </row>
    <row r="40">
      <c r="A40" s="7" t="n">
        <v>2</v>
      </c>
      <c r="B40" s="8">
        <f>B6</f>
        <v/>
      </c>
      <c r="C40" s="8">
        <f>C6</f>
        <v/>
      </c>
      <c r="D40" s="14" t="n"/>
      <c r="E40" s="14" t="n"/>
      <c r="F40" s="8">
        <f>D40+E40</f>
        <v/>
      </c>
      <c r="G40" s="14" t="n"/>
      <c r="H40" s="14" t="n"/>
      <c r="I40" s="8">
        <f>G40+H40</f>
        <v/>
      </c>
      <c r="J40" s="8">
        <f>D40+G40</f>
        <v/>
      </c>
      <c r="K40" s="8">
        <f>E40+H40</f>
        <v/>
      </c>
      <c r="L40" s="8">
        <f>J40+K40</f>
        <v/>
      </c>
      <c r="M40" s="9">
        <f>IF(C40=0,0,L40/C40*100)</f>
        <v/>
      </c>
    </row>
    <row r="41">
      <c r="A41" s="7" t="n">
        <v>3</v>
      </c>
      <c r="B41" s="8">
        <f>B7</f>
        <v/>
      </c>
      <c r="C41" s="8">
        <f>C7</f>
        <v/>
      </c>
      <c r="D41" s="14" t="n"/>
      <c r="E41" s="14" t="n"/>
      <c r="F41" s="8">
        <f>D41+E41</f>
        <v/>
      </c>
      <c r="G41" s="14" t="n"/>
      <c r="H41" s="14" t="n"/>
      <c r="I41" s="8">
        <f>G41+H41</f>
        <v/>
      </c>
      <c r="J41" s="8">
        <f>D41+G41</f>
        <v/>
      </c>
      <c r="K41" s="8">
        <f>E41+H41</f>
        <v/>
      </c>
      <c r="L41" s="8">
        <f>J41+K41</f>
        <v/>
      </c>
      <c r="M41" s="9">
        <f>IF(C41=0,0,L41/C41*100)</f>
        <v/>
      </c>
    </row>
    <row r="42">
      <c r="A42" s="7" t="n">
        <v>4</v>
      </c>
      <c r="B42" s="8">
        <f>B8</f>
        <v/>
      </c>
      <c r="C42" s="8">
        <f>C8</f>
        <v/>
      </c>
      <c r="D42" s="14" t="n"/>
      <c r="E42" s="14" t="n"/>
      <c r="F42" s="8">
        <f>D42+E42</f>
        <v/>
      </c>
      <c r="G42" s="14" t="n"/>
      <c r="H42" s="14" t="n"/>
      <c r="I42" s="8">
        <f>G42+H42</f>
        <v/>
      </c>
      <c r="J42" s="8">
        <f>D42+G42</f>
        <v/>
      </c>
      <c r="K42" s="8">
        <f>E42+H42</f>
        <v/>
      </c>
      <c r="L42" s="8">
        <f>J42+K42</f>
        <v/>
      </c>
      <c r="M42" s="9">
        <f>IF(C42=0,0,L42/C42*100)</f>
        <v/>
      </c>
    </row>
    <row r="43">
      <c r="A43" s="7" t="n">
        <v>5</v>
      </c>
      <c r="B43" s="8">
        <f>B9</f>
        <v/>
      </c>
      <c r="C43" s="8">
        <f>C9</f>
        <v/>
      </c>
      <c r="D43" s="14" t="n"/>
      <c r="E43" s="14" t="n"/>
      <c r="F43" s="8">
        <f>D43+E43</f>
        <v/>
      </c>
      <c r="G43" s="14" t="n"/>
      <c r="H43" s="14" t="n"/>
      <c r="I43" s="8">
        <f>G43+H43</f>
        <v/>
      </c>
      <c r="J43" s="8">
        <f>D43+G43</f>
        <v/>
      </c>
      <c r="K43" s="8">
        <f>E43+H43</f>
        <v/>
      </c>
      <c r="L43" s="8">
        <f>J43+K43</f>
        <v/>
      </c>
      <c r="M43" s="9">
        <f>IF(C43=0,0,L43/C43*100)</f>
        <v/>
      </c>
    </row>
    <row r="44">
      <c r="A44" s="7" t="n">
        <v>6</v>
      </c>
      <c r="B44" s="8">
        <f>B10</f>
        <v/>
      </c>
      <c r="C44" s="8">
        <f>C10</f>
        <v/>
      </c>
      <c r="D44" s="14" t="n"/>
      <c r="E44" s="14" t="n"/>
      <c r="F44" s="8">
        <f>D44+E44</f>
        <v/>
      </c>
      <c r="G44" s="14" t="n"/>
      <c r="H44" s="14" t="n"/>
      <c r="I44" s="8">
        <f>G44+H44</f>
        <v/>
      </c>
      <c r="J44" s="8">
        <f>D44+G44</f>
        <v/>
      </c>
      <c r="K44" s="8">
        <f>E44+H44</f>
        <v/>
      </c>
      <c r="L44" s="8">
        <f>J44+K44</f>
        <v/>
      </c>
      <c r="M44" s="9">
        <f>IF(C44=0,0,L44/C44*100)</f>
        <v/>
      </c>
    </row>
    <row r="45">
      <c r="A45" s="7" t="n">
        <v>7</v>
      </c>
      <c r="B45" s="8">
        <f>B11</f>
        <v/>
      </c>
      <c r="C45" s="8">
        <f>C11</f>
        <v/>
      </c>
      <c r="D45" s="14" t="n"/>
      <c r="E45" s="14" t="n"/>
      <c r="F45" s="8">
        <f>D45+E45</f>
        <v/>
      </c>
      <c r="G45" s="14" t="n"/>
      <c r="H45" s="14" t="n"/>
      <c r="I45" s="8">
        <f>G45+H45</f>
        <v/>
      </c>
      <c r="J45" s="8">
        <f>D45+G45</f>
        <v/>
      </c>
      <c r="K45" s="8">
        <f>E45+H45</f>
        <v/>
      </c>
      <c r="L45" s="8">
        <f>J45+K45</f>
        <v/>
      </c>
      <c r="M45" s="9">
        <f>IF(C45=0,0,L45/C45*100)</f>
        <v/>
      </c>
    </row>
    <row r="46">
      <c r="A46" s="7" t="n">
        <v>8</v>
      </c>
      <c r="B46" s="8">
        <f>B12</f>
        <v/>
      </c>
      <c r="C46" s="8">
        <f>C12</f>
        <v/>
      </c>
      <c r="D46" s="14" t="n"/>
      <c r="E46" s="14" t="n"/>
      <c r="F46" s="8">
        <f>D46+E46</f>
        <v/>
      </c>
      <c r="G46" s="14" t="n"/>
      <c r="H46" s="14" t="n"/>
      <c r="I46" s="8">
        <f>G46+H46</f>
        <v/>
      </c>
      <c r="J46" s="8">
        <f>D46+G46</f>
        <v/>
      </c>
      <c r="K46" s="8">
        <f>E46+H46</f>
        <v/>
      </c>
      <c r="L46" s="8">
        <f>J46+K46</f>
        <v/>
      </c>
      <c r="M46" s="9">
        <f>IF(C46=0,0,L46/C46*100)</f>
        <v/>
      </c>
    </row>
    <row r="47">
      <c r="A47" s="7" t="n">
        <v>9</v>
      </c>
      <c r="B47" s="8">
        <f>B13</f>
        <v/>
      </c>
      <c r="C47" s="8">
        <f>C13</f>
        <v/>
      </c>
      <c r="D47" s="14" t="n"/>
      <c r="E47" s="14" t="n"/>
      <c r="F47" s="8">
        <f>D47+E47</f>
        <v/>
      </c>
      <c r="G47" s="14" t="n"/>
      <c r="H47" s="14" t="n"/>
      <c r="I47" s="8">
        <f>G47+H47</f>
        <v/>
      </c>
      <c r="J47" s="8">
        <f>D47+G47</f>
        <v/>
      </c>
      <c r="K47" s="8">
        <f>E47+H47</f>
        <v/>
      </c>
      <c r="L47" s="8">
        <f>J47+K47</f>
        <v/>
      </c>
      <c r="M47" s="9">
        <f>IF(C47=0,0,L47/C47*100)</f>
        <v/>
      </c>
    </row>
    <row r="48">
      <c r="A48" s="7" t="n">
        <v>10</v>
      </c>
      <c r="B48" s="8">
        <f>B14</f>
        <v/>
      </c>
      <c r="C48" s="8">
        <f>C14</f>
        <v/>
      </c>
      <c r="D48" s="14" t="n"/>
      <c r="E48" s="14" t="n"/>
      <c r="F48" s="8">
        <f>D48+E48</f>
        <v/>
      </c>
      <c r="G48" s="14" t="n"/>
      <c r="H48" s="14" t="n"/>
      <c r="I48" s="8">
        <f>G48+H48</f>
        <v/>
      </c>
      <c r="J48" s="8">
        <f>D48+G48</f>
        <v/>
      </c>
      <c r="K48" s="8">
        <f>E48+H48</f>
        <v/>
      </c>
      <c r="L48" s="8">
        <f>J48+K48</f>
        <v/>
      </c>
      <c r="M48" s="9">
        <f>IF(C48=0,0,L48/C48*100)</f>
        <v/>
      </c>
    </row>
    <row r="49">
      <c r="A49" s="7" t="n">
        <v>11</v>
      </c>
      <c r="B49" s="8">
        <f>B15</f>
        <v/>
      </c>
      <c r="C49" s="8">
        <f>C15</f>
        <v/>
      </c>
      <c r="D49" s="14" t="n"/>
      <c r="E49" s="14" t="n"/>
      <c r="F49" s="8">
        <f>D49+E49</f>
        <v/>
      </c>
      <c r="G49" s="14" t="n"/>
      <c r="H49" s="14" t="n"/>
      <c r="I49" s="8">
        <f>G49+H49</f>
        <v/>
      </c>
      <c r="J49" s="8">
        <f>D49+G49</f>
        <v/>
      </c>
      <c r="K49" s="8">
        <f>E49+H49</f>
        <v/>
      </c>
      <c r="L49" s="8">
        <f>J49+K49</f>
        <v/>
      </c>
      <c r="M49" s="9">
        <f>IF(C49=0,0,L49/C49*100)</f>
        <v/>
      </c>
    </row>
    <row r="50">
      <c r="A50" s="10" t="inlineStr">
        <is>
          <t>Total</t>
        </is>
      </c>
      <c r="B50" s="11">
        <f>SUM(B39:B49)</f>
        <v/>
      </c>
      <c r="C50" s="11">
        <f>SUM(C39:C49)</f>
        <v/>
      </c>
      <c r="D50" s="11">
        <f>SUM(D39:D49)</f>
        <v/>
      </c>
      <c r="E50" s="11">
        <f>SUM(E39:E49)</f>
        <v/>
      </c>
      <c r="F50" s="11">
        <f>D50+E50</f>
        <v/>
      </c>
      <c r="G50" s="11">
        <f>SUM(G39:G49)</f>
        <v/>
      </c>
      <c r="H50" s="11">
        <f>SUM(H39:H49)</f>
        <v/>
      </c>
      <c r="I50" s="11">
        <f>G50+H50</f>
        <v/>
      </c>
      <c r="J50" s="11">
        <f>D50+G50</f>
        <v/>
      </c>
      <c r="K50" s="11">
        <f>E50+H50</f>
        <v/>
      </c>
      <c r="L50" s="11">
        <f>J50+K50</f>
        <v/>
      </c>
      <c r="M50" s="12">
        <f>IF(C50=0,0,L50/C50*100)</f>
        <v/>
      </c>
    </row>
    <row r="52">
      <c r="A52" s="13" t="inlineStr">
        <is>
          <t>Day 3 - 2026-10-07 (Wed 21 Aswin 2083)</t>
        </is>
      </c>
    </row>
    <row r="53">
      <c r="A53" s="6" t="inlineStr">
        <is>
          <t>Ward no.</t>
        </is>
      </c>
      <c r="B53" s="6" t="inlineStr">
        <is>
          <t>Total population</t>
        </is>
      </c>
      <c r="C53" s="6" t="inlineStr">
        <is>
          <t>JE target population</t>
        </is>
      </c>
      <c r="D53" s="6" t="inlineStr">
        <is>
          <t>Vaccinated</t>
        </is>
      </c>
      <c r="E53" s="6" t="n"/>
      <c r="F53" s="6" t="n"/>
      <c r="G53" s="6" t="n"/>
      <c r="H53" s="6" t="n"/>
      <c r="I53" s="6" t="n"/>
      <c r="J53" s="6" t="n"/>
      <c r="K53" s="6" t="n"/>
      <c r="L53" s="6" t="n"/>
      <c r="M53" s="6" t="inlineStr">
        <is>
          <t>Progress %</t>
        </is>
      </c>
    </row>
    <row r="54">
      <c r="A54" s="6" t="n"/>
      <c r="B54" s="6" t="n"/>
      <c r="C54" s="6" t="n"/>
      <c r="D54" s="6" t="inlineStr">
        <is>
          <t>Age 30-60 yrs</t>
        </is>
      </c>
      <c r="E54" s="6" t="n"/>
      <c r="F54" s="6" t="n"/>
      <c r="G54" s="6" t="inlineStr">
        <is>
          <t>Age 60 above</t>
        </is>
      </c>
      <c r="H54" s="6" t="n"/>
      <c r="I54" s="6" t="n"/>
      <c r="J54" s="6" t="inlineStr">
        <is>
          <t>Total</t>
        </is>
      </c>
      <c r="K54" s="6" t="n"/>
      <c r="L54" s="6" t="inlineStr">
        <is>
          <t>Grand Total</t>
        </is>
      </c>
      <c r="M54" s="6" t="n"/>
    </row>
    <row r="55">
      <c r="A55" s="6" t="n"/>
      <c r="B55" s="6" t="n"/>
      <c r="C55" s="6" t="n"/>
      <c r="D55" s="6" t="inlineStr">
        <is>
          <t>F</t>
        </is>
      </c>
      <c r="E55" s="6" t="inlineStr">
        <is>
          <t>M</t>
        </is>
      </c>
      <c r="F55" s="6" t="inlineStr">
        <is>
          <t>Total</t>
        </is>
      </c>
      <c r="G55" s="6" t="inlineStr">
        <is>
          <t>F</t>
        </is>
      </c>
      <c r="H55" s="6" t="inlineStr">
        <is>
          <t>M</t>
        </is>
      </c>
      <c r="I55" s="6" t="inlineStr">
        <is>
          <t>Total</t>
        </is>
      </c>
      <c r="J55" s="6" t="inlineStr">
        <is>
          <t>F</t>
        </is>
      </c>
      <c r="K55" s="6" t="inlineStr">
        <is>
          <t>M</t>
        </is>
      </c>
      <c r="L55" s="6" t="n"/>
      <c r="M55" s="6" t="n"/>
    </row>
    <row r="56">
      <c r="A56" s="7" t="n">
        <v>1</v>
      </c>
      <c r="B56" s="8">
        <f>B5</f>
        <v/>
      </c>
      <c r="C56" s="8">
        <f>C5</f>
        <v/>
      </c>
      <c r="D56" s="14" t="n"/>
      <c r="E56" s="14" t="n"/>
      <c r="F56" s="8">
        <f>D56+E56</f>
        <v/>
      </c>
      <c r="G56" s="14" t="n"/>
      <c r="H56" s="14" t="n"/>
      <c r="I56" s="8">
        <f>G56+H56</f>
        <v/>
      </c>
      <c r="J56" s="8">
        <f>D56+G56</f>
        <v/>
      </c>
      <c r="K56" s="8">
        <f>E56+H56</f>
        <v/>
      </c>
      <c r="L56" s="8">
        <f>J56+K56</f>
        <v/>
      </c>
      <c r="M56" s="9">
        <f>IF(C56=0,0,L56/C56*100)</f>
        <v/>
      </c>
    </row>
    <row r="57">
      <c r="A57" s="7" t="n">
        <v>2</v>
      </c>
      <c r="B57" s="8">
        <f>B6</f>
        <v/>
      </c>
      <c r="C57" s="8">
        <f>C6</f>
        <v/>
      </c>
      <c r="D57" s="14" t="n"/>
      <c r="E57" s="14" t="n"/>
      <c r="F57" s="8">
        <f>D57+E57</f>
        <v/>
      </c>
      <c r="G57" s="14" t="n"/>
      <c r="H57" s="14" t="n"/>
      <c r="I57" s="8">
        <f>G57+H57</f>
        <v/>
      </c>
      <c r="J57" s="8">
        <f>D57+G57</f>
        <v/>
      </c>
      <c r="K57" s="8">
        <f>E57+H57</f>
        <v/>
      </c>
      <c r="L57" s="8">
        <f>J57+K57</f>
        <v/>
      </c>
      <c r="M57" s="9">
        <f>IF(C57=0,0,L57/C57*100)</f>
        <v/>
      </c>
    </row>
    <row r="58">
      <c r="A58" s="7" t="n">
        <v>3</v>
      </c>
      <c r="B58" s="8">
        <f>B7</f>
        <v/>
      </c>
      <c r="C58" s="8">
        <f>C7</f>
        <v/>
      </c>
      <c r="D58" s="14" t="n"/>
      <c r="E58" s="14" t="n"/>
      <c r="F58" s="8">
        <f>D58+E58</f>
        <v/>
      </c>
      <c r="G58" s="14" t="n"/>
      <c r="H58" s="14" t="n"/>
      <c r="I58" s="8">
        <f>G58+H58</f>
        <v/>
      </c>
      <c r="J58" s="8">
        <f>D58+G58</f>
        <v/>
      </c>
      <c r="K58" s="8">
        <f>E58+H58</f>
        <v/>
      </c>
      <c r="L58" s="8">
        <f>J58+K58</f>
        <v/>
      </c>
      <c r="M58" s="9">
        <f>IF(C58=0,0,L58/C58*100)</f>
        <v/>
      </c>
    </row>
    <row r="59">
      <c r="A59" s="7" t="n">
        <v>4</v>
      </c>
      <c r="B59" s="8">
        <f>B8</f>
        <v/>
      </c>
      <c r="C59" s="8">
        <f>C8</f>
        <v/>
      </c>
      <c r="D59" s="14" t="n"/>
      <c r="E59" s="14" t="n"/>
      <c r="F59" s="8">
        <f>D59+E59</f>
        <v/>
      </c>
      <c r="G59" s="14" t="n"/>
      <c r="H59" s="14" t="n"/>
      <c r="I59" s="8">
        <f>G59+H59</f>
        <v/>
      </c>
      <c r="J59" s="8">
        <f>D59+G59</f>
        <v/>
      </c>
      <c r="K59" s="8">
        <f>E59+H59</f>
        <v/>
      </c>
      <c r="L59" s="8">
        <f>J59+K59</f>
        <v/>
      </c>
      <c r="M59" s="9">
        <f>IF(C59=0,0,L59/C59*100)</f>
        <v/>
      </c>
    </row>
    <row r="60">
      <c r="A60" s="7" t="n">
        <v>5</v>
      </c>
      <c r="B60" s="8">
        <f>B9</f>
        <v/>
      </c>
      <c r="C60" s="8">
        <f>C9</f>
        <v/>
      </c>
      <c r="D60" s="14" t="n"/>
      <c r="E60" s="14" t="n"/>
      <c r="F60" s="8">
        <f>D60+E60</f>
        <v/>
      </c>
      <c r="G60" s="14" t="n"/>
      <c r="H60" s="14" t="n"/>
      <c r="I60" s="8">
        <f>G60+H60</f>
        <v/>
      </c>
      <c r="J60" s="8">
        <f>D60+G60</f>
        <v/>
      </c>
      <c r="K60" s="8">
        <f>E60+H60</f>
        <v/>
      </c>
      <c r="L60" s="8">
        <f>J60+K60</f>
        <v/>
      </c>
      <c r="M60" s="9">
        <f>IF(C60=0,0,L60/C60*100)</f>
        <v/>
      </c>
    </row>
    <row r="61">
      <c r="A61" s="7" t="n">
        <v>6</v>
      </c>
      <c r="B61" s="8">
        <f>B10</f>
        <v/>
      </c>
      <c r="C61" s="8">
        <f>C10</f>
        <v/>
      </c>
      <c r="D61" s="14" t="n"/>
      <c r="E61" s="14" t="n"/>
      <c r="F61" s="8">
        <f>D61+E61</f>
        <v/>
      </c>
      <c r="G61" s="14" t="n"/>
      <c r="H61" s="14" t="n"/>
      <c r="I61" s="8">
        <f>G61+H61</f>
        <v/>
      </c>
      <c r="J61" s="8">
        <f>D61+G61</f>
        <v/>
      </c>
      <c r="K61" s="8">
        <f>E61+H61</f>
        <v/>
      </c>
      <c r="L61" s="8">
        <f>J61+K61</f>
        <v/>
      </c>
      <c r="M61" s="9">
        <f>IF(C61=0,0,L61/C61*100)</f>
        <v/>
      </c>
    </row>
    <row r="62">
      <c r="A62" s="7" t="n">
        <v>7</v>
      </c>
      <c r="B62" s="8">
        <f>B11</f>
        <v/>
      </c>
      <c r="C62" s="8">
        <f>C11</f>
        <v/>
      </c>
      <c r="D62" s="14" t="n"/>
      <c r="E62" s="14" t="n"/>
      <c r="F62" s="8">
        <f>D62+E62</f>
        <v/>
      </c>
      <c r="G62" s="14" t="n"/>
      <c r="H62" s="14" t="n"/>
      <c r="I62" s="8">
        <f>G62+H62</f>
        <v/>
      </c>
      <c r="J62" s="8">
        <f>D62+G62</f>
        <v/>
      </c>
      <c r="K62" s="8">
        <f>E62+H62</f>
        <v/>
      </c>
      <c r="L62" s="8">
        <f>J62+K62</f>
        <v/>
      </c>
      <c r="M62" s="9">
        <f>IF(C62=0,0,L62/C62*100)</f>
        <v/>
      </c>
    </row>
    <row r="63">
      <c r="A63" s="7" t="n">
        <v>8</v>
      </c>
      <c r="B63" s="8">
        <f>B12</f>
        <v/>
      </c>
      <c r="C63" s="8">
        <f>C12</f>
        <v/>
      </c>
      <c r="D63" s="14" t="n"/>
      <c r="E63" s="14" t="n"/>
      <c r="F63" s="8">
        <f>D63+E63</f>
        <v/>
      </c>
      <c r="G63" s="14" t="n"/>
      <c r="H63" s="14" t="n"/>
      <c r="I63" s="8">
        <f>G63+H63</f>
        <v/>
      </c>
      <c r="J63" s="8">
        <f>D63+G63</f>
        <v/>
      </c>
      <c r="K63" s="8">
        <f>E63+H63</f>
        <v/>
      </c>
      <c r="L63" s="8">
        <f>J63+K63</f>
        <v/>
      </c>
      <c r="M63" s="9">
        <f>IF(C63=0,0,L63/C63*100)</f>
        <v/>
      </c>
    </row>
    <row r="64">
      <c r="A64" s="7" t="n">
        <v>9</v>
      </c>
      <c r="B64" s="8">
        <f>B13</f>
        <v/>
      </c>
      <c r="C64" s="8">
        <f>C13</f>
        <v/>
      </c>
      <c r="D64" s="14" t="n"/>
      <c r="E64" s="14" t="n"/>
      <c r="F64" s="8">
        <f>D64+E64</f>
        <v/>
      </c>
      <c r="G64" s="14" t="n"/>
      <c r="H64" s="14" t="n"/>
      <c r="I64" s="8">
        <f>G64+H64</f>
        <v/>
      </c>
      <c r="J64" s="8">
        <f>D64+G64</f>
        <v/>
      </c>
      <c r="K64" s="8">
        <f>E64+H64</f>
        <v/>
      </c>
      <c r="L64" s="8">
        <f>J64+K64</f>
        <v/>
      </c>
      <c r="M64" s="9">
        <f>IF(C64=0,0,L64/C64*100)</f>
        <v/>
      </c>
    </row>
    <row r="65">
      <c r="A65" s="7" t="n">
        <v>10</v>
      </c>
      <c r="B65" s="8">
        <f>B14</f>
        <v/>
      </c>
      <c r="C65" s="8">
        <f>C14</f>
        <v/>
      </c>
      <c r="D65" s="14" t="n"/>
      <c r="E65" s="14" t="n"/>
      <c r="F65" s="8">
        <f>D65+E65</f>
        <v/>
      </c>
      <c r="G65" s="14" t="n"/>
      <c r="H65" s="14" t="n"/>
      <c r="I65" s="8">
        <f>G65+H65</f>
        <v/>
      </c>
      <c r="J65" s="8">
        <f>D65+G65</f>
        <v/>
      </c>
      <c r="K65" s="8">
        <f>E65+H65</f>
        <v/>
      </c>
      <c r="L65" s="8">
        <f>J65+K65</f>
        <v/>
      </c>
      <c r="M65" s="9">
        <f>IF(C65=0,0,L65/C65*100)</f>
        <v/>
      </c>
    </row>
    <row r="66">
      <c r="A66" s="7" t="n">
        <v>11</v>
      </c>
      <c r="B66" s="8">
        <f>B15</f>
        <v/>
      </c>
      <c r="C66" s="8">
        <f>C15</f>
        <v/>
      </c>
      <c r="D66" s="14" t="n"/>
      <c r="E66" s="14" t="n"/>
      <c r="F66" s="8">
        <f>D66+E66</f>
        <v/>
      </c>
      <c r="G66" s="14" t="n"/>
      <c r="H66" s="14" t="n"/>
      <c r="I66" s="8">
        <f>G66+H66</f>
        <v/>
      </c>
      <c r="J66" s="8">
        <f>D66+G66</f>
        <v/>
      </c>
      <c r="K66" s="8">
        <f>E66+H66</f>
        <v/>
      </c>
      <c r="L66" s="8">
        <f>J66+K66</f>
        <v/>
      </c>
      <c r="M66" s="9">
        <f>IF(C66=0,0,L66/C66*100)</f>
        <v/>
      </c>
    </row>
    <row r="67">
      <c r="A67" s="10" t="inlineStr">
        <is>
          <t>Total</t>
        </is>
      </c>
      <c r="B67" s="11">
        <f>SUM(B56:B66)</f>
        <v/>
      </c>
      <c r="C67" s="11">
        <f>SUM(C56:C66)</f>
        <v/>
      </c>
      <c r="D67" s="11">
        <f>SUM(D56:D66)</f>
        <v/>
      </c>
      <c r="E67" s="11">
        <f>SUM(E56:E66)</f>
        <v/>
      </c>
      <c r="F67" s="11">
        <f>D67+E67</f>
        <v/>
      </c>
      <c r="G67" s="11">
        <f>SUM(G56:G66)</f>
        <v/>
      </c>
      <c r="H67" s="11">
        <f>SUM(H56:H66)</f>
        <v/>
      </c>
      <c r="I67" s="11">
        <f>G67+H67</f>
        <v/>
      </c>
      <c r="J67" s="11">
        <f>D67+G67</f>
        <v/>
      </c>
      <c r="K67" s="11">
        <f>E67+H67</f>
        <v/>
      </c>
      <c r="L67" s="11">
        <f>J67+K67</f>
        <v/>
      </c>
      <c r="M67" s="12">
        <f>IF(C67=0,0,L67/C67*100)</f>
        <v/>
      </c>
    </row>
    <row r="69">
      <c r="A69" s="13" t="inlineStr">
        <is>
          <t>Day 4 - 2026-10-08 (Thu 22 Aswin 2083)</t>
        </is>
      </c>
    </row>
    <row r="70">
      <c r="A70" s="6" t="inlineStr">
        <is>
          <t>Ward no.</t>
        </is>
      </c>
      <c r="B70" s="6" t="inlineStr">
        <is>
          <t>Total population</t>
        </is>
      </c>
      <c r="C70" s="6" t="inlineStr">
        <is>
          <t>JE target population</t>
        </is>
      </c>
      <c r="D70" s="6" t="inlineStr">
        <is>
          <t>Vaccinated</t>
        </is>
      </c>
      <c r="E70" s="6" t="n"/>
      <c r="F70" s="6" t="n"/>
      <c r="G70" s="6" t="n"/>
      <c r="H70" s="6" t="n"/>
      <c r="I70" s="6" t="n"/>
      <c r="J70" s="6" t="n"/>
      <c r="K70" s="6" t="n"/>
      <c r="L70" s="6" t="n"/>
      <c r="M70" s="6" t="inlineStr">
        <is>
          <t>Progress %</t>
        </is>
      </c>
    </row>
    <row r="71">
      <c r="A71" s="6" t="n"/>
      <c r="B71" s="6" t="n"/>
      <c r="C71" s="6" t="n"/>
      <c r="D71" s="6" t="inlineStr">
        <is>
          <t>Age 30-60 yrs</t>
        </is>
      </c>
      <c r="E71" s="6" t="n"/>
      <c r="F71" s="6" t="n"/>
      <c r="G71" s="6" t="inlineStr">
        <is>
          <t>Age 60 above</t>
        </is>
      </c>
      <c r="H71" s="6" t="n"/>
      <c r="I71" s="6" t="n"/>
      <c r="J71" s="6" t="inlineStr">
        <is>
          <t>Total</t>
        </is>
      </c>
      <c r="K71" s="6" t="n"/>
      <c r="L71" s="6" t="inlineStr">
        <is>
          <t>Grand Total</t>
        </is>
      </c>
      <c r="M71" s="6" t="n"/>
    </row>
    <row r="72">
      <c r="A72" s="6" t="n"/>
      <c r="B72" s="6" t="n"/>
      <c r="C72" s="6" t="n"/>
      <c r="D72" s="6" t="inlineStr">
        <is>
          <t>F</t>
        </is>
      </c>
      <c r="E72" s="6" t="inlineStr">
        <is>
          <t>M</t>
        </is>
      </c>
      <c r="F72" s="6" t="inlineStr">
        <is>
          <t>Total</t>
        </is>
      </c>
      <c r="G72" s="6" t="inlineStr">
        <is>
          <t>F</t>
        </is>
      </c>
      <c r="H72" s="6" t="inlineStr">
        <is>
          <t>M</t>
        </is>
      </c>
      <c r="I72" s="6" t="inlineStr">
        <is>
          <t>Total</t>
        </is>
      </c>
      <c r="J72" s="6" t="inlineStr">
        <is>
          <t>F</t>
        </is>
      </c>
      <c r="K72" s="6" t="inlineStr">
        <is>
          <t>M</t>
        </is>
      </c>
      <c r="L72" s="6" t="n"/>
      <c r="M72" s="6" t="n"/>
    </row>
    <row r="73">
      <c r="A73" s="7" t="n">
        <v>1</v>
      </c>
      <c r="B73" s="8">
        <f>B5</f>
        <v/>
      </c>
      <c r="C73" s="8">
        <f>C5</f>
        <v/>
      </c>
      <c r="D73" s="14" t="n"/>
      <c r="E73" s="14" t="n"/>
      <c r="F73" s="8">
        <f>D73+E73</f>
        <v/>
      </c>
      <c r="G73" s="14" t="n"/>
      <c r="H73" s="14" t="n"/>
      <c r="I73" s="8">
        <f>G73+H73</f>
        <v/>
      </c>
      <c r="J73" s="8">
        <f>D73+G73</f>
        <v/>
      </c>
      <c r="K73" s="8">
        <f>E73+H73</f>
        <v/>
      </c>
      <c r="L73" s="8">
        <f>J73+K73</f>
        <v/>
      </c>
      <c r="M73" s="9">
        <f>IF(C73=0,0,L73/C73*100)</f>
        <v/>
      </c>
    </row>
    <row r="74">
      <c r="A74" s="7" t="n">
        <v>2</v>
      </c>
      <c r="B74" s="8">
        <f>B6</f>
        <v/>
      </c>
      <c r="C74" s="8">
        <f>C6</f>
        <v/>
      </c>
      <c r="D74" s="14" t="n"/>
      <c r="E74" s="14" t="n"/>
      <c r="F74" s="8">
        <f>D74+E74</f>
        <v/>
      </c>
      <c r="G74" s="14" t="n"/>
      <c r="H74" s="14" t="n"/>
      <c r="I74" s="8">
        <f>G74+H74</f>
        <v/>
      </c>
      <c r="J74" s="8">
        <f>D74+G74</f>
        <v/>
      </c>
      <c r="K74" s="8">
        <f>E74+H74</f>
        <v/>
      </c>
      <c r="L74" s="8">
        <f>J74+K74</f>
        <v/>
      </c>
      <c r="M74" s="9">
        <f>IF(C74=0,0,L74/C74*100)</f>
        <v/>
      </c>
    </row>
    <row r="75">
      <c r="A75" s="7" t="n">
        <v>3</v>
      </c>
      <c r="B75" s="8">
        <f>B7</f>
        <v/>
      </c>
      <c r="C75" s="8">
        <f>C7</f>
        <v/>
      </c>
      <c r="D75" s="14" t="n"/>
      <c r="E75" s="14" t="n"/>
      <c r="F75" s="8">
        <f>D75+E75</f>
        <v/>
      </c>
      <c r="G75" s="14" t="n"/>
      <c r="H75" s="14" t="n"/>
      <c r="I75" s="8">
        <f>G75+H75</f>
        <v/>
      </c>
      <c r="J75" s="8">
        <f>D75+G75</f>
        <v/>
      </c>
      <c r="K75" s="8">
        <f>E75+H75</f>
        <v/>
      </c>
      <c r="L75" s="8">
        <f>J75+K75</f>
        <v/>
      </c>
      <c r="M75" s="9">
        <f>IF(C75=0,0,L75/C75*100)</f>
        <v/>
      </c>
    </row>
    <row r="76">
      <c r="A76" s="7" t="n">
        <v>4</v>
      </c>
      <c r="B76" s="8">
        <f>B8</f>
        <v/>
      </c>
      <c r="C76" s="8">
        <f>C8</f>
        <v/>
      </c>
      <c r="D76" s="14" t="n"/>
      <c r="E76" s="14" t="n"/>
      <c r="F76" s="8">
        <f>D76+E76</f>
        <v/>
      </c>
      <c r="G76" s="14" t="n"/>
      <c r="H76" s="14" t="n"/>
      <c r="I76" s="8">
        <f>G76+H76</f>
        <v/>
      </c>
      <c r="J76" s="8">
        <f>D76+G76</f>
        <v/>
      </c>
      <c r="K76" s="8">
        <f>E76+H76</f>
        <v/>
      </c>
      <c r="L76" s="8">
        <f>J76+K76</f>
        <v/>
      </c>
      <c r="M76" s="9">
        <f>IF(C76=0,0,L76/C76*100)</f>
        <v/>
      </c>
    </row>
    <row r="77">
      <c r="A77" s="7" t="n">
        <v>5</v>
      </c>
      <c r="B77" s="8">
        <f>B9</f>
        <v/>
      </c>
      <c r="C77" s="8">
        <f>C9</f>
        <v/>
      </c>
      <c r="D77" s="14" t="n"/>
      <c r="E77" s="14" t="n"/>
      <c r="F77" s="8">
        <f>D77+E77</f>
        <v/>
      </c>
      <c r="G77" s="14" t="n"/>
      <c r="H77" s="14" t="n"/>
      <c r="I77" s="8">
        <f>G77+H77</f>
        <v/>
      </c>
      <c r="J77" s="8">
        <f>D77+G77</f>
        <v/>
      </c>
      <c r="K77" s="8">
        <f>E77+H77</f>
        <v/>
      </c>
      <c r="L77" s="8">
        <f>J77+K77</f>
        <v/>
      </c>
      <c r="M77" s="9">
        <f>IF(C77=0,0,L77/C77*100)</f>
        <v/>
      </c>
    </row>
    <row r="78">
      <c r="A78" s="7" t="n">
        <v>6</v>
      </c>
      <c r="B78" s="8">
        <f>B10</f>
        <v/>
      </c>
      <c r="C78" s="8">
        <f>C10</f>
        <v/>
      </c>
      <c r="D78" s="14" t="n"/>
      <c r="E78" s="14" t="n"/>
      <c r="F78" s="8">
        <f>D78+E78</f>
        <v/>
      </c>
      <c r="G78" s="14" t="n"/>
      <c r="H78" s="14" t="n"/>
      <c r="I78" s="8">
        <f>G78+H78</f>
        <v/>
      </c>
      <c r="J78" s="8">
        <f>D78+G78</f>
        <v/>
      </c>
      <c r="K78" s="8">
        <f>E78+H78</f>
        <v/>
      </c>
      <c r="L78" s="8">
        <f>J78+K78</f>
        <v/>
      </c>
      <c r="M78" s="9">
        <f>IF(C78=0,0,L78/C78*100)</f>
        <v/>
      </c>
    </row>
    <row r="79">
      <c r="A79" s="7" t="n">
        <v>7</v>
      </c>
      <c r="B79" s="8">
        <f>B11</f>
        <v/>
      </c>
      <c r="C79" s="8">
        <f>C11</f>
        <v/>
      </c>
      <c r="D79" s="14" t="n"/>
      <c r="E79" s="14" t="n"/>
      <c r="F79" s="8">
        <f>D79+E79</f>
        <v/>
      </c>
      <c r="G79" s="14" t="n"/>
      <c r="H79" s="14" t="n"/>
      <c r="I79" s="8">
        <f>G79+H79</f>
        <v/>
      </c>
      <c r="J79" s="8">
        <f>D79+G79</f>
        <v/>
      </c>
      <c r="K79" s="8">
        <f>E79+H79</f>
        <v/>
      </c>
      <c r="L79" s="8">
        <f>J79+K79</f>
        <v/>
      </c>
      <c r="M79" s="9">
        <f>IF(C79=0,0,L79/C79*100)</f>
        <v/>
      </c>
    </row>
    <row r="80">
      <c r="A80" s="7" t="n">
        <v>8</v>
      </c>
      <c r="B80" s="8">
        <f>B12</f>
        <v/>
      </c>
      <c r="C80" s="8">
        <f>C12</f>
        <v/>
      </c>
      <c r="D80" s="14" t="n"/>
      <c r="E80" s="14" t="n"/>
      <c r="F80" s="8">
        <f>D80+E80</f>
        <v/>
      </c>
      <c r="G80" s="14" t="n"/>
      <c r="H80" s="14" t="n"/>
      <c r="I80" s="8">
        <f>G80+H80</f>
        <v/>
      </c>
      <c r="J80" s="8">
        <f>D80+G80</f>
        <v/>
      </c>
      <c r="K80" s="8">
        <f>E80+H80</f>
        <v/>
      </c>
      <c r="L80" s="8">
        <f>J80+K80</f>
        <v/>
      </c>
      <c r="M80" s="9">
        <f>IF(C80=0,0,L80/C80*100)</f>
        <v/>
      </c>
    </row>
    <row r="81">
      <c r="A81" s="7" t="n">
        <v>9</v>
      </c>
      <c r="B81" s="8">
        <f>B13</f>
        <v/>
      </c>
      <c r="C81" s="8">
        <f>C13</f>
        <v/>
      </c>
      <c r="D81" s="14" t="n"/>
      <c r="E81" s="14" t="n"/>
      <c r="F81" s="8">
        <f>D81+E81</f>
        <v/>
      </c>
      <c r="G81" s="14" t="n"/>
      <c r="H81" s="14" t="n"/>
      <c r="I81" s="8">
        <f>G81+H81</f>
        <v/>
      </c>
      <c r="J81" s="8">
        <f>D81+G81</f>
        <v/>
      </c>
      <c r="K81" s="8">
        <f>E81+H81</f>
        <v/>
      </c>
      <c r="L81" s="8">
        <f>J81+K81</f>
        <v/>
      </c>
      <c r="M81" s="9">
        <f>IF(C81=0,0,L81/C81*100)</f>
        <v/>
      </c>
    </row>
    <row r="82">
      <c r="A82" s="7" t="n">
        <v>10</v>
      </c>
      <c r="B82" s="8">
        <f>B14</f>
        <v/>
      </c>
      <c r="C82" s="8">
        <f>C14</f>
        <v/>
      </c>
      <c r="D82" s="14" t="n"/>
      <c r="E82" s="14" t="n"/>
      <c r="F82" s="8">
        <f>D82+E82</f>
        <v/>
      </c>
      <c r="G82" s="14" t="n"/>
      <c r="H82" s="14" t="n"/>
      <c r="I82" s="8">
        <f>G82+H82</f>
        <v/>
      </c>
      <c r="J82" s="8">
        <f>D82+G82</f>
        <v/>
      </c>
      <c r="K82" s="8">
        <f>E82+H82</f>
        <v/>
      </c>
      <c r="L82" s="8">
        <f>J82+K82</f>
        <v/>
      </c>
      <c r="M82" s="9">
        <f>IF(C82=0,0,L82/C82*100)</f>
        <v/>
      </c>
    </row>
    <row r="83">
      <c r="A83" s="7" t="n">
        <v>11</v>
      </c>
      <c r="B83" s="8">
        <f>B15</f>
        <v/>
      </c>
      <c r="C83" s="8">
        <f>C15</f>
        <v/>
      </c>
      <c r="D83" s="14" t="n"/>
      <c r="E83" s="14" t="n"/>
      <c r="F83" s="8">
        <f>D83+E83</f>
        <v/>
      </c>
      <c r="G83" s="14" t="n"/>
      <c r="H83" s="14" t="n"/>
      <c r="I83" s="8">
        <f>G83+H83</f>
        <v/>
      </c>
      <c r="J83" s="8">
        <f>D83+G83</f>
        <v/>
      </c>
      <c r="K83" s="8">
        <f>E83+H83</f>
        <v/>
      </c>
      <c r="L83" s="8">
        <f>J83+K83</f>
        <v/>
      </c>
      <c r="M83" s="9">
        <f>IF(C83=0,0,L83/C83*100)</f>
        <v/>
      </c>
    </row>
    <row r="84">
      <c r="A84" s="10" t="inlineStr">
        <is>
          <t>Total</t>
        </is>
      </c>
      <c r="B84" s="11">
        <f>SUM(B73:B83)</f>
        <v/>
      </c>
      <c r="C84" s="11">
        <f>SUM(C73:C83)</f>
        <v/>
      </c>
      <c r="D84" s="11">
        <f>SUM(D73:D83)</f>
        <v/>
      </c>
      <c r="E84" s="11">
        <f>SUM(E73:E83)</f>
        <v/>
      </c>
      <c r="F84" s="11">
        <f>D84+E84</f>
        <v/>
      </c>
      <c r="G84" s="11">
        <f>SUM(G73:G83)</f>
        <v/>
      </c>
      <c r="H84" s="11">
        <f>SUM(H73:H83)</f>
        <v/>
      </c>
      <c r="I84" s="11">
        <f>G84+H84</f>
        <v/>
      </c>
      <c r="J84" s="11">
        <f>D84+G84</f>
        <v/>
      </c>
      <c r="K84" s="11">
        <f>E84+H84</f>
        <v/>
      </c>
      <c r="L84" s="11">
        <f>J84+K84</f>
        <v/>
      </c>
      <c r="M84" s="12">
        <f>IF(C84=0,0,L84/C84*100)</f>
        <v/>
      </c>
    </row>
    <row r="86">
      <c r="A86" s="13" t="inlineStr">
        <is>
          <t>Day 5 - 2026-10-09 (Fri 23 Aswin 2083)</t>
        </is>
      </c>
    </row>
    <row r="87">
      <c r="A87" s="6" t="inlineStr">
        <is>
          <t>Ward no.</t>
        </is>
      </c>
      <c r="B87" s="6" t="inlineStr">
        <is>
          <t>Total population</t>
        </is>
      </c>
      <c r="C87" s="6" t="inlineStr">
        <is>
          <t>JE target population</t>
        </is>
      </c>
      <c r="D87" s="6" t="inlineStr">
        <is>
          <t>Vaccinated</t>
        </is>
      </c>
      <c r="E87" s="6" t="n"/>
      <c r="F87" s="6" t="n"/>
      <c r="G87" s="6" t="n"/>
      <c r="H87" s="6" t="n"/>
      <c r="I87" s="6" t="n"/>
      <c r="J87" s="6" t="n"/>
      <c r="K87" s="6" t="n"/>
      <c r="L87" s="6" t="n"/>
      <c r="M87" s="6" t="inlineStr">
        <is>
          <t>Progress %</t>
        </is>
      </c>
    </row>
    <row r="88">
      <c r="A88" s="6" t="n"/>
      <c r="B88" s="6" t="n"/>
      <c r="C88" s="6" t="n"/>
      <c r="D88" s="6" t="inlineStr">
        <is>
          <t>Age 30-60 yrs</t>
        </is>
      </c>
      <c r="E88" s="6" t="n"/>
      <c r="F88" s="6" t="n"/>
      <c r="G88" s="6" t="inlineStr">
        <is>
          <t>Age 60 above</t>
        </is>
      </c>
      <c r="H88" s="6" t="n"/>
      <c r="I88" s="6" t="n"/>
      <c r="J88" s="6" t="inlineStr">
        <is>
          <t>Total</t>
        </is>
      </c>
      <c r="K88" s="6" t="n"/>
      <c r="L88" s="6" t="inlineStr">
        <is>
          <t>Grand Total</t>
        </is>
      </c>
      <c r="M88" s="6" t="n"/>
    </row>
    <row r="89">
      <c r="A89" s="6" t="n"/>
      <c r="B89" s="6" t="n"/>
      <c r="C89" s="6" t="n"/>
      <c r="D89" s="6" t="inlineStr">
        <is>
          <t>F</t>
        </is>
      </c>
      <c r="E89" s="6" t="inlineStr">
        <is>
          <t>M</t>
        </is>
      </c>
      <c r="F89" s="6" t="inlineStr">
        <is>
          <t>Total</t>
        </is>
      </c>
      <c r="G89" s="6" t="inlineStr">
        <is>
          <t>F</t>
        </is>
      </c>
      <c r="H89" s="6" t="inlineStr">
        <is>
          <t>M</t>
        </is>
      </c>
      <c r="I89" s="6" t="inlineStr">
        <is>
          <t>Total</t>
        </is>
      </c>
      <c r="J89" s="6" t="inlineStr">
        <is>
          <t>F</t>
        </is>
      </c>
      <c r="K89" s="6" t="inlineStr">
        <is>
          <t>M</t>
        </is>
      </c>
      <c r="L89" s="6" t="n"/>
      <c r="M89" s="6" t="n"/>
    </row>
    <row r="90">
      <c r="A90" s="7" t="n">
        <v>1</v>
      </c>
      <c r="B90" s="8">
        <f>B5</f>
        <v/>
      </c>
      <c r="C90" s="8">
        <f>C5</f>
        <v/>
      </c>
      <c r="D90" s="14" t="n"/>
      <c r="E90" s="14" t="n"/>
      <c r="F90" s="8">
        <f>D90+E90</f>
        <v/>
      </c>
      <c r="G90" s="14" t="n"/>
      <c r="H90" s="14" t="n"/>
      <c r="I90" s="8">
        <f>G90+H90</f>
        <v/>
      </c>
      <c r="J90" s="8">
        <f>D90+G90</f>
        <v/>
      </c>
      <c r="K90" s="8">
        <f>E90+H90</f>
        <v/>
      </c>
      <c r="L90" s="8">
        <f>J90+K90</f>
        <v/>
      </c>
      <c r="M90" s="9">
        <f>IF(C90=0,0,L90/C90*100)</f>
        <v/>
      </c>
    </row>
    <row r="91">
      <c r="A91" s="7" t="n">
        <v>2</v>
      </c>
      <c r="B91" s="8">
        <f>B6</f>
        <v/>
      </c>
      <c r="C91" s="8">
        <f>C6</f>
        <v/>
      </c>
      <c r="D91" s="14" t="n"/>
      <c r="E91" s="14" t="n"/>
      <c r="F91" s="8">
        <f>D91+E91</f>
        <v/>
      </c>
      <c r="G91" s="14" t="n"/>
      <c r="H91" s="14" t="n"/>
      <c r="I91" s="8">
        <f>G91+H91</f>
        <v/>
      </c>
      <c r="J91" s="8">
        <f>D91+G91</f>
        <v/>
      </c>
      <c r="K91" s="8">
        <f>E91+H91</f>
        <v/>
      </c>
      <c r="L91" s="8">
        <f>J91+K91</f>
        <v/>
      </c>
      <c r="M91" s="9">
        <f>IF(C91=0,0,L91/C91*100)</f>
        <v/>
      </c>
    </row>
    <row r="92">
      <c r="A92" s="7" t="n">
        <v>3</v>
      </c>
      <c r="B92" s="8">
        <f>B7</f>
        <v/>
      </c>
      <c r="C92" s="8">
        <f>C7</f>
        <v/>
      </c>
      <c r="D92" s="14" t="n"/>
      <c r="E92" s="14" t="n"/>
      <c r="F92" s="8">
        <f>D92+E92</f>
        <v/>
      </c>
      <c r="G92" s="14" t="n"/>
      <c r="H92" s="14" t="n"/>
      <c r="I92" s="8">
        <f>G92+H92</f>
        <v/>
      </c>
      <c r="J92" s="8">
        <f>D92+G92</f>
        <v/>
      </c>
      <c r="K92" s="8">
        <f>E92+H92</f>
        <v/>
      </c>
      <c r="L92" s="8">
        <f>J92+K92</f>
        <v/>
      </c>
      <c r="M92" s="9">
        <f>IF(C92=0,0,L92/C92*100)</f>
        <v/>
      </c>
    </row>
    <row r="93">
      <c r="A93" s="7" t="n">
        <v>4</v>
      </c>
      <c r="B93" s="8">
        <f>B8</f>
        <v/>
      </c>
      <c r="C93" s="8">
        <f>C8</f>
        <v/>
      </c>
      <c r="D93" s="14" t="n"/>
      <c r="E93" s="14" t="n"/>
      <c r="F93" s="8">
        <f>D93+E93</f>
        <v/>
      </c>
      <c r="G93" s="14" t="n"/>
      <c r="H93" s="14" t="n"/>
      <c r="I93" s="8">
        <f>G93+H93</f>
        <v/>
      </c>
      <c r="J93" s="8">
        <f>D93+G93</f>
        <v/>
      </c>
      <c r="K93" s="8">
        <f>E93+H93</f>
        <v/>
      </c>
      <c r="L93" s="8">
        <f>J93+K93</f>
        <v/>
      </c>
      <c r="M93" s="9">
        <f>IF(C93=0,0,L93/C93*100)</f>
        <v/>
      </c>
    </row>
    <row r="94">
      <c r="A94" s="7" t="n">
        <v>5</v>
      </c>
      <c r="B94" s="8">
        <f>B9</f>
        <v/>
      </c>
      <c r="C94" s="8">
        <f>C9</f>
        <v/>
      </c>
      <c r="D94" s="14" t="n"/>
      <c r="E94" s="14" t="n"/>
      <c r="F94" s="8">
        <f>D94+E94</f>
        <v/>
      </c>
      <c r="G94" s="14" t="n"/>
      <c r="H94" s="14" t="n"/>
      <c r="I94" s="8">
        <f>G94+H94</f>
        <v/>
      </c>
      <c r="J94" s="8">
        <f>D94+G94</f>
        <v/>
      </c>
      <c r="K94" s="8">
        <f>E94+H94</f>
        <v/>
      </c>
      <c r="L94" s="8">
        <f>J94+K94</f>
        <v/>
      </c>
      <c r="M94" s="9">
        <f>IF(C94=0,0,L94/C94*100)</f>
        <v/>
      </c>
    </row>
    <row r="95">
      <c r="A95" s="7" t="n">
        <v>6</v>
      </c>
      <c r="B95" s="8">
        <f>B10</f>
        <v/>
      </c>
      <c r="C95" s="8">
        <f>C10</f>
        <v/>
      </c>
      <c r="D95" s="14" t="n"/>
      <c r="E95" s="14" t="n"/>
      <c r="F95" s="8">
        <f>D95+E95</f>
        <v/>
      </c>
      <c r="G95" s="14" t="n"/>
      <c r="H95" s="14" t="n"/>
      <c r="I95" s="8">
        <f>G95+H95</f>
        <v/>
      </c>
      <c r="J95" s="8">
        <f>D95+G95</f>
        <v/>
      </c>
      <c r="K95" s="8">
        <f>E95+H95</f>
        <v/>
      </c>
      <c r="L95" s="8">
        <f>J95+K95</f>
        <v/>
      </c>
      <c r="M95" s="9">
        <f>IF(C95=0,0,L95/C95*100)</f>
        <v/>
      </c>
    </row>
    <row r="96">
      <c r="A96" s="7" t="n">
        <v>7</v>
      </c>
      <c r="B96" s="8">
        <f>B11</f>
        <v/>
      </c>
      <c r="C96" s="8">
        <f>C11</f>
        <v/>
      </c>
      <c r="D96" s="14" t="n"/>
      <c r="E96" s="14" t="n"/>
      <c r="F96" s="8">
        <f>D96+E96</f>
        <v/>
      </c>
      <c r="G96" s="14" t="n"/>
      <c r="H96" s="14" t="n"/>
      <c r="I96" s="8">
        <f>G96+H96</f>
        <v/>
      </c>
      <c r="J96" s="8">
        <f>D96+G96</f>
        <v/>
      </c>
      <c r="K96" s="8">
        <f>E96+H96</f>
        <v/>
      </c>
      <c r="L96" s="8">
        <f>J96+K96</f>
        <v/>
      </c>
      <c r="M96" s="9">
        <f>IF(C96=0,0,L96/C96*100)</f>
        <v/>
      </c>
    </row>
    <row r="97">
      <c r="A97" s="7" t="n">
        <v>8</v>
      </c>
      <c r="B97" s="8">
        <f>B12</f>
        <v/>
      </c>
      <c r="C97" s="8">
        <f>C12</f>
        <v/>
      </c>
      <c r="D97" s="14" t="n"/>
      <c r="E97" s="14" t="n"/>
      <c r="F97" s="8">
        <f>D97+E97</f>
        <v/>
      </c>
      <c r="G97" s="14" t="n"/>
      <c r="H97" s="14" t="n"/>
      <c r="I97" s="8">
        <f>G97+H97</f>
        <v/>
      </c>
      <c r="J97" s="8">
        <f>D97+G97</f>
        <v/>
      </c>
      <c r="K97" s="8">
        <f>E97+H97</f>
        <v/>
      </c>
      <c r="L97" s="8">
        <f>J97+K97</f>
        <v/>
      </c>
      <c r="M97" s="9">
        <f>IF(C97=0,0,L97/C97*100)</f>
        <v/>
      </c>
    </row>
    <row r="98">
      <c r="A98" s="7" t="n">
        <v>9</v>
      </c>
      <c r="B98" s="8">
        <f>B13</f>
        <v/>
      </c>
      <c r="C98" s="8">
        <f>C13</f>
        <v/>
      </c>
      <c r="D98" s="14" t="n"/>
      <c r="E98" s="14" t="n"/>
      <c r="F98" s="8">
        <f>D98+E98</f>
        <v/>
      </c>
      <c r="G98" s="14" t="n"/>
      <c r="H98" s="14" t="n"/>
      <c r="I98" s="8">
        <f>G98+H98</f>
        <v/>
      </c>
      <c r="J98" s="8">
        <f>D98+G98</f>
        <v/>
      </c>
      <c r="K98" s="8">
        <f>E98+H98</f>
        <v/>
      </c>
      <c r="L98" s="8">
        <f>J98+K98</f>
        <v/>
      </c>
      <c r="M98" s="9">
        <f>IF(C98=0,0,L98/C98*100)</f>
        <v/>
      </c>
    </row>
    <row r="99">
      <c r="A99" s="7" t="n">
        <v>10</v>
      </c>
      <c r="B99" s="8">
        <f>B14</f>
        <v/>
      </c>
      <c r="C99" s="8">
        <f>C14</f>
        <v/>
      </c>
      <c r="D99" s="14" t="n"/>
      <c r="E99" s="14" t="n"/>
      <c r="F99" s="8">
        <f>D99+E99</f>
        <v/>
      </c>
      <c r="G99" s="14" t="n"/>
      <c r="H99" s="14" t="n"/>
      <c r="I99" s="8">
        <f>G99+H99</f>
        <v/>
      </c>
      <c r="J99" s="8">
        <f>D99+G99</f>
        <v/>
      </c>
      <c r="K99" s="8">
        <f>E99+H99</f>
        <v/>
      </c>
      <c r="L99" s="8">
        <f>J99+K99</f>
        <v/>
      </c>
      <c r="M99" s="9">
        <f>IF(C99=0,0,L99/C99*100)</f>
        <v/>
      </c>
    </row>
    <row r="100">
      <c r="A100" s="7" t="n">
        <v>11</v>
      </c>
      <c r="B100" s="8">
        <f>B15</f>
        <v/>
      </c>
      <c r="C100" s="8">
        <f>C15</f>
        <v/>
      </c>
      <c r="D100" s="14" t="n"/>
      <c r="E100" s="14" t="n"/>
      <c r="F100" s="8">
        <f>D100+E100</f>
        <v/>
      </c>
      <c r="G100" s="14" t="n"/>
      <c r="H100" s="14" t="n"/>
      <c r="I100" s="8">
        <f>G100+H100</f>
        <v/>
      </c>
      <c r="J100" s="8">
        <f>D100+G100</f>
        <v/>
      </c>
      <c r="K100" s="8">
        <f>E100+H100</f>
        <v/>
      </c>
      <c r="L100" s="8">
        <f>J100+K100</f>
        <v/>
      </c>
      <c r="M100" s="9">
        <f>IF(C100=0,0,L100/C100*100)</f>
        <v/>
      </c>
    </row>
    <row r="101">
      <c r="A101" s="10" t="inlineStr">
        <is>
          <t>Total</t>
        </is>
      </c>
      <c r="B101" s="11">
        <f>SUM(B90:B100)</f>
        <v/>
      </c>
      <c r="C101" s="11">
        <f>SUM(C90:C100)</f>
        <v/>
      </c>
      <c r="D101" s="11">
        <f>SUM(D90:D100)</f>
        <v/>
      </c>
      <c r="E101" s="11">
        <f>SUM(E90:E100)</f>
        <v/>
      </c>
      <c r="F101" s="11">
        <f>D101+E101</f>
        <v/>
      </c>
      <c r="G101" s="11">
        <f>SUM(G90:G100)</f>
        <v/>
      </c>
      <c r="H101" s="11">
        <f>SUM(H90:H100)</f>
        <v/>
      </c>
      <c r="I101" s="11">
        <f>G101+H101</f>
        <v/>
      </c>
      <c r="J101" s="11">
        <f>D101+G101</f>
        <v/>
      </c>
      <c r="K101" s="11">
        <f>E101+H101</f>
        <v/>
      </c>
      <c r="L101" s="11">
        <f>J101+K101</f>
        <v/>
      </c>
      <c r="M101" s="12">
        <f>IF(C101=0,0,L101/C101*100)</f>
        <v/>
      </c>
    </row>
    <row r="103">
      <c r="A103" s="13" t="inlineStr">
        <is>
          <t>Day 6 - 2026-10-10 (Sat 24 Aswin 2083)</t>
        </is>
      </c>
    </row>
    <row r="104">
      <c r="A104" s="6" t="inlineStr">
        <is>
          <t>Ward no.</t>
        </is>
      </c>
      <c r="B104" s="6" t="inlineStr">
        <is>
          <t>Total population</t>
        </is>
      </c>
      <c r="C104" s="6" t="inlineStr">
        <is>
          <t>JE target population</t>
        </is>
      </c>
      <c r="D104" s="6" t="inlineStr">
        <is>
          <t>Vaccinated</t>
        </is>
      </c>
      <c r="E104" s="6" t="n"/>
      <c r="F104" s="6" t="n"/>
      <c r="G104" s="6" t="n"/>
      <c r="H104" s="6" t="n"/>
      <c r="I104" s="6" t="n"/>
      <c r="J104" s="6" t="n"/>
      <c r="K104" s="6" t="n"/>
      <c r="L104" s="6" t="n"/>
      <c r="M104" s="6" t="inlineStr">
        <is>
          <t>Progress %</t>
        </is>
      </c>
    </row>
    <row r="105">
      <c r="A105" s="6" t="n"/>
      <c r="B105" s="6" t="n"/>
      <c r="C105" s="6" t="n"/>
      <c r="D105" s="6" t="inlineStr">
        <is>
          <t>Age 30-60 yrs</t>
        </is>
      </c>
      <c r="E105" s="6" t="n"/>
      <c r="F105" s="6" t="n"/>
      <c r="G105" s="6" t="inlineStr">
        <is>
          <t>Age 60 above</t>
        </is>
      </c>
      <c r="H105" s="6" t="n"/>
      <c r="I105" s="6" t="n"/>
      <c r="J105" s="6" t="inlineStr">
        <is>
          <t>Total</t>
        </is>
      </c>
      <c r="K105" s="6" t="n"/>
      <c r="L105" s="6" t="inlineStr">
        <is>
          <t>Grand Total</t>
        </is>
      </c>
      <c r="M105" s="6" t="n"/>
    </row>
    <row r="106">
      <c r="A106" s="6" t="n"/>
      <c r="B106" s="6" t="n"/>
      <c r="C106" s="6" t="n"/>
      <c r="D106" s="6" t="inlineStr">
        <is>
          <t>F</t>
        </is>
      </c>
      <c r="E106" s="6" t="inlineStr">
        <is>
          <t>M</t>
        </is>
      </c>
      <c r="F106" s="6" t="inlineStr">
        <is>
          <t>Total</t>
        </is>
      </c>
      <c r="G106" s="6" t="inlineStr">
        <is>
          <t>F</t>
        </is>
      </c>
      <c r="H106" s="6" t="inlineStr">
        <is>
          <t>M</t>
        </is>
      </c>
      <c r="I106" s="6" t="inlineStr">
        <is>
          <t>Total</t>
        </is>
      </c>
      <c r="J106" s="6" t="inlineStr">
        <is>
          <t>F</t>
        </is>
      </c>
      <c r="K106" s="6" t="inlineStr">
        <is>
          <t>M</t>
        </is>
      </c>
      <c r="L106" s="6" t="n"/>
      <c r="M106" s="6" t="n"/>
    </row>
    <row r="107">
      <c r="A107" s="7" t="n">
        <v>1</v>
      </c>
      <c r="B107" s="8">
        <f>B5</f>
        <v/>
      </c>
      <c r="C107" s="8">
        <f>C5</f>
        <v/>
      </c>
      <c r="D107" s="14" t="n"/>
      <c r="E107" s="14" t="n"/>
      <c r="F107" s="8">
        <f>D107+E107</f>
        <v/>
      </c>
      <c r="G107" s="14" t="n"/>
      <c r="H107" s="14" t="n"/>
      <c r="I107" s="8">
        <f>G107+H107</f>
        <v/>
      </c>
      <c r="J107" s="8">
        <f>D107+G107</f>
        <v/>
      </c>
      <c r="K107" s="8">
        <f>E107+H107</f>
        <v/>
      </c>
      <c r="L107" s="8">
        <f>J107+K107</f>
        <v/>
      </c>
      <c r="M107" s="9">
        <f>IF(C107=0,0,L107/C107*100)</f>
        <v/>
      </c>
    </row>
    <row r="108">
      <c r="A108" s="7" t="n">
        <v>2</v>
      </c>
      <c r="B108" s="8">
        <f>B6</f>
        <v/>
      </c>
      <c r="C108" s="8">
        <f>C6</f>
        <v/>
      </c>
      <c r="D108" s="14" t="n"/>
      <c r="E108" s="14" t="n"/>
      <c r="F108" s="8">
        <f>D108+E108</f>
        <v/>
      </c>
      <c r="G108" s="14" t="n"/>
      <c r="H108" s="14" t="n"/>
      <c r="I108" s="8">
        <f>G108+H108</f>
        <v/>
      </c>
      <c r="J108" s="8">
        <f>D108+G108</f>
        <v/>
      </c>
      <c r="K108" s="8">
        <f>E108+H108</f>
        <v/>
      </c>
      <c r="L108" s="8">
        <f>J108+K108</f>
        <v/>
      </c>
      <c r="M108" s="9">
        <f>IF(C108=0,0,L108/C108*100)</f>
        <v/>
      </c>
    </row>
    <row r="109">
      <c r="A109" s="7" t="n">
        <v>3</v>
      </c>
      <c r="B109" s="8">
        <f>B7</f>
        <v/>
      </c>
      <c r="C109" s="8">
        <f>C7</f>
        <v/>
      </c>
      <c r="D109" s="14" t="n"/>
      <c r="E109" s="14" t="n"/>
      <c r="F109" s="8">
        <f>D109+E109</f>
        <v/>
      </c>
      <c r="G109" s="14" t="n"/>
      <c r="H109" s="14" t="n"/>
      <c r="I109" s="8">
        <f>G109+H109</f>
        <v/>
      </c>
      <c r="J109" s="8">
        <f>D109+G109</f>
        <v/>
      </c>
      <c r="K109" s="8">
        <f>E109+H109</f>
        <v/>
      </c>
      <c r="L109" s="8">
        <f>J109+K109</f>
        <v/>
      </c>
      <c r="M109" s="9">
        <f>IF(C109=0,0,L109/C109*100)</f>
        <v/>
      </c>
    </row>
    <row r="110">
      <c r="A110" s="7" t="n">
        <v>4</v>
      </c>
      <c r="B110" s="8">
        <f>B8</f>
        <v/>
      </c>
      <c r="C110" s="8">
        <f>C8</f>
        <v/>
      </c>
      <c r="D110" s="14" t="n"/>
      <c r="E110" s="14" t="n"/>
      <c r="F110" s="8">
        <f>D110+E110</f>
        <v/>
      </c>
      <c r="G110" s="14" t="n"/>
      <c r="H110" s="14" t="n"/>
      <c r="I110" s="8">
        <f>G110+H110</f>
        <v/>
      </c>
      <c r="J110" s="8">
        <f>D110+G110</f>
        <v/>
      </c>
      <c r="K110" s="8">
        <f>E110+H110</f>
        <v/>
      </c>
      <c r="L110" s="8">
        <f>J110+K110</f>
        <v/>
      </c>
      <c r="M110" s="9">
        <f>IF(C110=0,0,L110/C110*100)</f>
        <v/>
      </c>
    </row>
    <row r="111">
      <c r="A111" s="7" t="n">
        <v>5</v>
      </c>
      <c r="B111" s="8">
        <f>B9</f>
        <v/>
      </c>
      <c r="C111" s="8">
        <f>C9</f>
        <v/>
      </c>
      <c r="D111" s="14" t="n"/>
      <c r="E111" s="14" t="n"/>
      <c r="F111" s="8">
        <f>D111+E111</f>
        <v/>
      </c>
      <c r="G111" s="14" t="n"/>
      <c r="H111" s="14" t="n"/>
      <c r="I111" s="8">
        <f>G111+H111</f>
        <v/>
      </c>
      <c r="J111" s="8">
        <f>D111+G111</f>
        <v/>
      </c>
      <c r="K111" s="8">
        <f>E111+H111</f>
        <v/>
      </c>
      <c r="L111" s="8">
        <f>J111+K111</f>
        <v/>
      </c>
      <c r="M111" s="9">
        <f>IF(C111=0,0,L111/C111*100)</f>
        <v/>
      </c>
    </row>
    <row r="112">
      <c r="A112" s="7" t="n">
        <v>6</v>
      </c>
      <c r="B112" s="8">
        <f>B10</f>
        <v/>
      </c>
      <c r="C112" s="8">
        <f>C10</f>
        <v/>
      </c>
      <c r="D112" s="14" t="n"/>
      <c r="E112" s="14" t="n"/>
      <c r="F112" s="8">
        <f>D112+E112</f>
        <v/>
      </c>
      <c r="G112" s="14" t="n"/>
      <c r="H112" s="14" t="n"/>
      <c r="I112" s="8">
        <f>G112+H112</f>
        <v/>
      </c>
      <c r="J112" s="8">
        <f>D112+G112</f>
        <v/>
      </c>
      <c r="K112" s="8">
        <f>E112+H112</f>
        <v/>
      </c>
      <c r="L112" s="8">
        <f>J112+K112</f>
        <v/>
      </c>
      <c r="M112" s="9">
        <f>IF(C112=0,0,L112/C112*100)</f>
        <v/>
      </c>
    </row>
    <row r="113">
      <c r="A113" s="7" t="n">
        <v>7</v>
      </c>
      <c r="B113" s="8">
        <f>B11</f>
        <v/>
      </c>
      <c r="C113" s="8">
        <f>C11</f>
        <v/>
      </c>
      <c r="D113" s="14" t="n"/>
      <c r="E113" s="14" t="n"/>
      <c r="F113" s="8">
        <f>D113+E113</f>
        <v/>
      </c>
      <c r="G113" s="14" t="n"/>
      <c r="H113" s="14" t="n"/>
      <c r="I113" s="8">
        <f>G113+H113</f>
        <v/>
      </c>
      <c r="J113" s="8">
        <f>D113+G113</f>
        <v/>
      </c>
      <c r="K113" s="8">
        <f>E113+H113</f>
        <v/>
      </c>
      <c r="L113" s="8">
        <f>J113+K113</f>
        <v/>
      </c>
      <c r="M113" s="9">
        <f>IF(C113=0,0,L113/C113*100)</f>
        <v/>
      </c>
    </row>
    <row r="114">
      <c r="A114" s="7" t="n">
        <v>8</v>
      </c>
      <c r="B114" s="8">
        <f>B12</f>
        <v/>
      </c>
      <c r="C114" s="8">
        <f>C12</f>
        <v/>
      </c>
      <c r="D114" s="14" t="n"/>
      <c r="E114" s="14" t="n"/>
      <c r="F114" s="8">
        <f>D114+E114</f>
        <v/>
      </c>
      <c r="G114" s="14" t="n"/>
      <c r="H114" s="14" t="n"/>
      <c r="I114" s="8">
        <f>G114+H114</f>
        <v/>
      </c>
      <c r="J114" s="8">
        <f>D114+G114</f>
        <v/>
      </c>
      <c r="K114" s="8">
        <f>E114+H114</f>
        <v/>
      </c>
      <c r="L114" s="8">
        <f>J114+K114</f>
        <v/>
      </c>
      <c r="M114" s="9">
        <f>IF(C114=0,0,L114/C114*100)</f>
        <v/>
      </c>
    </row>
    <row r="115">
      <c r="A115" s="7" t="n">
        <v>9</v>
      </c>
      <c r="B115" s="8">
        <f>B13</f>
        <v/>
      </c>
      <c r="C115" s="8">
        <f>C13</f>
        <v/>
      </c>
      <c r="D115" s="14" t="n"/>
      <c r="E115" s="14" t="n"/>
      <c r="F115" s="8">
        <f>D115+E115</f>
        <v/>
      </c>
      <c r="G115" s="14" t="n"/>
      <c r="H115" s="14" t="n"/>
      <c r="I115" s="8">
        <f>G115+H115</f>
        <v/>
      </c>
      <c r="J115" s="8">
        <f>D115+G115</f>
        <v/>
      </c>
      <c r="K115" s="8">
        <f>E115+H115</f>
        <v/>
      </c>
      <c r="L115" s="8">
        <f>J115+K115</f>
        <v/>
      </c>
      <c r="M115" s="9">
        <f>IF(C115=0,0,L115/C115*100)</f>
        <v/>
      </c>
    </row>
    <row r="116">
      <c r="A116" s="7" t="n">
        <v>10</v>
      </c>
      <c r="B116" s="8">
        <f>B14</f>
        <v/>
      </c>
      <c r="C116" s="8">
        <f>C14</f>
        <v/>
      </c>
      <c r="D116" s="14" t="n"/>
      <c r="E116" s="14" t="n"/>
      <c r="F116" s="8">
        <f>D116+E116</f>
        <v/>
      </c>
      <c r="G116" s="14" t="n"/>
      <c r="H116" s="14" t="n"/>
      <c r="I116" s="8">
        <f>G116+H116</f>
        <v/>
      </c>
      <c r="J116" s="8">
        <f>D116+G116</f>
        <v/>
      </c>
      <c r="K116" s="8">
        <f>E116+H116</f>
        <v/>
      </c>
      <c r="L116" s="8">
        <f>J116+K116</f>
        <v/>
      </c>
      <c r="M116" s="9">
        <f>IF(C116=0,0,L116/C116*100)</f>
        <v/>
      </c>
    </row>
    <row r="117">
      <c r="A117" s="7" t="n">
        <v>11</v>
      </c>
      <c r="B117" s="8">
        <f>B15</f>
        <v/>
      </c>
      <c r="C117" s="8">
        <f>C15</f>
        <v/>
      </c>
      <c r="D117" s="14" t="n"/>
      <c r="E117" s="14" t="n"/>
      <c r="F117" s="8">
        <f>D117+E117</f>
        <v/>
      </c>
      <c r="G117" s="14" t="n"/>
      <c r="H117" s="14" t="n"/>
      <c r="I117" s="8">
        <f>G117+H117</f>
        <v/>
      </c>
      <c r="J117" s="8">
        <f>D117+G117</f>
        <v/>
      </c>
      <c r="K117" s="8">
        <f>E117+H117</f>
        <v/>
      </c>
      <c r="L117" s="8">
        <f>J117+K117</f>
        <v/>
      </c>
      <c r="M117" s="9">
        <f>IF(C117=0,0,L117/C117*100)</f>
        <v/>
      </c>
    </row>
    <row r="118">
      <c r="A118" s="10" t="inlineStr">
        <is>
          <t>Total</t>
        </is>
      </c>
      <c r="B118" s="11">
        <f>SUM(B107:B117)</f>
        <v/>
      </c>
      <c r="C118" s="11">
        <f>SUM(C107:C117)</f>
        <v/>
      </c>
      <c r="D118" s="11">
        <f>SUM(D107:D117)</f>
        <v/>
      </c>
      <c r="E118" s="11">
        <f>SUM(E107:E117)</f>
        <v/>
      </c>
      <c r="F118" s="11">
        <f>D118+E118</f>
        <v/>
      </c>
      <c r="G118" s="11">
        <f>SUM(G107:G117)</f>
        <v/>
      </c>
      <c r="H118" s="11">
        <f>SUM(H107:H117)</f>
        <v/>
      </c>
      <c r="I118" s="11">
        <f>G118+H118</f>
        <v/>
      </c>
      <c r="J118" s="11">
        <f>D118+G118</f>
        <v/>
      </c>
      <c r="K118" s="11">
        <f>E118+H118</f>
        <v/>
      </c>
      <c r="L118" s="11">
        <f>J118+K118</f>
        <v/>
      </c>
      <c r="M118" s="12">
        <f>IF(C118=0,0,L118/C118*100)</f>
        <v/>
      </c>
    </row>
    <row r="120">
      <c r="A120" s="13" t="inlineStr">
        <is>
          <t>Day 7 - 2026-10-11 (Sun 25 Aswin 2083)</t>
        </is>
      </c>
    </row>
    <row r="121">
      <c r="A121" s="6" t="inlineStr">
        <is>
          <t>Ward no.</t>
        </is>
      </c>
      <c r="B121" s="6" t="inlineStr">
        <is>
          <t>Total population</t>
        </is>
      </c>
      <c r="C121" s="6" t="inlineStr">
        <is>
          <t>JE target population</t>
        </is>
      </c>
      <c r="D121" s="6" t="inlineStr">
        <is>
          <t>Vaccinated</t>
        </is>
      </c>
      <c r="E121" s="6" t="n"/>
      <c r="F121" s="6" t="n"/>
      <c r="G121" s="6" t="n"/>
      <c r="H121" s="6" t="n"/>
      <c r="I121" s="6" t="n"/>
      <c r="J121" s="6" t="n"/>
      <c r="K121" s="6" t="n"/>
      <c r="L121" s="6" t="n"/>
      <c r="M121" s="6" t="inlineStr">
        <is>
          <t>Progress %</t>
        </is>
      </c>
    </row>
    <row r="122">
      <c r="A122" s="6" t="n"/>
      <c r="B122" s="6" t="n"/>
      <c r="C122" s="6" t="n"/>
      <c r="D122" s="6" t="inlineStr">
        <is>
          <t>Age 30-60 yrs</t>
        </is>
      </c>
      <c r="E122" s="6" t="n"/>
      <c r="F122" s="6" t="n"/>
      <c r="G122" s="6" t="inlineStr">
        <is>
          <t>Age 60 above</t>
        </is>
      </c>
      <c r="H122" s="6" t="n"/>
      <c r="I122" s="6" t="n"/>
      <c r="J122" s="6" t="inlineStr">
        <is>
          <t>Total</t>
        </is>
      </c>
      <c r="K122" s="6" t="n"/>
      <c r="L122" s="6" t="inlineStr">
        <is>
          <t>Grand Total</t>
        </is>
      </c>
      <c r="M122" s="6" t="n"/>
    </row>
    <row r="123">
      <c r="A123" s="6" t="n"/>
      <c r="B123" s="6" t="n"/>
      <c r="C123" s="6" t="n"/>
      <c r="D123" s="6" t="inlineStr">
        <is>
          <t>F</t>
        </is>
      </c>
      <c r="E123" s="6" t="inlineStr">
        <is>
          <t>M</t>
        </is>
      </c>
      <c r="F123" s="6" t="inlineStr">
        <is>
          <t>Total</t>
        </is>
      </c>
      <c r="G123" s="6" t="inlineStr">
        <is>
          <t>F</t>
        </is>
      </c>
      <c r="H123" s="6" t="inlineStr">
        <is>
          <t>M</t>
        </is>
      </c>
      <c r="I123" s="6" t="inlineStr">
        <is>
          <t>Total</t>
        </is>
      </c>
      <c r="J123" s="6" t="inlineStr">
        <is>
          <t>F</t>
        </is>
      </c>
      <c r="K123" s="6" t="inlineStr">
        <is>
          <t>M</t>
        </is>
      </c>
      <c r="L123" s="6" t="n"/>
      <c r="M123" s="6" t="n"/>
    </row>
    <row r="124">
      <c r="A124" s="7" t="n">
        <v>1</v>
      </c>
      <c r="B124" s="8">
        <f>B5</f>
        <v/>
      </c>
      <c r="C124" s="8">
        <f>C5</f>
        <v/>
      </c>
      <c r="D124" s="14" t="n"/>
      <c r="E124" s="14" t="n"/>
      <c r="F124" s="8">
        <f>D124+E124</f>
        <v/>
      </c>
      <c r="G124" s="14" t="n"/>
      <c r="H124" s="14" t="n"/>
      <c r="I124" s="8">
        <f>G124+H124</f>
        <v/>
      </c>
      <c r="J124" s="8">
        <f>D124+G124</f>
        <v/>
      </c>
      <c r="K124" s="8">
        <f>E124+H124</f>
        <v/>
      </c>
      <c r="L124" s="8">
        <f>J124+K124</f>
        <v/>
      </c>
      <c r="M124" s="9">
        <f>IF(C124=0,0,L124/C124*100)</f>
        <v/>
      </c>
    </row>
    <row r="125">
      <c r="A125" s="7" t="n">
        <v>2</v>
      </c>
      <c r="B125" s="8">
        <f>B6</f>
        <v/>
      </c>
      <c r="C125" s="8">
        <f>C6</f>
        <v/>
      </c>
      <c r="D125" s="14" t="n"/>
      <c r="E125" s="14" t="n"/>
      <c r="F125" s="8">
        <f>D125+E125</f>
        <v/>
      </c>
      <c r="G125" s="14" t="n"/>
      <c r="H125" s="14" t="n"/>
      <c r="I125" s="8">
        <f>G125+H125</f>
        <v/>
      </c>
      <c r="J125" s="8">
        <f>D125+G125</f>
        <v/>
      </c>
      <c r="K125" s="8">
        <f>E125+H125</f>
        <v/>
      </c>
      <c r="L125" s="8">
        <f>J125+K125</f>
        <v/>
      </c>
      <c r="M125" s="9">
        <f>IF(C125=0,0,L125/C125*100)</f>
        <v/>
      </c>
    </row>
    <row r="126">
      <c r="A126" s="7" t="n">
        <v>3</v>
      </c>
      <c r="B126" s="8">
        <f>B7</f>
        <v/>
      </c>
      <c r="C126" s="8">
        <f>C7</f>
        <v/>
      </c>
      <c r="D126" s="14" t="n"/>
      <c r="E126" s="14" t="n"/>
      <c r="F126" s="8">
        <f>D126+E126</f>
        <v/>
      </c>
      <c r="G126" s="14" t="n"/>
      <c r="H126" s="14" t="n"/>
      <c r="I126" s="8">
        <f>G126+H126</f>
        <v/>
      </c>
      <c r="J126" s="8">
        <f>D126+G126</f>
        <v/>
      </c>
      <c r="K126" s="8">
        <f>E126+H126</f>
        <v/>
      </c>
      <c r="L126" s="8">
        <f>J126+K126</f>
        <v/>
      </c>
      <c r="M126" s="9">
        <f>IF(C126=0,0,L126/C126*100)</f>
        <v/>
      </c>
    </row>
    <row r="127">
      <c r="A127" s="7" t="n">
        <v>4</v>
      </c>
      <c r="B127" s="8">
        <f>B8</f>
        <v/>
      </c>
      <c r="C127" s="8">
        <f>C8</f>
        <v/>
      </c>
      <c r="D127" s="14" t="n"/>
      <c r="E127" s="14" t="n"/>
      <c r="F127" s="8">
        <f>D127+E127</f>
        <v/>
      </c>
      <c r="G127" s="14" t="n"/>
      <c r="H127" s="14" t="n"/>
      <c r="I127" s="8">
        <f>G127+H127</f>
        <v/>
      </c>
      <c r="J127" s="8">
        <f>D127+G127</f>
        <v/>
      </c>
      <c r="K127" s="8">
        <f>E127+H127</f>
        <v/>
      </c>
      <c r="L127" s="8">
        <f>J127+K127</f>
        <v/>
      </c>
      <c r="M127" s="9">
        <f>IF(C127=0,0,L127/C127*100)</f>
        <v/>
      </c>
    </row>
    <row r="128">
      <c r="A128" s="7" t="n">
        <v>5</v>
      </c>
      <c r="B128" s="8">
        <f>B9</f>
        <v/>
      </c>
      <c r="C128" s="8">
        <f>C9</f>
        <v/>
      </c>
      <c r="D128" s="14" t="n"/>
      <c r="E128" s="14" t="n"/>
      <c r="F128" s="8">
        <f>D128+E128</f>
        <v/>
      </c>
      <c r="G128" s="14" t="n"/>
      <c r="H128" s="14" t="n"/>
      <c r="I128" s="8">
        <f>G128+H128</f>
        <v/>
      </c>
      <c r="J128" s="8">
        <f>D128+G128</f>
        <v/>
      </c>
      <c r="K128" s="8">
        <f>E128+H128</f>
        <v/>
      </c>
      <c r="L128" s="8">
        <f>J128+K128</f>
        <v/>
      </c>
      <c r="M128" s="9">
        <f>IF(C128=0,0,L128/C128*100)</f>
        <v/>
      </c>
    </row>
    <row r="129">
      <c r="A129" s="7" t="n">
        <v>6</v>
      </c>
      <c r="B129" s="8">
        <f>B10</f>
        <v/>
      </c>
      <c r="C129" s="8">
        <f>C10</f>
        <v/>
      </c>
      <c r="D129" s="14" t="n"/>
      <c r="E129" s="14" t="n"/>
      <c r="F129" s="8">
        <f>D129+E129</f>
        <v/>
      </c>
      <c r="G129" s="14" t="n"/>
      <c r="H129" s="14" t="n"/>
      <c r="I129" s="8">
        <f>G129+H129</f>
        <v/>
      </c>
      <c r="J129" s="8">
        <f>D129+G129</f>
        <v/>
      </c>
      <c r="K129" s="8">
        <f>E129+H129</f>
        <v/>
      </c>
      <c r="L129" s="8">
        <f>J129+K129</f>
        <v/>
      </c>
      <c r="M129" s="9">
        <f>IF(C129=0,0,L129/C129*100)</f>
        <v/>
      </c>
    </row>
    <row r="130">
      <c r="A130" s="7" t="n">
        <v>7</v>
      </c>
      <c r="B130" s="8">
        <f>B11</f>
        <v/>
      </c>
      <c r="C130" s="8">
        <f>C11</f>
        <v/>
      </c>
      <c r="D130" s="14" t="n"/>
      <c r="E130" s="14" t="n"/>
      <c r="F130" s="8">
        <f>D130+E130</f>
        <v/>
      </c>
      <c r="G130" s="14" t="n"/>
      <c r="H130" s="14" t="n"/>
      <c r="I130" s="8">
        <f>G130+H130</f>
        <v/>
      </c>
      <c r="J130" s="8">
        <f>D130+G130</f>
        <v/>
      </c>
      <c r="K130" s="8">
        <f>E130+H130</f>
        <v/>
      </c>
      <c r="L130" s="8">
        <f>J130+K130</f>
        <v/>
      </c>
      <c r="M130" s="9">
        <f>IF(C130=0,0,L130/C130*100)</f>
        <v/>
      </c>
    </row>
    <row r="131">
      <c r="A131" s="7" t="n">
        <v>8</v>
      </c>
      <c r="B131" s="8">
        <f>B12</f>
        <v/>
      </c>
      <c r="C131" s="8">
        <f>C12</f>
        <v/>
      </c>
      <c r="D131" s="14" t="n"/>
      <c r="E131" s="14" t="n"/>
      <c r="F131" s="8">
        <f>D131+E131</f>
        <v/>
      </c>
      <c r="G131" s="14" t="n"/>
      <c r="H131" s="14" t="n"/>
      <c r="I131" s="8">
        <f>G131+H131</f>
        <v/>
      </c>
      <c r="J131" s="8">
        <f>D131+G131</f>
        <v/>
      </c>
      <c r="K131" s="8">
        <f>E131+H131</f>
        <v/>
      </c>
      <c r="L131" s="8">
        <f>J131+K131</f>
        <v/>
      </c>
      <c r="M131" s="9">
        <f>IF(C131=0,0,L131/C131*100)</f>
        <v/>
      </c>
    </row>
    <row r="132">
      <c r="A132" s="7" t="n">
        <v>9</v>
      </c>
      <c r="B132" s="8">
        <f>B13</f>
        <v/>
      </c>
      <c r="C132" s="8">
        <f>C13</f>
        <v/>
      </c>
      <c r="D132" s="14" t="n"/>
      <c r="E132" s="14" t="n"/>
      <c r="F132" s="8">
        <f>D132+E132</f>
        <v/>
      </c>
      <c r="G132" s="14" t="n"/>
      <c r="H132" s="14" t="n"/>
      <c r="I132" s="8">
        <f>G132+H132</f>
        <v/>
      </c>
      <c r="J132" s="8">
        <f>D132+G132</f>
        <v/>
      </c>
      <c r="K132" s="8">
        <f>E132+H132</f>
        <v/>
      </c>
      <c r="L132" s="8">
        <f>J132+K132</f>
        <v/>
      </c>
      <c r="M132" s="9">
        <f>IF(C132=0,0,L132/C132*100)</f>
        <v/>
      </c>
    </row>
    <row r="133">
      <c r="A133" s="7" t="n">
        <v>10</v>
      </c>
      <c r="B133" s="8">
        <f>B14</f>
        <v/>
      </c>
      <c r="C133" s="8">
        <f>C14</f>
        <v/>
      </c>
      <c r="D133" s="14" t="n"/>
      <c r="E133" s="14" t="n"/>
      <c r="F133" s="8">
        <f>D133+E133</f>
        <v/>
      </c>
      <c r="G133" s="14" t="n"/>
      <c r="H133" s="14" t="n"/>
      <c r="I133" s="8">
        <f>G133+H133</f>
        <v/>
      </c>
      <c r="J133" s="8">
        <f>D133+G133</f>
        <v/>
      </c>
      <c r="K133" s="8">
        <f>E133+H133</f>
        <v/>
      </c>
      <c r="L133" s="8">
        <f>J133+K133</f>
        <v/>
      </c>
      <c r="M133" s="9">
        <f>IF(C133=0,0,L133/C133*100)</f>
        <v/>
      </c>
    </row>
    <row r="134">
      <c r="A134" s="7" t="n">
        <v>11</v>
      </c>
      <c r="B134" s="8">
        <f>B15</f>
        <v/>
      </c>
      <c r="C134" s="8">
        <f>C15</f>
        <v/>
      </c>
      <c r="D134" s="14" t="n"/>
      <c r="E134" s="14" t="n"/>
      <c r="F134" s="8">
        <f>D134+E134</f>
        <v/>
      </c>
      <c r="G134" s="14" t="n"/>
      <c r="H134" s="14" t="n"/>
      <c r="I134" s="8">
        <f>G134+H134</f>
        <v/>
      </c>
      <c r="J134" s="8">
        <f>D134+G134</f>
        <v/>
      </c>
      <c r="K134" s="8">
        <f>E134+H134</f>
        <v/>
      </c>
      <c r="L134" s="8">
        <f>J134+K134</f>
        <v/>
      </c>
      <c r="M134" s="9">
        <f>IF(C134=0,0,L134/C134*100)</f>
        <v/>
      </c>
    </row>
    <row r="135">
      <c r="A135" s="10" t="inlineStr">
        <is>
          <t>Total</t>
        </is>
      </c>
      <c r="B135" s="11">
        <f>SUM(B124:B134)</f>
        <v/>
      </c>
      <c r="C135" s="11">
        <f>SUM(C124:C134)</f>
        <v/>
      </c>
      <c r="D135" s="11">
        <f>SUM(D124:D134)</f>
        <v/>
      </c>
      <c r="E135" s="11">
        <f>SUM(E124:E134)</f>
        <v/>
      </c>
      <c r="F135" s="11">
        <f>D135+E135</f>
        <v/>
      </c>
      <c r="G135" s="11">
        <f>SUM(G124:G134)</f>
        <v/>
      </c>
      <c r="H135" s="11">
        <f>SUM(H124:H134)</f>
        <v/>
      </c>
      <c r="I135" s="11">
        <f>G135+H135</f>
        <v/>
      </c>
      <c r="J135" s="11">
        <f>D135+G135</f>
        <v/>
      </c>
      <c r="K135" s="11">
        <f>E135+H135</f>
        <v/>
      </c>
      <c r="L135" s="11">
        <f>J135+K135</f>
        <v/>
      </c>
      <c r="M135" s="12">
        <f>IF(C135=0,0,L135/C135*100)</f>
        <v/>
      </c>
    </row>
    <row r="137">
      <c r="A137" s="13" t="inlineStr">
        <is>
          <t>Day 8 - 2026-10-12 (Mon 26 Aswin 2083)</t>
        </is>
      </c>
    </row>
    <row r="138">
      <c r="A138" s="6" t="inlineStr">
        <is>
          <t>Ward no.</t>
        </is>
      </c>
      <c r="B138" s="6" t="inlineStr">
        <is>
          <t>Total population</t>
        </is>
      </c>
      <c r="C138" s="6" t="inlineStr">
        <is>
          <t>JE target population</t>
        </is>
      </c>
      <c r="D138" s="6" t="inlineStr">
        <is>
          <t>Vaccinated</t>
        </is>
      </c>
      <c r="E138" s="6" t="n"/>
      <c r="F138" s="6" t="n"/>
      <c r="G138" s="6" t="n"/>
      <c r="H138" s="6" t="n"/>
      <c r="I138" s="6" t="n"/>
      <c r="J138" s="6" t="n"/>
      <c r="K138" s="6" t="n"/>
      <c r="L138" s="6" t="n"/>
      <c r="M138" s="6" t="inlineStr">
        <is>
          <t>Progress %</t>
        </is>
      </c>
    </row>
    <row r="139">
      <c r="A139" s="6" t="n"/>
      <c r="B139" s="6" t="n"/>
      <c r="C139" s="6" t="n"/>
      <c r="D139" s="6" t="inlineStr">
        <is>
          <t>Age 30-60 yrs</t>
        </is>
      </c>
      <c r="E139" s="6" t="n"/>
      <c r="F139" s="6" t="n"/>
      <c r="G139" s="6" t="inlineStr">
        <is>
          <t>Age 60 above</t>
        </is>
      </c>
      <c r="H139" s="6" t="n"/>
      <c r="I139" s="6" t="n"/>
      <c r="J139" s="6" t="inlineStr">
        <is>
          <t>Total</t>
        </is>
      </c>
      <c r="K139" s="6" t="n"/>
      <c r="L139" s="6" t="inlineStr">
        <is>
          <t>Grand Total</t>
        </is>
      </c>
      <c r="M139" s="6" t="n"/>
    </row>
    <row r="140">
      <c r="A140" s="6" t="n"/>
      <c r="B140" s="6" t="n"/>
      <c r="C140" s="6" t="n"/>
      <c r="D140" s="6" t="inlineStr">
        <is>
          <t>F</t>
        </is>
      </c>
      <c r="E140" s="6" t="inlineStr">
        <is>
          <t>M</t>
        </is>
      </c>
      <c r="F140" s="6" t="inlineStr">
        <is>
          <t>Total</t>
        </is>
      </c>
      <c r="G140" s="6" t="inlineStr">
        <is>
          <t>F</t>
        </is>
      </c>
      <c r="H140" s="6" t="inlineStr">
        <is>
          <t>M</t>
        </is>
      </c>
      <c r="I140" s="6" t="inlineStr">
        <is>
          <t>Total</t>
        </is>
      </c>
      <c r="J140" s="6" t="inlineStr">
        <is>
          <t>F</t>
        </is>
      </c>
      <c r="K140" s="6" t="inlineStr">
        <is>
          <t>M</t>
        </is>
      </c>
      <c r="L140" s="6" t="n"/>
      <c r="M140" s="6" t="n"/>
    </row>
    <row r="141">
      <c r="A141" s="7" t="n">
        <v>1</v>
      </c>
      <c r="B141" s="8">
        <f>B5</f>
        <v/>
      </c>
      <c r="C141" s="8">
        <f>C5</f>
        <v/>
      </c>
      <c r="D141" s="14" t="n"/>
      <c r="E141" s="14" t="n"/>
      <c r="F141" s="8">
        <f>D141+E141</f>
        <v/>
      </c>
      <c r="G141" s="14" t="n"/>
      <c r="H141" s="14" t="n"/>
      <c r="I141" s="8">
        <f>G141+H141</f>
        <v/>
      </c>
      <c r="J141" s="8">
        <f>D141+G141</f>
        <v/>
      </c>
      <c r="K141" s="8">
        <f>E141+H141</f>
        <v/>
      </c>
      <c r="L141" s="8">
        <f>J141+K141</f>
        <v/>
      </c>
      <c r="M141" s="9">
        <f>IF(C141=0,0,L141/C141*100)</f>
        <v/>
      </c>
    </row>
    <row r="142">
      <c r="A142" s="7" t="n">
        <v>2</v>
      </c>
      <c r="B142" s="8">
        <f>B6</f>
        <v/>
      </c>
      <c r="C142" s="8">
        <f>C6</f>
        <v/>
      </c>
      <c r="D142" s="14" t="n"/>
      <c r="E142" s="14" t="n"/>
      <c r="F142" s="8">
        <f>D142+E142</f>
        <v/>
      </c>
      <c r="G142" s="14" t="n"/>
      <c r="H142" s="14" t="n"/>
      <c r="I142" s="8">
        <f>G142+H142</f>
        <v/>
      </c>
      <c r="J142" s="8">
        <f>D142+G142</f>
        <v/>
      </c>
      <c r="K142" s="8">
        <f>E142+H142</f>
        <v/>
      </c>
      <c r="L142" s="8">
        <f>J142+K142</f>
        <v/>
      </c>
      <c r="M142" s="9">
        <f>IF(C142=0,0,L142/C142*100)</f>
        <v/>
      </c>
    </row>
    <row r="143">
      <c r="A143" s="7" t="n">
        <v>3</v>
      </c>
      <c r="B143" s="8">
        <f>B7</f>
        <v/>
      </c>
      <c r="C143" s="8">
        <f>C7</f>
        <v/>
      </c>
      <c r="D143" s="14" t="n"/>
      <c r="E143" s="14" t="n"/>
      <c r="F143" s="8">
        <f>D143+E143</f>
        <v/>
      </c>
      <c r="G143" s="14" t="n"/>
      <c r="H143" s="14" t="n"/>
      <c r="I143" s="8">
        <f>G143+H143</f>
        <v/>
      </c>
      <c r="J143" s="8">
        <f>D143+G143</f>
        <v/>
      </c>
      <c r="K143" s="8">
        <f>E143+H143</f>
        <v/>
      </c>
      <c r="L143" s="8">
        <f>J143+K143</f>
        <v/>
      </c>
      <c r="M143" s="9">
        <f>IF(C143=0,0,L143/C143*100)</f>
        <v/>
      </c>
    </row>
    <row r="144">
      <c r="A144" s="7" t="n">
        <v>4</v>
      </c>
      <c r="B144" s="8">
        <f>B8</f>
        <v/>
      </c>
      <c r="C144" s="8">
        <f>C8</f>
        <v/>
      </c>
      <c r="D144" s="14" t="n"/>
      <c r="E144" s="14" t="n"/>
      <c r="F144" s="8">
        <f>D144+E144</f>
        <v/>
      </c>
      <c r="G144" s="14" t="n"/>
      <c r="H144" s="14" t="n"/>
      <c r="I144" s="8">
        <f>G144+H144</f>
        <v/>
      </c>
      <c r="J144" s="8">
        <f>D144+G144</f>
        <v/>
      </c>
      <c r="K144" s="8">
        <f>E144+H144</f>
        <v/>
      </c>
      <c r="L144" s="8">
        <f>J144+K144</f>
        <v/>
      </c>
      <c r="M144" s="9">
        <f>IF(C144=0,0,L144/C144*100)</f>
        <v/>
      </c>
    </row>
    <row r="145">
      <c r="A145" s="7" t="n">
        <v>5</v>
      </c>
      <c r="B145" s="8">
        <f>B9</f>
        <v/>
      </c>
      <c r="C145" s="8">
        <f>C9</f>
        <v/>
      </c>
      <c r="D145" s="14" t="n"/>
      <c r="E145" s="14" t="n"/>
      <c r="F145" s="8">
        <f>D145+E145</f>
        <v/>
      </c>
      <c r="G145" s="14" t="n"/>
      <c r="H145" s="14" t="n"/>
      <c r="I145" s="8">
        <f>G145+H145</f>
        <v/>
      </c>
      <c r="J145" s="8">
        <f>D145+G145</f>
        <v/>
      </c>
      <c r="K145" s="8">
        <f>E145+H145</f>
        <v/>
      </c>
      <c r="L145" s="8">
        <f>J145+K145</f>
        <v/>
      </c>
      <c r="M145" s="9">
        <f>IF(C145=0,0,L145/C145*100)</f>
        <v/>
      </c>
    </row>
    <row r="146">
      <c r="A146" s="7" t="n">
        <v>6</v>
      </c>
      <c r="B146" s="8">
        <f>B10</f>
        <v/>
      </c>
      <c r="C146" s="8">
        <f>C10</f>
        <v/>
      </c>
      <c r="D146" s="14" t="n"/>
      <c r="E146" s="14" t="n"/>
      <c r="F146" s="8">
        <f>D146+E146</f>
        <v/>
      </c>
      <c r="G146" s="14" t="n"/>
      <c r="H146" s="14" t="n"/>
      <c r="I146" s="8">
        <f>G146+H146</f>
        <v/>
      </c>
      <c r="J146" s="8">
        <f>D146+G146</f>
        <v/>
      </c>
      <c r="K146" s="8">
        <f>E146+H146</f>
        <v/>
      </c>
      <c r="L146" s="8">
        <f>J146+K146</f>
        <v/>
      </c>
      <c r="M146" s="9">
        <f>IF(C146=0,0,L146/C146*100)</f>
        <v/>
      </c>
    </row>
    <row r="147">
      <c r="A147" s="7" t="n">
        <v>7</v>
      </c>
      <c r="B147" s="8">
        <f>B11</f>
        <v/>
      </c>
      <c r="C147" s="8">
        <f>C11</f>
        <v/>
      </c>
      <c r="D147" s="14" t="n"/>
      <c r="E147" s="14" t="n"/>
      <c r="F147" s="8">
        <f>D147+E147</f>
        <v/>
      </c>
      <c r="G147" s="14" t="n"/>
      <c r="H147" s="14" t="n"/>
      <c r="I147" s="8">
        <f>G147+H147</f>
        <v/>
      </c>
      <c r="J147" s="8">
        <f>D147+G147</f>
        <v/>
      </c>
      <c r="K147" s="8">
        <f>E147+H147</f>
        <v/>
      </c>
      <c r="L147" s="8">
        <f>J147+K147</f>
        <v/>
      </c>
      <c r="M147" s="9">
        <f>IF(C147=0,0,L147/C147*100)</f>
        <v/>
      </c>
    </row>
    <row r="148">
      <c r="A148" s="7" t="n">
        <v>8</v>
      </c>
      <c r="B148" s="8">
        <f>B12</f>
        <v/>
      </c>
      <c r="C148" s="8">
        <f>C12</f>
        <v/>
      </c>
      <c r="D148" s="14" t="n"/>
      <c r="E148" s="14" t="n"/>
      <c r="F148" s="8">
        <f>D148+E148</f>
        <v/>
      </c>
      <c r="G148" s="14" t="n"/>
      <c r="H148" s="14" t="n"/>
      <c r="I148" s="8">
        <f>G148+H148</f>
        <v/>
      </c>
      <c r="J148" s="8">
        <f>D148+G148</f>
        <v/>
      </c>
      <c r="K148" s="8">
        <f>E148+H148</f>
        <v/>
      </c>
      <c r="L148" s="8">
        <f>J148+K148</f>
        <v/>
      </c>
      <c r="M148" s="9">
        <f>IF(C148=0,0,L148/C148*100)</f>
        <v/>
      </c>
    </row>
    <row r="149">
      <c r="A149" s="7" t="n">
        <v>9</v>
      </c>
      <c r="B149" s="8">
        <f>B13</f>
        <v/>
      </c>
      <c r="C149" s="8">
        <f>C13</f>
        <v/>
      </c>
      <c r="D149" s="14" t="n"/>
      <c r="E149" s="14" t="n"/>
      <c r="F149" s="8">
        <f>D149+E149</f>
        <v/>
      </c>
      <c r="G149" s="14" t="n"/>
      <c r="H149" s="14" t="n"/>
      <c r="I149" s="8">
        <f>G149+H149</f>
        <v/>
      </c>
      <c r="J149" s="8">
        <f>D149+G149</f>
        <v/>
      </c>
      <c r="K149" s="8">
        <f>E149+H149</f>
        <v/>
      </c>
      <c r="L149" s="8">
        <f>J149+K149</f>
        <v/>
      </c>
      <c r="M149" s="9">
        <f>IF(C149=0,0,L149/C149*100)</f>
        <v/>
      </c>
    </row>
    <row r="150">
      <c r="A150" s="7" t="n">
        <v>10</v>
      </c>
      <c r="B150" s="8">
        <f>B14</f>
        <v/>
      </c>
      <c r="C150" s="8">
        <f>C14</f>
        <v/>
      </c>
      <c r="D150" s="14" t="n"/>
      <c r="E150" s="14" t="n"/>
      <c r="F150" s="8">
        <f>D150+E150</f>
        <v/>
      </c>
      <c r="G150" s="14" t="n"/>
      <c r="H150" s="14" t="n"/>
      <c r="I150" s="8">
        <f>G150+H150</f>
        <v/>
      </c>
      <c r="J150" s="8">
        <f>D150+G150</f>
        <v/>
      </c>
      <c r="K150" s="8">
        <f>E150+H150</f>
        <v/>
      </c>
      <c r="L150" s="8">
        <f>J150+K150</f>
        <v/>
      </c>
      <c r="M150" s="9">
        <f>IF(C150=0,0,L150/C150*100)</f>
        <v/>
      </c>
    </row>
    <row r="151">
      <c r="A151" s="7" t="n">
        <v>11</v>
      </c>
      <c r="B151" s="8">
        <f>B15</f>
        <v/>
      </c>
      <c r="C151" s="8">
        <f>C15</f>
        <v/>
      </c>
      <c r="D151" s="14" t="n"/>
      <c r="E151" s="14" t="n"/>
      <c r="F151" s="8">
        <f>D151+E151</f>
        <v/>
      </c>
      <c r="G151" s="14" t="n"/>
      <c r="H151" s="14" t="n"/>
      <c r="I151" s="8">
        <f>G151+H151</f>
        <v/>
      </c>
      <c r="J151" s="8">
        <f>D151+G151</f>
        <v/>
      </c>
      <c r="K151" s="8">
        <f>E151+H151</f>
        <v/>
      </c>
      <c r="L151" s="8">
        <f>J151+K151</f>
        <v/>
      </c>
      <c r="M151" s="9">
        <f>IF(C151=0,0,L151/C151*100)</f>
        <v/>
      </c>
    </row>
    <row r="152">
      <c r="A152" s="10" t="inlineStr">
        <is>
          <t>Total</t>
        </is>
      </c>
      <c r="B152" s="11">
        <f>SUM(B141:B151)</f>
        <v/>
      </c>
      <c r="C152" s="11">
        <f>SUM(C141:C151)</f>
        <v/>
      </c>
      <c r="D152" s="11">
        <f>SUM(D141:D151)</f>
        <v/>
      </c>
      <c r="E152" s="11">
        <f>SUM(E141:E151)</f>
        <v/>
      </c>
      <c r="F152" s="11">
        <f>D152+E152</f>
        <v/>
      </c>
      <c r="G152" s="11">
        <f>SUM(G141:G151)</f>
        <v/>
      </c>
      <c r="H152" s="11">
        <f>SUM(H141:H151)</f>
        <v/>
      </c>
      <c r="I152" s="11">
        <f>G152+H152</f>
        <v/>
      </c>
      <c r="J152" s="11">
        <f>D152+G152</f>
        <v/>
      </c>
      <c r="K152" s="11">
        <f>E152+H152</f>
        <v/>
      </c>
      <c r="L152" s="11">
        <f>J152+K152</f>
        <v/>
      </c>
      <c r="M152" s="12">
        <f>IF(C152=0,0,L152/C152*100)</f>
        <v/>
      </c>
    </row>
    <row r="154">
      <c r="A154" s="13" t="inlineStr">
        <is>
          <t>Day 9 - 2026-10-13 (Tue 27 Aswin 2083)</t>
        </is>
      </c>
    </row>
    <row r="155">
      <c r="A155" s="6" t="inlineStr">
        <is>
          <t>Ward no.</t>
        </is>
      </c>
      <c r="B155" s="6" t="inlineStr">
        <is>
          <t>Total population</t>
        </is>
      </c>
      <c r="C155" s="6" t="inlineStr">
        <is>
          <t>JE target population</t>
        </is>
      </c>
      <c r="D155" s="6" t="inlineStr">
        <is>
          <t>Vaccinated</t>
        </is>
      </c>
      <c r="E155" s="6" t="n"/>
      <c r="F155" s="6" t="n"/>
      <c r="G155" s="6" t="n"/>
      <c r="H155" s="6" t="n"/>
      <c r="I155" s="6" t="n"/>
      <c r="J155" s="6" t="n"/>
      <c r="K155" s="6" t="n"/>
      <c r="L155" s="6" t="n"/>
      <c r="M155" s="6" t="inlineStr">
        <is>
          <t>Progress %</t>
        </is>
      </c>
    </row>
    <row r="156">
      <c r="A156" s="6" t="n"/>
      <c r="B156" s="6" t="n"/>
      <c r="C156" s="6" t="n"/>
      <c r="D156" s="6" t="inlineStr">
        <is>
          <t>Age 30-60 yrs</t>
        </is>
      </c>
      <c r="E156" s="6" t="n"/>
      <c r="F156" s="6" t="n"/>
      <c r="G156" s="6" t="inlineStr">
        <is>
          <t>Age 60 above</t>
        </is>
      </c>
      <c r="H156" s="6" t="n"/>
      <c r="I156" s="6" t="n"/>
      <c r="J156" s="6" t="inlineStr">
        <is>
          <t>Total</t>
        </is>
      </c>
      <c r="K156" s="6" t="n"/>
      <c r="L156" s="6" t="inlineStr">
        <is>
          <t>Grand Total</t>
        </is>
      </c>
      <c r="M156" s="6" t="n"/>
    </row>
    <row r="157">
      <c r="A157" s="6" t="n"/>
      <c r="B157" s="6" t="n"/>
      <c r="C157" s="6" t="n"/>
      <c r="D157" s="6" t="inlineStr">
        <is>
          <t>F</t>
        </is>
      </c>
      <c r="E157" s="6" t="inlineStr">
        <is>
          <t>M</t>
        </is>
      </c>
      <c r="F157" s="6" t="inlineStr">
        <is>
          <t>Total</t>
        </is>
      </c>
      <c r="G157" s="6" t="inlineStr">
        <is>
          <t>F</t>
        </is>
      </c>
      <c r="H157" s="6" t="inlineStr">
        <is>
          <t>M</t>
        </is>
      </c>
      <c r="I157" s="6" t="inlineStr">
        <is>
          <t>Total</t>
        </is>
      </c>
      <c r="J157" s="6" t="inlineStr">
        <is>
          <t>F</t>
        </is>
      </c>
      <c r="K157" s="6" t="inlineStr">
        <is>
          <t>M</t>
        </is>
      </c>
      <c r="L157" s="6" t="n"/>
      <c r="M157" s="6" t="n"/>
    </row>
    <row r="158">
      <c r="A158" s="7" t="n">
        <v>1</v>
      </c>
      <c r="B158" s="8">
        <f>B5</f>
        <v/>
      </c>
      <c r="C158" s="8">
        <f>C5</f>
        <v/>
      </c>
      <c r="D158" s="14" t="n"/>
      <c r="E158" s="14" t="n"/>
      <c r="F158" s="8">
        <f>D158+E158</f>
        <v/>
      </c>
      <c r="G158" s="14" t="n"/>
      <c r="H158" s="14" t="n"/>
      <c r="I158" s="8">
        <f>G158+H158</f>
        <v/>
      </c>
      <c r="J158" s="8">
        <f>D158+G158</f>
        <v/>
      </c>
      <c r="K158" s="8">
        <f>E158+H158</f>
        <v/>
      </c>
      <c r="L158" s="8">
        <f>J158+K158</f>
        <v/>
      </c>
      <c r="M158" s="9">
        <f>IF(C158=0,0,L158/C158*100)</f>
        <v/>
      </c>
    </row>
    <row r="159">
      <c r="A159" s="7" t="n">
        <v>2</v>
      </c>
      <c r="B159" s="8">
        <f>B6</f>
        <v/>
      </c>
      <c r="C159" s="8">
        <f>C6</f>
        <v/>
      </c>
      <c r="D159" s="14" t="n"/>
      <c r="E159" s="14" t="n"/>
      <c r="F159" s="8">
        <f>D159+E159</f>
        <v/>
      </c>
      <c r="G159" s="14" t="n"/>
      <c r="H159" s="14" t="n"/>
      <c r="I159" s="8">
        <f>G159+H159</f>
        <v/>
      </c>
      <c r="J159" s="8">
        <f>D159+G159</f>
        <v/>
      </c>
      <c r="K159" s="8">
        <f>E159+H159</f>
        <v/>
      </c>
      <c r="L159" s="8">
        <f>J159+K159</f>
        <v/>
      </c>
      <c r="M159" s="9">
        <f>IF(C159=0,0,L159/C159*100)</f>
        <v/>
      </c>
    </row>
    <row r="160">
      <c r="A160" s="7" t="n">
        <v>3</v>
      </c>
      <c r="B160" s="8">
        <f>B7</f>
        <v/>
      </c>
      <c r="C160" s="8">
        <f>C7</f>
        <v/>
      </c>
      <c r="D160" s="14" t="n"/>
      <c r="E160" s="14" t="n"/>
      <c r="F160" s="8">
        <f>D160+E160</f>
        <v/>
      </c>
      <c r="G160" s="14" t="n"/>
      <c r="H160" s="14" t="n"/>
      <c r="I160" s="8">
        <f>G160+H160</f>
        <v/>
      </c>
      <c r="J160" s="8">
        <f>D160+G160</f>
        <v/>
      </c>
      <c r="K160" s="8">
        <f>E160+H160</f>
        <v/>
      </c>
      <c r="L160" s="8">
        <f>J160+K160</f>
        <v/>
      </c>
      <c r="M160" s="9">
        <f>IF(C160=0,0,L160/C160*100)</f>
        <v/>
      </c>
    </row>
    <row r="161">
      <c r="A161" s="7" t="n">
        <v>4</v>
      </c>
      <c r="B161" s="8">
        <f>B8</f>
        <v/>
      </c>
      <c r="C161" s="8">
        <f>C8</f>
        <v/>
      </c>
      <c r="D161" s="14" t="n"/>
      <c r="E161" s="14" t="n"/>
      <c r="F161" s="8">
        <f>D161+E161</f>
        <v/>
      </c>
      <c r="G161" s="14" t="n"/>
      <c r="H161" s="14" t="n"/>
      <c r="I161" s="8">
        <f>G161+H161</f>
        <v/>
      </c>
      <c r="J161" s="8">
        <f>D161+G161</f>
        <v/>
      </c>
      <c r="K161" s="8">
        <f>E161+H161</f>
        <v/>
      </c>
      <c r="L161" s="8">
        <f>J161+K161</f>
        <v/>
      </c>
      <c r="M161" s="9">
        <f>IF(C161=0,0,L161/C161*100)</f>
        <v/>
      </c>
    </row>
    <row r="162">
      <c r="A162" s="7" t="n">
        <v>5</v>
      </c>
      <c r="B162" s="8">
        <f>B9</f>
        <v/>
      </c>
      <c r="C162" s="8">
        <f>C9</f>
        <v/>
      </c>
      <c r="D162" s="14" t="n"/>
      <c r="E162" s="14" t="n"/>
      <c r="F162" s="8">
        <f>D162+E162</f>
        <v/>
      </c>
      <c r="G162" s="14" t="n"/>
      <c r="H162" s="14" t="n"/>
      <c r="I162" s="8">
        <f>G162+H162</f>
        <v/>
      </c>
      <c r="J162" s="8">
        <f>D162+G162</f>
        <v/>
      </c>
      <c r="K162" s="8">
        <f>E162+H162</f>
        <v/>
      </c>
      <c r="L162" s="8">
        <f>J162+K162</f>
        <v/>
      </c>
      <c r="M162" s="9">
        <f>IF(C162=0,0,L162/C162*100)</f>
        <v/>
      </c>
    </row>
    <row r="163">
      <c r="A163" s="7" t="n">
        <v>6</v>
      </c>
      <c r="B163" s="8">
        <f>B10</f>
        <v/>
      </c>
      <c r="C163" s="8">
        <f>C10</f>
        <v/>
      </c>
      <c r="D163" s="14" t="n"/>
      <c r="E163" s="14" t="n"/>
      <c r="F163" s="8">
        <f>D163+E163</f>
        <v/>
      </c>
      <c r="G163" s="14" t="n"/>
      <c r="H163" s="14" t="n"/>
      <c r="I163" s="8">
        <f>G163+H163</f>
        <v/>
      </c>
      <c r="J163" s="8">
        <f>D163+G163</f>
        <v/>
      </c>
      <c r="K163" s="8">
        <f>E163+H163</f>
        <v/>
      </c>
      <c r="L163" s="8">
        <f>J163+K163</f>
        <v/>
      </c>
      <c r="M163" s="9">
        <f>IF(C163=0,0,L163/C163*100)</f>
        <v/>
      </c>
    </row>
    <row r="164">
      <c r="A164" s="7" t="n">
        <v>7</v>
      </c>
      <c r="B164" s="8">
        <f>B11</f>
        <v/>
      </c>
      <c r="C164" s="8">
        <f>C11</f>
        <v/>
      </c>
      <c r="D164" s="14" t="n"/>
      <c r="E164" s="14" t="n"/>
      <c r="F164" s="8">
        <f>D164+E164</f>
        <v/>
      </c>
      <c r="G164" s="14" t="n"/>
      <c r="H164" s="14" t="n"/>
      <c r="I164" s="8">
        <f>G164+H164</f>
        <v/>
      </c>
      <c r="J164" s="8">
        <f>D164+G164</f>
        <v/>
      </c>
      <c r="K164" s="8">
        <f>E164+H164</f>
        <v/>
      </c>
      <c r="L164" s="8">
        <f>J164+K164</f>
        <v/>
      </c>
      <c r="M164" s="9">
        <f>IF(C164=0,0,L164/C164*100)</f>
        <v/>
      </c>
    </row>
    <row r="165">
      <c r="A165" s="7" t="n">
        <v>8</v>
      </c>
      <c r="B165" s="8">
        <f>B12</f>
        <v/>
      </c>
      <c r="C165" s="8">
        <f>C12</f>
        <v/>
      </c>
      <c r="D165" s="14" t="n"/>
      <c r="E165" s="14" t="n"/>
      <c r="F165" s="8">
        <f>D165+E165</f>
        <v/>
      </c>
      <c r="G165" s="14" t="n"/>
      <c r="H165" s="14" t="n"/>
      <c r="I165" s="8">
        <f>G165+H165</f>
        <v/>
      </c>
      <c r="J165" s="8">
        <f>D165+G165</f>
        <v/>
      </c>
      <c r="K165" s="8">
        <f>E165+H165</f>
        <v/>
      </c>
      <c r="L165" s="8">
        <f>J165+K165</f>
        <v/>
      </c>
      <c r="M165" s="9">
        <f>IF(C165=0,0,L165/C165*100)</f>
        <v/>
      </c>
    </row>
    <row r="166">
      <c r="A166" s="7" t="n">
        <v>9</v>
      </c>
      <c r="B166" s="8">
        <f>B13</f>
        <v/>
      </c>
      <c r="C166" s="8">
        <f>C13</f>
        <v/>
      </c>
      <c r="D166" s="14" t="n"/>
      <c r="E166" s="14" t="n"/>
      <c r="F166" s="8">
        <f>D166+E166</f>
        <v/>
      </c>
      <c r="G166" s="14" t="n"/>
      <c r="H166" s="14" t="n"/>
      <c r="I166" s="8">
        <f>G166+H166</f>
        <v/>
      </c>
      <c r="J166" s="8">
        <f>D166+G166</f>
        <v/>
      </c>
      <c r="K166" s="8">
        <f>E166+H166</f>
        <v/>
      </c>
      <c r="L166" s="8">
        <f>J166+K166</f>
        <v/>
      </c>
      <c r="M166" s="9">
        <f>IF(C166=0,0,L166/C166*100)</f>
        <v/>
      </c>
    </row>
    <row r="167">
      <c r="A167" s="7" t="n">
        <v>10</v>
      </c>
      <c r="B167" s="8">
        <f>B14</f>
        <v/>
      </c>
      <c r="C167" s="8">
        <f>C14</f>
        <v/>
      </c>
      <c r="D167" s="14" t="n"/>
      <c r="E167" s="14" t="n"/>
      <c r="F167" s="8">
        <f>D167+E167</f>
        <v/>
      </c>
      <c r="G167" s="14" t="n"/>
      <c r="H167" s="14" t="n"/>
      <c r="I167" s="8">
        <f>G167+H167</f>
        <v/>
      </c>
      <c r="J167" s="8">
        <f>D167+G167</f>
        <v/>
      </c>
      <c r="K167" s="8">
        <f>E167+H167</f>
        <v/>
      </c>
      <c r="L167" s="8">
        <f>J167+K167</f>
        <v/>
      </c>
      <c r="M167" s="9">
        <f>IF(C167=0,0,L167/C167*100)</f>
        <v/>
      </c>
    </row>
    <row r="168">
      <c r="A168" s="7" t="n">
        <v>11</v>
      </c>
      <c r="B168" s="8">
        <f>B15</f>
        <v/>
      </c>
      <c r="C168" s="8">
        <f>C15</f>
        <v/>
      </c>
      <c r="D168" s="14" t="n"/>
      <c r="E168" s="14" t="n"/>
      <c r="F168" s="8">
        <f>D168+E168</f>
        <v/>
      </c>
      <c r="G168" s="14" t="n"/>
      <c r="H168" s="14" t="n"/>
      <c r="I168" s="8">
        <f>G168+H168</f>
        <v/>
      </c>
      <c r="J168" s="8">
        <f>D168+G168</f>
        <v/>
      </c>
      <c r="K168" s="8">
        <f>E168+H168</f>
        <v/>
      </c>
      <c r="L168" s="8">
        <f>J168+K168</f>
        <v/>
      </c>
      <c r="M168" s="9">
        <f>IF(C168=0,0,L168/C168*100)</f>
        <v/>
      </c>
    </row>
    <row r="169">
      <c r="A169" s="10" t="inlineStr">
        <is>
          <t>Total</t>
        </is>
      </c>
      <c r="B169" s="11">
        <f>SUM(B158:B168)</f>
        <v/>
      </c>
      <c r="C169" s="11">
        <f>SUM(C158:C168)</f>
        <v/>
      </c>
      <c r="D169" s="11">
        <f>SUM(D158:D168)</f>
        <v/>
      </c>
      <c r="E169" s="11">
        <f>SUM(E158:E168)</f>
        <v/>
      </c>
      <c r="F169" s="11">
        <f>D169+E169</f>
        <v/>
      </c>
      <c r="G169" s="11">
        <f>SUM(G158:G168)</f>
        <v/>
      </c>
      <c r="H169" s="11">
        <f>SUM(H158:H168)</f>
        <v/>
      </c>
      <c r="I169" s="11">
        <f>G169+H169</f>
        <v/>
      </c>
      <c r="J169" s="11">
        <f>D169+G169</f>
        <v/>
      </c>
      <c r="K169" s="11">
        <f>E169+H169</f>
        <v/>
      </c>
      <c r="L169" s="11">
        <f>J169+K169</f>
        <v/>
      </c>
      <c r="M169" s="12">
        <f>IF(C169=0,0,L169/C169*100)</f>
        <v/>
      </c>
    </row>
    <row r="171">
      <c r="A171" s="13" t="inlineStr">
        <is>
          <t>Day 10 - 2026-10-14 (Wed 28 Aswin 2083)</t>
        </is>
      </c>
    </row>
    <row r="172">
      <c r="A172" s="6" t="inlineStr">
        <is>
          <t>Ward no.</t>
        </is>
      </c>
      <c r="B172" s="6" t="inlineStr">
        <is>
          <t>Total population</t>
        </is>
      </c>
      <c r="C172" s="6" t="inlineStr">
        <is>
          <t>JE target population</t>
        </is>
      </c>
      <c r="D172" s="6" t="inlineStr">
        <is>
          <t>Vaccinated</t>
        </is>
      </c>
      <c r="E172" s="6" t="n"/>
      <c r="F172" s="6" t="n"/>
      <c r="G172" s="6" t="n"/>
      <c r="H172" s="6" t="n"/>
      <c r="I172" s="6" t="n"/>
      <c r="J172" s="6" t="n"/>
      <c r="K172" s="6" t="n"/>
      <c r="L172" s="6" t="n"/>
      <c r="M172" s="6" t="inlineStr">
        <is>
          <t>Progress %</t>
        </is>
      </c>
    </row>
    <row r="173">
      <c r="A173" s="6" t="n"/>
      <c r="B173" s="6" t="n"/>
      <c r="C173" s="6" t="n"/>
      <c r="D173" s="6" t="inlineStr">
        <is>
          <t>Age 30-60 yrs</t>
        </is>
      </c>
      <c r="E173" s="6" t="n"/>
      <c r="F173" s="6" t="n"/>
      <c r="G173" s="6" t="inlineStr">
        <is>
          <t>Age 60 above</t>
        </is>
      </c>
      <c r="H173" s="6" t="n"/>
      <c r="I173" s="6" t="n"/>
      <c r="J173" s="6" t="inlineStr">
        <is>
          <t>Total</t>
        </is>
      </c>
      <c r="K173" s="6" t="n"/>
      <c r="L173" s="6" t="inlineStr">
        <is>
          <t>Grand Total</t>
        </is>
      </c>
      <c r="M173" s="6" t="n"/>
    </row>
    <row r="174">
      <c r="A174" s="6" t="n"/>
      <c r="B174" s="6" t="n"/>
      <c r="C174" s="6" t="n"/>
      <c r="D174" s="6" t="inlineStr">
        <is>
          <t>F</t>
        </is>
      </c>
      <c r="E174" s="6" t="inlineStr">
        <is>
          <t>M</t>
        </is>
      </c>
      <c r="F174" s="6" t="inlineStr">
        <is>
          <t>Total</t>
        </is>
      </c>
      <c r="G174" s="6" t="inlineStr">
        <is>
          <t>F</t>
        </is>
      </c>
      <c r="H174" s="6" t="inlineStr">
        <is>
          <t>M</t>
        </is>
      </c>
      <c r="I174" s="6" t="inlineStr">
        <is>
          <t>Total</t>
        </is>
      </c>
      <c r="J174" s="6" t="inlineStr">
        <is>
          <t>F</t>
        </is>
      </c>
      <c r="K174" s="6" t="inlineStr">
        <is>
          <t>M</t>
        </is>
      </c>
      <c r="L174" s="6" t="n"/>
      <c r="M174" s="6" t="n"/>
    </row>
    <row r="175">
      <c r="A175" s="7" t="n">
        <v>1</v>
      </c>
      <c r="B175" s="8">
        <f>B5</f>
        <v/>
      </c>
      <c r="C175" s="8">
        <f>C5</f>
        <v/>
      </c>
      <c r="D175" s="14" t="n"/>
      <c r="E175" s="14" t="n"/>
      <c r="F175" s="8">
        <f>D175+E175</f>
        <v/>
      </c>
      <c r="G175" s="14" t="n"/>
      <c r="H175" s="14" t="n"/>
      <c r="I175" s="8">
        <f>G175+H175</f>
        <v/>
      </c>
      <c r="J175" s="8">
        <f>D175+G175</f>
        <v/>
      </c>
      <c r="K175" s="8">
        <f>E175+H175</f>
        <v/>
      </c>
      <c r="L175" s="8">
        <f>J175+K175</f>
        <v/>
      </c>
      <c r="M175" s="9">
        <f>IF(C175=0,0,L175/C175*100)</f>
        <v/>
      </c>
    </row>
    <row r="176">
      <c r="A176" s="7" t="n">
        <v>2</v>
      </c>
      <c r="B176" s="8">
        <f>B6</f>
        <v/>
      </c>
      <c r="C176" s="8">
        <f>C6</f>
        <v/>
      </c>
      <c r="D176" s="14" t="n"/>
      <c r="E176" s="14" t="n"/>
      <c r="F176" s="8">
        <f>D176+E176</f>
        <v/>
      </c>
      <c r="G176" s="14" t="n"/>
      <c r="H176" s="14" t="n"/>
      <c r="I176" s="8">
        <f>G176+H176</f>
        <v/>
      </c>
      <c r="J176" s="8">
        <f>D176+G176</f>
        <v/>
      </c>
      <c r="K176" s="8">
        <f>E176+H176</f>
        <v/>
      </c>
      <c r="L176" s="8">
        <f>J176+K176</f>
        <v/>
      </c>
      <c r="M176" s="9">
        <f>IF(C176=0,0,L176/C176*100)</f>
        <v/>
      </c>
    </row>
    <row r="177">
      <c r="A177" s="7" t="n">
        <v>3</v>
      </c>
      <c r="B177" s="8">
        <f>B7</f>
        <v/>
      </c>
      <c r="C177" s="8">
        <f>C7</f>
        <v/>
      </c>
      <c r="D177" s="14" t="n"/>
      <c r="E177" s="14" t="n"/>
      <c r="F177" s="8">
        <f>D177+E177</f>
        <v/>
      </c>
      <c r="G177" s="14" t="n"/>
      <c r="H177" s="14" t="n"/>
      <c r="I177" s="8">
        <f>G177+H177</f>
        <v/>
      </c>
      <c r="J177" s="8">
        <f>D177+G177</f>
        <v/>
      </c>
      <c r="K177" s="8">
        <f>E177+H177</f>
        <v/>
      </c>
      <c r="L177" s="8">
        <f>J177+K177</f>
        <v/>
      </c>
      <c r="M177" s="9">
        <f>IF(C177=0,0,L177/C177*100)</f>
        <v/>
      </c>
    </row>
    <row r="178">
      <c r="A178" s="7" t="n">
        <v>4</v>
      </c>
      <c r="B178" s="8">
        <f>B8</f>
        <v/>
      </c>
      <c r="C178" s="8">
        <f>C8</f>
        <v/>
      </c>
      <c r="D178" s="14" t="n"/>
      <c r="E178" s="14" t="n"/>
      <c r="F178" s="8">
        <f>D178+E178</f>
        <v/>
      </c>
      <c r="G178" s="14" t="n"/>
      <c r="H178" s="14" t="n"/>
      <c r="I178" s="8">
        <f>G178+H178</f>
        <v/>
      </c>
      <c r="J178" s="8">
        <f>D178+G178</f>
        <v/>
      </c>
      <c r="K178" s="8">
        <f>E178+H178</f>
        <v/>
      </c>
      <c r="L178" s="8">
        <f>J178+K178</f>
        <v/>
      </c>
      <c r="M178" s="9">
        <f>IF(C178=0,0,L178/C178*100)</f>
        <v/>
      </c>
    </row>
    <row r="179">
      <c r="A179" s="7" t="n">
        <v>5</v>
      </c>
      <c r="B179" s="8">
        <f>B9</f>
        <v/>
      </c>
      <c r="C179" s="8">
        <f>C9</f>
        <v/>
      </c>
      <c r="D179" s="14" t="n"/>
      <c r="E179" s="14" t="n"/>
      <c r="F179" s="8">
        <f>D179+E179</f>
        <v/>
      </c>
      <c r="G179" s="14" t="n"/>
      <c r="H179" s="14" t="n"/>
      <c r="I179" s="8">
        <f>G179+H179</f>
        <v/>
      </c>
      <c r="J179" s="8">
        <f>D179+G179</f>
        <v/>
      </c>
      <c r="K179" s="8">
        <f>E179+H179</f>
        <v/>
      </c>
      <c r="L179" s="8">
        <f>J179+K179</f>
        <v/>
      </c>
      <c r="M179" s="9">
        <f>IF(C179=0,0,L179/C179*100)</f>
        <v/>
      </c>
    </row>
    <row r="180">
      <c r="A180" s="7" t="n">
        <v>6</v>
      </c>
      <c r="B180" s="8">
        <f>B10</f>
        <v/>
      </c>
      <c r="C180" s="8">
        <f>C10</f>
        <v/>
      </c>
      <c r="D180" s="14" t="n"/>
      <c r="E180" s="14" t="n"/>
      <c r="F180" s="8">
        <f>D180+E180</f>
        <v/>
      </c>
      <c r="G180" s="14" t="n"/>
      <c r="H180" s="14" t="n"/>
      <c r="I180" s="8">
        <f>G180+H180</f>
        <v/>
      </c>
      <c r="J180" s="8">
        <f>D180+G180</f>
        <v/>
      </c>
      <c r="K180" s="8">
        <f>E180+H180</f>
        <v/>
      </c>
      <c r="L180" s="8">
        <f>J180+K180</f>
        <v/>
      </c>
      <c r="M180" s="9">
        <f>IF(C180=0,0,L180/C180*100)</f>
        <v/>
      </c>
    </row>
    <row r="181">
      <c r="A181" s="7" t="n">
        <v>7</v>
      </c>
      <c r="B181" s="8">
        <f>B11</f>
        <v/>
      </c>
      <c r="C181" s="8">
        <f>C11</f>
        <v/>
      </c>
      <c r="D181" s="14" t="n"/>
      <c r="E181" s="14" t="n"/>
      <c r="F181" s="8">
        <f>D181+E181</f>
        <v/>
      </c>
      <c r="G181" s="14" t="n"/>
      <c r="H181" s="14" t="n"/>
      <c r="I181" s="8">
        <f>G181+H181</f>
        <v/>
      </c>
      <c r="J181" s="8">
        <f>D181+G181</f>
        <v/>
      </c>
      <c r="K181" s="8">
        <f>E181+H181</f>
        <v/>
      </c>
      <c r="L181" s="8">
        <f>J181+K181</f>
        <v/>
      </c>
      <c r="M181" s="9">
        <f>IF(C181=0,0,L181/C181*100)</f>
        <v/>
      </c>
    </row>
    <row r="182">
      <c r="A182" s="7" t="n">
        <v>8</v>
      </c>
      <c r="B182" s="8">
        <f>B12</f>
        <v/>
      </c>
      <c r="C182" s="8">
        <f>C12</f>
        <v/>
      </c>
      <c r="D182" s="14" t="n"/>
      <c r="E182" s="14" t="n"/>
      <c r="F182" s="8">
        <f>D182+E182</f>
        <v/>
      </c>
      <c r="G182" s="14" t="n"/>
      <c r="H182" s="14" t="n"/>
      <c r="I182" s="8">
        <f>G182+H182</f>
        <v/>
      </c>
      <c r="J182" s="8">
        <f>D182+G182</f>
        <v/>
      </c>
      <c r="K182" s="8">
        <f>E182+H182</f>
        <v/>
      </c>
      <c r="L182" s="8">
        <f>J182+K182</f>
        <v/>
      </c>
      <c r="M182" s="9">
        <f>IF(C182=0,0,L182/C182*100)</f>
        <v/>
      </c>
    </row>
    <row r="183">
      <c r="A183" s="7" t="n">
        <v>9</v>
      </c>
      <c r="B183" s="8">
        <f>B13</f>
        <v/>
      </c>
      <c r="C183" s="8">
        <f>C13</f>
        <v/>
      </c>
      <c r="D183" s="14" t="n"/>
      <c r="E183" s="14" t="n"/>
      <c r="F183" s="8">
        <f>D183+E183</f>
        <v/>
      </c>
      <c r="G183" s="14" t="n"/>
      <c r="H183" s="14" t="n"/>
      <c r="I183" s="8">
        <f>G183+H183</f>
        <v/>
      </c>
      <c r="J183" s="8">
        <f>D183+G183</f>
        <v/>
      </c>
      <c r="K183" s="8">
        <f>E183+H183</f>
        <v/>
      </c>
      <c r="L183" s="8">
        <f>J183+K183</f>
        <v/>
      </c>
      <c r="M183" s="9">
        <f>IF(C183=0,0,L183/C183*100)</f>
        <v/>
      </c>
    </row>
    <row r="184">
      <c r="A184" s="7" t="n">
        <v>10</v>
      </c>
      <c r="B184" s="8">
        <f>B14</f>
        <v/>
      </c>
      <c r="C184" s="8">
        <f>C14</f>
        <v/>
      </c>
      <c r="D184" s="14" t="n"/>
      <c r="E184" s="14" t="n"/>
      <c r="F184" s="8">
        <f>D184+E184</f>
        <v/>
      </c>
      <c r="G184" s="14" t="n"/>
      <c r="H184" s="14" t="n"/>
      <c r="I184" s="8">
        <f>G184+H184</f>
        <v/>
      </c>
      <c r="J184" s="8">
        <f>D184+G184</f>
        <v/>
      </c>
      <c r="K184" s="8">
        <f>E184+H184</f>
        <v/>
      </c>
      <c r="L184" s="8">
        <f>J184+K184</f>
        <v/>
      </c>
      <c r="M184" s="9">
        <f>IF(C184=0,0,L184/C184*100)</f>
        <v/>
      </c>
    </row>
    <row r="185">
      <c r="A185" s="7" t="n">
        <v>11</v>
      </c>
      <c r="B185" s="8">
        <f>B15</f>
        <v/>
      </c>
      <c r="C185" s="8">
        <f>C15</f>
        <v/>
      </c>
      <c r="D185" s="14" t="n"/>
      <c r="E185" s="14" t="n"/>
      <c r="F185" s="8">
        <f>D185+E185</f>
        <v/>
      </c>
      <c r="G185" s="14" t="n"/>
      <c r="H185" s="14" t="n"/>
      <c r="I185" s="8">
        <f>G185+H185</f>
        <v/>
      </c>
      <c r="J185" s="8">
        <f>D185+G185</f>
        <v/>
      </c>
      <c r="K185" s="8">
        <f>E185+H185</f>
        <v/>
      </c>
      <c r="L185" s="8">
        <f>J185+K185</f>
        <v/>
      </c>
      <c r="M185" s="9">
        <f>IF(C185=0,0,L185/C185*100)</f>
        <v/>
      </c>
    </row>
    <row r="186">
      <c r="A186" s="10" t="inlineStr">
        <is>
          <t>Total</t>
        </is>
      </c>
      <c r="B186" s="11">
        <f>SUM(B175:B185)</f>
        <v/>
      </c>
      <c r="C186" s="11">
        <f>SUM(C175:C185)</f>
        <v/>
      </c>
      <c r="D186" s="11">
        <f>SUM(D175:D185)</f>
        <v/>
      </c>
      <c r="E186" s="11">
        <f>SUM(E175:E185)</f>
        <v/>
      </c>
      <c r="F186" s="11">
        <f>D186+E186</f>
        <v/>
      </c>
      <c r="G186" s="11">
        <f>SUM(G175:G185)</f>
        <v/>
      </c>
      <c r="H186" s="11">
        <f>SUM(H175:H185)</f>
        <v/>
      </c>
      <c r="I186" s="11">
        <f>G186+H186</f>
        <v/>
      </c>
      <c r="J186" s="11">
        <f>D186+G186</f>
        <v/>
      </c>
      <c r="K186" s="11">
        <f>E186+H186</f>
        <v/>
      </c>
      <c r="L186" s="11">
        <f>J186+K186</f>
        <v/>
      </c>
      <c r="M186" s="12">
        <f>IF(C186=0,0,L186/C186*100)</f>
        <v/>
      </c>
    </row>
    <row r="188">
      <c r="A188" s="13" t="inlineStr">
        <is>
          <t>Day 11 - 2026-10-15 (Thu 29 Aswin 2083)</t>
        </is>
      </c>
    </row>
    <row r="189">
      <c r="A189" s="6" t="inlineStr">
        <is>
          <t>Ward no.</t>
        </is>
      </c>
      <c r="B189" s="6" t="inlineStr">
        <is>
          <t>Total population</t>
        </is>
      </c>
      <c r="C189" s="6" t="inlineStr">
        <is>
          <t>JE target population</t>
        </is>
      </c>
      <c r="D189" s="6" t="inlineStr">
        <is>
          <t>Vaccinated</t>
        </is>
      </c>
      <c r="E189" s="6" t="n"/>
      <c r="F189" s="6" t="n"/>
      <c r="G189" s="6" t="n"/>
      <c r="H189" s="6" t="n"/>
      <c r="I189" s="6" t="n"/>
      <c r="J189" s="6" t="n"/>
      <c r="K189" s="6" t="n"/>
      <c r="L189" s="6" t="n"/>
      <c r="M189" s="6" t="inlineStr">
        <is>
          <t>Progress %</t>
        </is>
      </c>
    </row>
    <row r="190">
      <c r="A190" s="6" t="n"/>
      <c r="B190" s="6" t="n"/>
      <c r="C190" s="6" t="n"/>
      <c r="D190" s="6" t="inlineStr">
        <is>
          <t>Age 30-60 yrs</t>
        </is>
      </c>
      <c r="E190" s="6" t="n"/>
      <c r="F190" s="6" t="n"/>
      <c r="G190" s="6" t="inlineStr">
        <is>
          <t>Age 60 above</t>
        </is>
      </c>
      <c r="H190" s="6" t="n"/>
      <c r="I190" s="6" t="n"/>
      <c r="J190" s="6" t="inlineStr">
        <is>
          <t>Total</t>
        </is>
      </c>
      <c r="K190" s="6" t="n"/>
      <c r="L190" s="6" t="inlineStr">
        <is>
          <t>Grand Total</t>
        </is>
      </c>
      <c r="M190" s="6" t="n"/>
    </row>
    <row r="191">
      <c r="A191" s="6" t="n"/>
      <c r="B191" s="6" t="n"/>
      <c r="C191" s="6" t="n"/>
      <c r="D191" s="6" t="inlineStr">
        <is>
          <t>F</t>
        </is>
      </c>
      <c r="E191" s="6" t="inlineStr">
        <is>
          <t>M</t>
        </is>
      </c>
      <c r="F191" s="6" t="inlineStr">
        <is>
          <t>Total</t>
        </is>
      </c>
      <c r="G191" s="6" t="inlineStr">
        <is>
          <t>F</t>
        </is>
      </c>
      <c r="H191" s="6" t="inlineStr">
        <is>
          <t>M</t>
        </is>
      </c>
      <c r="I191" s="6" t="inlineStr">
        <is>
          <t>Total</t>
        </is>
      </c>
      <c r="J191" s="6" t="inlineStr">
        <is>
          <t>F</t>
        </is>
      </c>
      <c r="K191" s="6" t="inlineStr">
        <is>
          <t>M</t>
        </is>
      </c>
      <c r="L191" s="6" t="n"/>
      <c r="M191" s="6" t="n"/>
    </row>
    <row r="192">
      <c r="A192" s="7" t="n">
        <v>1</v>
      </c>
      <c r="B192" s="8">
        <f>B5</f>
        <v/>
      </c>
      <c r="C192" s="8">
        <f>C5</f>
        <v/>
      </c>
      <c r="D192" s="14" t="n"/>
      <c r="E192" s="14" t="n"/>
      <c r="F192" s="8">
        <f>D192+E192</f>
        <v/>
      </c>
      <c r="G192" s="14" t="n"/>
      <c r="H192" s="14" t="n"/>
      <c r="I192" s="8">
        <f>G192+H192</f>
        <v/>
      </c>
      <c r="J192" s="8">
        <f>D192+G192</f>
        <v/>
      </c>
      <c r="K192" s="8">
        <f>E192+H192</f>
        <v/>
      </c>
      <c r="L192" s="8">
        <f>J192+K192</f>
        <v/>
      </c>
      <c r="M192" s="9">
        <f>IF(C192=0,0,L192/C192*100)</f>
        <v/>
      </c>
    </row>
    <row r="193">
      <c r="A193" s="7" t="n">
        <v>2</v>
      </c>
      <c r="B193" s="8">
        <f>B6</f>
        <v/>
      </c>
      <c r="C193" s="8">
        <f>C6</f>
        <v/>
      </c>
      <c r="D193" s="14" t="n"/>
      <c r="E193" s="14" t="n"/>
      <c r="F193" s="8">
        <f>D193+E193</f>
        <v/>
      </c>
      <c r="G193" s="14" t="n"/>
      <c r="H193" s="14" t="n"/>
      <c r="I193" s="8">
        <f>G193+H193</f>
        <v/>
      </c>
      <c r="J193" s="8">
        <f>D193+G193</f>
        <v/>
      </c>
      <c r="K193" s="8">
        <f>E193+H193</f>
        <v/>
      </c>
      <c r="L193" s="8">
        <f>J193+K193</f>
        <v/>
      </c>
      <c r="M193" s="9">
        <f>IF(C193=0,0,L193/C193*100)</f>
        <v/>
      </c>
    </row>
    <row r="194">
      <c r="A194" s="7" t="n">
        <v>3</v>
      </c>
      <c r="B194" s="8">
        <f>B7</f>
        <v/>
      </c>
      <c r="C194" s="8">
        <f>C7</f>
        <v/>
      </c>
      <c r="D194" s="14" t="n"/>
      <c r="E194" s="14" t="n"/>
      <c r="F194" s="8">
        <f>D194+E194</f>
        <v/>
      </c>
      <c r="G194" s="14" t="n"/>
      <c r="H194" s="14" t="n"/>
      <c r="I194" s="8">
        <f>G194+H194</f>
        <v/>
      </c>
      <c r="J194" s="8">
        <f>D194+G194</f>
        <v/>
      </c>
      <c r="K194" s="8">
        <f>E194+H194</f>
        <v/>
      </c>
      <c r="L194" s="8">
        <f>J194+K194</f>
        <v/>
      </c>
      <c r="M194" s="9">
        <f>IF(C194=0,0,L194/C194*100)</f>
        <v/>
      </c>
    </row>
    <row r="195">
      <c r="A195" s="7" t="n">
        <v>4</v>
      </c>
      <c r="B195" s="8">
        <f>B8</f>
        <v/>
      </c>
      <c r="C195" s="8">
        <f>C8</f>
        <v/>
      </c>
      <c r="D195" s="14" t="n"/>
      <c r="E195" s="14" t="n"/>
      <c r="F195" s="8">
        <f>D195+E195</f>
        <v/>
      </c>
      <c r="G195" s="14" t="n"/>
      <c r="H195" s="14" t="n"/>
      <c r="I195" s="8">
        <f>G195+H195</f>
        <v/>
      </c>
      <c r="J195" s="8">
        <f>D195+G195</f>
        <v/>
      </c>
      <c r="K195" s="8">
        <f>E195+H195</f>
        <v/>
      </c>
      <c r="L195" s="8">
        <f>J195+K195</f>
        <v/>
      </c>
      <c r="M195" s="9">
        <f>IF(C195=0,0,L195/C195*100)</f>
        <v/>
      </c>
    </row>
    <row r="196">
      <c r="A196" s="7" t="n">
        <v>5</v>
      </c>
      <c r="B196" s="8">
        <f>B9</f>
        <v/>
      </c>
      <c r="C196" s="8">
        <f>C9</f>
        <v/>
      </c>
      <c r="D196" s="14" t="n"/>
      <c r="E196" s="14" t="n"/>
      <c r="F196" s="8">
        <f>D196+E196</f>
        <v/>
      </c>
      <c r="G196" s="14" t="n"/>
      <c r="H196" s="14" t="n"/>
      <c r="I196" s="8">
        <f>G196+H196</f>
        <v/>
      </c>
      <c r="J196" s="8">
        <f>D196+G196</f>
        <v/>
      </c>
      <c r="K196" s="8">
        <f>E196+H196</f>
        <v/>
      </c>
      <c r="L196" s="8">
        <f>J196+K196</f>
        <v/>
      </c>
      <c r="M196" s="9">
        <f>IF(C196=0,0,L196/C196*100)</f>
        <v/>
      </c>
    </row>
    <row r="197">
      <c r="A197" s="7" t="n">
        <v>6</v>
      </c>
      <c r="B197" s="8">
        <f>B10</f>
        <v/>
      </c>
      <c r="C197" s="8">
        <f>C10</f>
        <v/>
      </c>
      <c r="D197" s="14" t="n"/>
      <c r="E197" s="14" t="n"/>
      <c r="F197" s="8">
        <f>D197+E197</f>
        <v/>
      </c>
      <c r="G197" s="14" t="n"/>
      <c r="H197" s="14" t="n"/>
      <c r="I197" s="8">
        <f>G197+H197</f>
        <v/>
      </c>
      <c r="J197" s="8">
        <f>D197+G197</f>
        <v/>
      </c>
      <c r="K197" s="8">
        <f>E197+H197</f>
        <v/>
      </c>
      <c r="L197" s="8">
        <f>J197+K197</f>
        <v/>
      </c>
      <c r="M197" s="9">
        <f>IF(C197=0,0,L197/C197*100)</f>
        <v/>
      </c>
    </row>
    <row r="198">
      <c r="A198" s="7" t="n">
        <v>7</v>
      </c>
      <c r="B198" s="8">
        <f>B11</f>
        <v/>
      </c>
      <c r="C198" s="8">
        <f>C11</f>
        <v/>
      </c>
      <c r="D198" s="14" t="n"/>
      <c r="E198" s="14" t="n"/>
      <c r="F198" s="8">
        <f>D198+E198</f>
        <v/>
      </c>
      <c r="G198" s="14" t="n"/>
      <c r="H198" s="14" t="n"/>
      <c r="I198" s="8">
        <f>G198+H198</f>
        <v/>
      </c>
      <c r="J198" s="8">
        <f>D198+G198</f>
        <v/>
      </c>
      <c r="K198" s="8">
        <f>E198+H198</f>
        <v/>
      </c>
      <c r="L198" s="8">
        <f>J198+K198</f>
        <v/>
      </c>
      <c r="M198" s="9">
        <f>IF(C198=0,0,L198/C198*100)</f>
        <v/>
      </c>
    </row>
    <row r="199">
      <c r="A199" s="7" t="n">
        <v>8</v>
      </c>
      <c r="B199" s="8">
        <f>B12</f>
        <v/>
      </c>
      <c r="C199" s="8">
        <f>C12</f>
        <v/>
      </c>
      <c r="D199" s="14" t="n"/>
      <c r="E199" s="14" t="n"/>
      <c r="F199" s="8">
        <f>D199+E199</f>
        <v/>
      </c>
      <c r="G199" s="14" t="n"/>
      <c r="H199" s="14" t="n"/>
      <c r="I199" s="8">
        <f>G199+H199</f>
        <v/>
      </c>
      <c r="J199" s="8">
        <f>D199+G199</f>
        <v/>
      </c>
      <c r="K199" s="8">
        <f>E199+H199</f>
        <v/>
      </c>
      <c r="L199" s="8">
        <f>J199+K199</f>
        <v/>
      </c>
      <c r="M199" s="9">
        <f>IF(C199=0,0,L199/C199*100)</f>
        <v/>
      </c>
    </row>
    <row r="200">
      <c r="A200" s="7" t="n">
        <v>9</v>
      </c>
      <c r="B200" s="8">
        <f>B13</f>
        <v/>
      </c>
      <c r="C200" s="8">
        <f>C13</f>
        <v/>
      </c>
      <c r="D200" s="14" t="n"/>
      <c r="E200" s="14" t="n"/>
      <c r="F200" s="8">
        <f>D200+E200</f>
        <v/>
      </c>
      <c r="G200" s="14" t="n"/>
      <c r="H200" s="14" t="n"/>
      <c r="I200" s="8">
        <f>G200+H200</f>
        <v/>
      </c>
      <c r="J200" s="8">
        <f>D200+G200</f>
        <v/>
      </c>
      <c r="K200" s="8">
        <f>E200+H200</f>
        <v/>
      </c>
      <c r="L200" s="8">
        <f>J200+K200</f>
        <v/>
      </c>
      <c r="M200" s="9">
        <f>IF(C200=0,0,L200/C200*100)</f>
        <v/>
      </c>
    </row>
    <row r="201">
      <c r="A201" s="7" t="n">
        <v>10</v>
      </c>
      <c r="B201" s="8">
        <f>B14</f>
        <v/>
      </c>
      <c r="C201" s="8">
        <f>C14</f>
        <v/>
      </c>
      <c r="D201" s="14" t="n"/>
      <c r="E201" s="14" t="n"/>
      <c r="F201" s="8">
        <f>D201+E201</f>
        <v/>
      </c>
      <c r="G201" s="14" t="n"/>
      <c r="H201" s="14" t="n"/>
      <c r="I201" s="8">
        <f>G201+H201</f>
        <v/>
      </c>
      <c r="J201" s="8">
        <f>D201+G201</f>
        <v/>
      </c>
      <c r="K201" s="8">
        <f>E201+H201</f>
        <v/>
      </c>
      <c r="L201" s="8">
        <f>J201+K201</f>
        <v/>
      </c>
      <c r="M201" s="9">
        <f>IF(C201=0,0,L201/C201*100)</f>
        <v/>
      </c>
    </row>
    <row r="202">
      <c r="A202" s="7" t="n">
        <v>11</v>
      </c>
      <c r="B202" s="8">
        <f>B15</f>
        <v/>
      </c>
      <c r="C202" s="8">
        <f>C15</f>
        <v/>
      </c>
      <c r="D202" s="14" t="n"/>
      <c r="E202" s="14" t="n"/>
      <c r="F202" s="8">
        <f>D202+E202</f>
        <v/>
      </c>
      <c r="G202" s="14" t="n"/>
      <c r="H202" s="14" t="n"/>
      <c r="I202" s="8">
        <f>G202+H202</f>
        <v/>
      </c>
      <c r="J202" s="8">
        <f>D202+G202</f>
        <v/>
      </c>
      <c r="K202" s="8">
        <f>E202+H202</f>
        <v/>
      </c>
      <c r="L202" s="8">
        <f>J202+K202</f>
        <v/>
      </c>
      <c r="M202" s="9">
        <f>IF(C202=0,0,L202/C202*100)</f>
        <v/>
      </c>
    </row>
    <row r="203">
      <c r="A203" s="10" t="inlineStr">
        <is>
          <t>Total</t>
        </is>
      </c>
      <c r="B203" s="11">
        <f>SUM(B192:B202)</f>
        <v/>
      </c>
      <c r="C203" s="11">
        <f>SUM(C192:C202)</f>
        <v/>
      </c>
      <c r="D203" s="11">
        <f>SUM(D192:D202)</f>
        <v/>
      </c>
      <c r="E203" s="11">
        <f>SUM(E192:E202)</f>
        <v/>
      </c>
      <c r="F203" s="11">
        <f>D203+E203</f>
        <v/>
      </c>
      <c r="G203" s="11">
        <f>SUM(G192:G202)</f>
        <v/>
      </c>
      <c r="H203" s="11">
        <f>SUM(H192:H202)</f>
        <v/>
      </c>
      <c r="I203" s="11">
        <f>G203+H203</f>
        <v/>
      </c>
      <c r="J203" s="11">
        <f>D203+G203</f>
        <v/>
      </c>
      <c r="K203" s="11">
        <f>E203+H203</f>
        <v/>
      </c>
      <c r="L203" s="11">
        <f>J203+K203</f>
        <v/>
      </c>
      <c r="M203" s="12">
        <f>IF(C203=0,0,L203/C203*100)</f>
        <v/>
      </c>
    </row>
    <row r="205">
      <c r="A205" s="13" t="inlineStr">
        <is>
          <t>Day 12 - 2026-10-16 (Fri 30 Aswin 2083)</t>
        </is>
      </c>
    </row>
    <row r="206">
      <c r="A206" s="6" t="inlineStr">
        <is>
          <t>Ward no.</t>
        </is>
      </c>
      <c r="B206" s="6" t="inlineStr">
        <is>
          <t>Total population</t>
        </is>
      </c>
      <c r="C206" s="6" t="inlineStr">
        <is>
          <t>JE target population</t>
        </is>
      </c>
      <c r="D206" s="6" t="inlineStr">
        <is>
          <t>Vaccinated</t>
        </is>
      </c>
      <c r="E206" s="6" t="n"/>
      <c r="F206" s="6" t="n"/>
      <c r="G206" s="6" t="n"/>
      <c r="H206" s="6" t="n"/>
      <c r="I206" s="6" t="n"/>
      <c r="J206" s="6" t="n"/>
      <c r="K206" s="6" t="n"/>
      <c r="L206" s="6" t="n"/>
      <c r="M206" s="6" t="inlineStr">
        <is>
          <t>Progress %</t>
        </is>
      </c>
    </row>
    <row r="207">
      <c r="A207" s="6" t="n"/>
      <c r="B207" s="6" t="n"/>
      <c r="C207" s="6" t="n"/>
      <c r="D207" s="6" t="inlineStr">
        <is>
          <t>Age 30-60 yrs</t>
        </is>
      </c>
      <c r="E207" s="6" t="n"/>
      <c r="F207" s="6" t="n"/>
      <c r="G207" s="6" t="inlineStr">
        <is>
          <t>Age 60 above</t>
        </is>
      </c>
      <c r="H207" s="6" t="n"/>
      <c r="I207" s="6" t="n"/>
      <c r="J207" s="6" t="inlineStr">
        <is>
          <t>Total</t>
        </is>
      </c>
      <c r="K207" s="6" t="n"/>
      <c r="L207" s="6" t="inlineStr">
        <is>
          <t>Grand Total</t>
        </is>
      </c>
      <c r="M207" s="6" t="n"/>
    </row>
    <row r="208">
      <c r="A208" s="6" t="n"/>
      <c r="B208" s="6" t="n"/>
      <c r="C208" s="6" t="n"/>
      <c r="D208" s="6" t="inlineStr">
        <is>
          <t>F</t>
        </is>
      </c>
      <c r="E208" s="6" t="inlineStr">
        <is>
          <t>M</t>
        </is>
      </c>
      <c r="F208" s="6" t="inlineStr">
        <is>
          <t>Total</t>
        </is>
      </c>
      <c r="G208" s="6" t="inlineStr">
        <is>
          <t>F</t>
        </is>
      </c>
      <c r="H208" s="6" t="inlineStr">
        <is>
          <t>M</t>
        </is>
      </c>
      <c r="I208" s="6" t="inlineStr">
        <is>
          <t>Total</t>
        </is>
      </c>
      <c r="J208" s="6" t="inlineStr">
        <is>
          <t>F</t>
        </is>
      </c>
      <c r="K208" s="6" t="inlineStr">
        <is>
          <t>M</t>
        </is>
      </c>
      <c r="L208" s="6" t="n"/>
      <c r="M208" s="6" t="n"/>
    </row>
    <row r="209">
      <c r="A209" s="7" t="n">
        <v>1</v>
      </c>
      <c r="B209" s="8">
        <f>B5</f>
        <v/>
      </c>
      <c r="C209" s="8">
        <f>C5</f>
        <v/>
      </c>
      <c r="D209" s="14" t="n"/>
      <c r="E209" s="14" t="n"/>
      <c r="F209" s="8">
        <f>D209+E209</f>
        <v/>
      </c>
      <c r="G209" s="14" t="n"/>
      <c r="H209" s="14" t="n"/>
      <c r="I209" s="8">
        <f>G209+H209</f>
        <v/>
      </c>
      <c r="J209" s="8">
        <f>D209+G209</f>
        <v/>
      </c>
      <c r="K209" s="8">
        <f>E209+H209</f>
        <v/>
      </c>
      <c r="L209" s="8">
        <f>J209+K209</f>
        <v/>
      </c>
      <c r="M209" s="9">
        <f>IF(C209=0,0,L209/C209*100)</f>
        <v/>
      </c>
    </row>
    <row r="210">
      <c r="A210" s="7" t="n">
        <v>2</v>
      </c>
      <c r="B210" s="8">
        <f>B6</f>
        <v/>
      </c>
      <c r="C210" s="8">
        <f>C6</f>
        <v/>
      </c>
      <c r="D210" s="14" t="n"/>
      <c r="E210" s="14" t="n"/>
      <c r="F210" s="8">
        <f>D210+E210</f>
        <v/>
      </c>
      <c r="G210" s="14" t="n"/>
      <c r="H210" s="14" t="n"/>
      <c r="I210" s="8">
        <f>G210+H210</f>
        <v/>
      </c>
      <c r="J210" s="8">
        <f>D210+G210</f>
        <v/>
      </c>
      <c r="K210" s="8">
        <f>E210+H210</f>
        <v/>
      </c>
      <c r="L210" s="8">
        <f>J210+K210</f>
        <v/>
      </c>
      <c r="M210" s="9">
        <f>IF(C210=0,0,L210/C210*100)</f>
        <v/>
      </c>
    </row>
    <row r="211">
      <c r="A211" s="7" t="n">
        <v>3</v>
      </c>
      <c r="B211" s="8">
        <f>B7</f>
        <v/>
      </c>
      <c r="C211" s="8">
        <f>C7</f>
        <v/>
      </c>
      <c r="D211" s="14" t="n"/>
      <c r="E211" s="14" t="n"/>
      <c r="F211" s="8">
        <f>D211+E211</f>
        <v/>
      </c>
      <c r="G211" s="14" t="n"/>
      <c r="H211" s="14" t="n"/>
      <c r="I211" s="8">
        <f>G211+H211</f>
        <v/>
      </c>
      <c r="J211" s="8">
        <f>D211+G211</f>
        <v/>
      </c>
      <c r="K211" s="8">
        <f>E211+H211</f>
        <v/>
      </c>
      <c r="L211" s="8">
        <f>J211+K211</f>
        <v/>
      </c>
      <c r="M211" s="9">
        <f>IF(C211=0,0,L211/C211*100)</f>
        <v/>
      </c>
    </row>
    <row r="212">
      <c r="A212" s="7" t="n">
        <v>4</v>
      </c>
      <c r="B212" s="8">
        <f>B8</f>
        <v/>
      </c>
      <c r="C212" s="8">
        <f>C8</f>
        <v/>
      </c>
      <c r="D212" s="14" t="n"/>
      <c r="E212" s="14" t="n"/>
      <c r="F212" s="8">
        <f>D212+E212</f>
        <v/>
      </c>
      <c r="G212" s="14" t="n"/>
      <c r="H212" s="14" t="n"/>
      <c r="I212" s="8">
        <f>G212+H212</f>
        <v/>
      </c>
      <c r="J212" s="8">
        <f>D212+G212</f>
        <v/>
      </c>
      <c r="K212" s="8">
        <f>E212+H212</f>
        <v/>
      </c>
      <c r="L212" s="8">
        <f>J212+K212</f>
        <v/>
      </c>
      <c r="M212" s="9">
        <f>IF(C212=0,0,L212/C212*100)</f>
        <v/>
      </c>
    </row>
    <row r="213">
      <c r="A213" s="7" t="n">
        <v>5</v>
      </c>
      <c r="B213" s="8">
        <f>B9</f>
        <v/>
      </c>
      <c r="C213" s="8">
        <f>C9</f>
        <v/>
      </c>
      <c r="D213" s="14" t="n"/>
      <c r="E213" s="14" t="n"/>
      <c r="F213" s="8">
        <f>D213+E213</f>
        <v/>
      </c>
      <c r="G213" s="14" t="n"/>
      <c r="H213" s="14" t="n"/>
      <c r="I213" s="8">
        <f>G213+H213</f>
        <v/>
      </c>
      <c r="J213" s="8">
        <f>D213+G213</f>
        <v/>
      </c>
      <c r="K213" s="8">
        <f>E213+H213</f>
        <v/>
      </c>
      <c r="L213" s="8">
        <f>J213+K213</f>
        <v/>
      </c>
      <c r="M213" s="9">
        <f>IF(C213=0,0,L213/C213*100)</f>
        <v/>
      </c>
    </row>
    <row r="214">
      <c r="A214" s="7" t="n">
        <v>6</v>
      </c>
      <c r="B214" s="8">
        <f>B10</f>
        <v/>
      </c>
      <c r="C214" s="8">
        <f>C10</f>
        <v/>
      </c>
      <c r="D214" s="14" t="n"/>
      <c r="E214" s="14" t="n"/>
      <c r="F214" s="8">
        <f>D214+E214</f>
        <v/>
      </c>
      <c r="G214" s="14" t="n"/>
      <c r="H214" s="14" t="n"/>
      <c r="I214" s="8">
        <f>G214+H214</f>
        <v/>
      </c>
      <c r="J214" s="8">
        <f>D214+G214</f>
        <v/>
      </c>
      <c r="K214" s="8">
        <f>E214+H214</f>
        <v/>
      </c>
      <c r="L214" s="8">
        <f>J214+K214</f>
        <v/>
      </c>
      <c r="M214" s="9">
        <f>IF(C214=0,0,L214/C214*100)</f>
        <v/>
      </c>
    </row>
    <row r="215">
      <c r="A215" s="7" t="n">
        <v>7</v>
      </c>
      <c r="B215" s="8">
        <f>B11</f>
        <v/>
      </c>
      <c r="C215" s="8">
        <f>C11</f>
        <v/>
      </c>
      <c r="D215" s="14" t="n"/>
      <c r="E215" s="14" t="n"/>
      <c r="F215" s="8">
        <f>D215+E215</f>
        <v/>
      </c>
      <c r="G215" s="14" t="n"/>
      <c r="H215" s="14" t="n"/>
      <c r="I215" s="8">
        <f>G215+H215</f>
        <v/>
      </c>
      <c r="J215" s="8">
        <f>D215+G215</f>
        <v/>
      </c>
      <c r="K215" s="8">
        <f>E215+H215</f>
        <v/>
      </c>
      <c r="L215" s="8">
        <f>J215+K215</f>
        <v/>
      </c>
      <c r="M215" s="9">
        <f>IF(C215=0,0,L215/C215*100)</f>
        <v/>
      </c>
    </row>
    <row r="216">
      <c r="A216" s="7" t="n">
        <v>8</v>
      </c>
      <c r="B216" s="8">
        <f>B12</f>
        <v/>
      </c>
      <c r="C216" s="8">
        <f>C12</f>
        <v/>
      </c>
      <c r="D216" s="14" t="n"/>
      <c r="E216" s="14" t="n"/>
      <c r="F216" s="8">
        <f>D216+E216</f>
        <v/>
      </c>
      <c r="G216" s="14" t="n"/>
      <c r="H216" s="14" t="n"/>
      <c r="I216" s="8">
        <f>G216+H216</f>
        <v/>
      </c>
      <c r="J216" s="8">
        <f>D216+G216</f>
        <v/>
      </c>
      <c r="K216" s="8">
        <f>E216+H216</f>
        <v/>
      </c>
      <c r="L216" s="8">
        <f>J216+K216</f>
        <v/>
      </c>
      <c r="M216" s="9">
        <f>IF(C216=0,0,L216/C216*100)</f>
        <v/>
      </c>
    </row>
    <row r="217">
      <c r="A217" s="7" t="n">
        <v>9</v>
      </c>
      <c r="B217" s="8">
        <f>B13</f>
        <v/>
      </c>
      <c r="C217" s="8">
        <f>C13</f>
        <v/>
      </c>
      <c r="D217" s="14" t="n"/>
      <c r="E217" s="14" t="n"/>
      <c r="F217" s="8">
        <f>D217+E217</f>
        <v/>
      </c>
      <c r="G217" s="14" t="n"/>
      <c r="H217" s="14" t="n"/>
      <c r="I217" s="8">
        <f>G217+H217</f>
        <v/>
      </c>
      <c r="J217" s="8">
        <f>D217+G217</f>
        <v/>
      </c>
      <c r="K217" s="8">
        <f>E217+H217</f>
        <v/>
      </c>
      <c r="L217" s="8">
        <f>J217+K217</f>
        <v/>
      </c>
      <c r="M217" s="9">
        <f>IF(C217=0,0,L217/C217*100)</f>
        <v/>
      </c>
    </row>
    <row r="218">
      <c r="A218" s="7" t="n">
        <v>10</v>
      </c>
      <c r="B218" s="8">
        <f>B14</f>
        <v/>
      </c>
      <c r="C218" s="8">
        <f>C14</f>
        <v/>
      </c>
      <c r="D218" s="14" t="n"/>
      <c r="E218" s="14" t="n"/>
      <c r="F218" s="8">
        <f>D218+E218</f>
        <v/>
      </c>
      <c r="G218" s="14" t="n"/>
      <c r="H218" s="14" t="n"/>
      <c r="I218" s="8">
        <f>G218+H218</f>
        <v/>
      </c>
      <c r="J218" s="8">
        <f>D218+G218</f>
        <v/>
      </c>
      <c r="K218" s="8">
        <f>E218+H218</f>
        <v/>
      </c>
      <c r="L218" s="8">
        <f>J218+K218</f>
        <v/>
      </c>
      <c r="M218" s="9">
        <f>IF(C218=0,0,L218/C218*100)</f>
        <v/>
      </c>
    </row>
    <row r="219">
      <c r="A219" s="7" t="n">
        <v>11</v>
      </c>
      <c r="B219" s="8">
        <f>B15</f>
        <v/>
      </c>
      <c r="C219" s="8">
        <f>C15</f>
        <v/>
      </c>
      <c r="D219" s="14" t="n"/>
      <c r="E219" s="14" t="n"/>
      <c r="F219" s="8">
        <f>D219+E219</f>
        <v/>
      </c>
      <c r="G219" s="14" t="n"/>
      <c r="H219" s="14" t="n"/>
      <c r="I219" s="8">
        <f>G219+H219</f>
        <v/>
      </c>
      <c r="J219" s="8">
        <f>D219+G219</f>
        <v/>
      </c>
      <c r="K219" s="8">
        <f>E219+H219</f>
        <v/>
      </c>
      <c r="L219" s="8">
        <f>J219+K219</f>
        <v/>
      </c>
      <c r="M219" s="9">
        <f>IF(C219=0,0,L219/C219*100)</f>
        <v/>
      </c>
    </row>
    <row r="220">
      <c r="A220" s="10" t="inlineStr">
        <is>
          <t>Total</t>
        </is>
      </c>
      <c r="B220" s="11">
        <f>SUM(B209:B219)</f>
        <v/>
      </c>
      <c r="C220" s="11">
        <f>SUM(C209:C219)</f>
        <v/>
      </c>
      <c r="D220" s="11">
        <f>SUM(D209:D219)</f>
        <v/>
      </c>
      <c r="E220" s="11">
        <f>SUM(E209:E219)</f>
        <v/>
      </c>
      <c r="F220" s="11">
        <f>D220+E220</f>
        <v/>
      </c>
      <c r="G220" s="11">
        <f>SUM(G209:G219)</f>
        <v/>
      </c>
      <c r="H220" s="11">
        <f>SUM(H209:H219)</f>
        <v/>
      </c>
      <c r="I220" s="11">
        <f>G220+H220</f>
        <v/>
      </c>
      <c r="J220" s="11">
        <f>D220+G220</f>
        <v/>
      </c>
      <c r="K220" s="11">
        <f>E220+H220</f>
        <v/>
      </c>
      <c r="L220" s="11">
        <f>J220+K220</f>
        <v/>
      </c>
      <c r="M220" s="12">
        <f>IF(C220=0,0,L220/C220*100)</f>
        <v/>
      </c>
    </row>
    <row r="222">
      <c r="A222" s="13" t="inlineStr">
        <is>
          <t>Day 13 - 2026-10-17 (Sat 31 Aswin 2083)</t>
        </is>
      </c>
    </row>
    <row r="223">
      <c r="A223" s="6" t="inlineStr">
        <is>
          <t>Ward no.</t>
        </is>
      </c>
      <c r="B223" s="6" t="inlineStr">
        <is>
          <t>Total population</t>
        </is>
      </c>
      <c r="C223" s="6" t="inlineStr">
        <is>
          <t>JE target population</t>
        </is>
      </c>
      <c r="D223" s="6" t="inlineStr">
        <is>
          <t>Vaccinated</t>
        </is>
      </c>
      <c r="E223" s="6" t="n"/>
      <c r="F223" s="6" t="n"/>
      <c r="G223" s="6" t="n"/>
      <c r="H223" s="6" t="n"/>
      <c r="I223" s="6" t="n"/>
      <c r="J223" s="6" t="n"/>
      <c r="K223" s="6" t="n"/>
      <c r="L223" s="6" t="n"/>
      <c r="M223" s="6" t="inlineStr">
        <is>
          <t>Progress %</t>
        </is>
      </c>
    </row>
    <row r="224">
      <c r="A224" s="6" t="n"/>
      <c r="B224" s="6" t="n"/>
      <c r="C224" s="6" t="n"/>
      <c r="D224" s="6" t="inlineStr">
        <is>
          <t>Age 30-60 yrs</t>
        </is>
      </c>
      <c r="E224" s="6" t="n"/>
      <c r="F224" s="6" t="n"/>
      <c r="G224" s="6" t="inlineStr">
        <is>
          <t>Age 60 above</t>
        </is>
      </c>
      <c r="H224" s="6" t="n"/>
      <c r="I224" s="6" t="n"/>
      <c r="J224" s="6" t="inlineStr">
        <is>
          <t>Total</t>
        </is>
      </c>
      <c r="K224" s="6" t="n"/>
      <c r="L224" s="6" t="inlineStr">
        <is>
          <t>Grand Total</t>
        </is>
      </c>
      <c r="M224" s="6" t="n"/>
    </row>
    <row r="225">
      <c r="A225" s="6" t="n"/>
      <c r="B225" s="6" t="n"/>
      <c r="C225" s="6" t="n"/>
      <c r="D225" s="6" t="inlineStr">
        <is>
          <t>F</t>
        </is>
      </c>
      <c r="E225" s="6" t="inlineStr">
        <is>
          <t>M</t>
        </is>
      </c>
      <c r="F225" s="6" t="inlineStr">
        <is>
          <t>Total</t>
        </is>
      </c>
      <c r="G225" s="6" t="inlineStr">
        <is>
          <t>F</t>
        </is>
      </c>
      <c r="H225" s="6" t="inlineStr">
        <is>
          <t>M</t>
        </is>
      </c>
      <c r="I225" s="6" t="inlineStr">
        <is>
          <t>Total</t>
        </is>
      </c>
      <c r="J225" s="6" t="inlineStr">
        <is>
          <t>F</t>
        </is>
      </c>
      <c r="K225" s="6" t="inlineStr">
        <is>
          <t>M</t>
        </is>
      </c>
      <c r="L225" s="6" t="n"/>
      <c r="M225" s="6" t="n"/>
    </row>
    <row r="226">
      <c r="A226" s="7" t="n">
        <v>1</v>
      </c>
      <c r="B226" s="8">
        <f>B5</f>
        <v/>
      </c>
      <c r="C226" s="8">
        <f>C5</f>
        <v/>
      </c>
      <c r="D226" s="14" t="n"/>
      <c r="E226" s="14" t="n"/>
      <c r="F226" s="8">
        <f>D226+E226</f>
        <v/>
      </c>
      <c r="G226" s="14" t="n"/>
      <c r="H226" s="14" t="n"/>
      <c r="I226" s="8">
        <f>G226+H226</f>
        <v/>
      </c>
      <c r="J226" s="8">
        <f>D226+G226</f>
        <v/>
      </c>
      <c r="K226" s="8">
        <f>E226+H226</f>
        <v/>
      </c>
      <c r="L226" s="8">
        <f>J226+K226</f>
        <v/>
      </c>
      <c r="M226" s="9">
        <f>IF(C226=0,0,L226/C226*100)</f>
        <v/>
      </c>
    </row>
    <row r="227">
      <c r="A227" s="7" t="n">
        <v>2</v>
      </c>
      <c r="B227" s="8">
        <f>B6</f>
        <v/>
      </c>
      <c r="C227" s="8">
        <f>C6</f>
        <v/>
      </c>
      <c r="D227" s="14" t="n"/>
      <c r="E227" s="14" t="n"/>
      <c r="F227" s="8">
        <f>D227+E227</f>
        <v/>
      </c>
      <c r="G227" s="14" t="n"/>
      <c r="H227" s="14" t="n"/>
      <c r="I227" s="8">
        <f>G227+H227</f>
        <v/>
      </c>
      <c r="J227" s="8">
        <f>D227+G227</f>
        <v/>
      </c>
      <c r="K227" s="8">
        <f>E227+H227</f>
        <v/>
      </c>
      <c r="L227" s="8">
        <f>J227+K227</f>
        <v/>
      </c>
      <c r="M227" s="9">
        <f>IF(C227=0,0,L227/C227*100)</f>
        <v/>
      </c>
    </row>
    <row r="228">
      <c r="A228" s="7" t="n">
        <v>3</v>
      </c>
      <c r="B228" s="8">
        <f>B7</f>
        <v/>
      </c>
      <c r="C228" s="8">
        <f>C7</f>
        <v/>
      </c>
      <c r="D228" s="14" t="n"/>
      <c r="E228" s="14" t="n"/>
      <c r="F228" s="8">
        <f>D228+E228</f>
        <v/>
      </c>
      <c r="G228" s="14" t="n"/>
      <c r="H228" s="14" t="n"/>
      <c r="I228" s="8">
        <f>G228+H228</f>
        <v/>
      </c>
      <c r="J228" s="8">
        <f>D228+G228</f>
        <v/>
      </c>
      <c r="K228" s="8">
        <f>E228+H228</f>
        <v/>
      </c>
      <c r="L228" s="8">
        <f>J228+K228</f>
        <v/>
      </c>
      <c r="M228" s="9">
        <f>IF(C228=0,0,L228/C228*100)</f>
        <v/>
      </c>
    </row>
    <row r="229">
      <c r="A229" s="7" t="n">
        <v>4</v>
      </c>
      <c r="B229" s="8">
        <f>B8</f>
        <v/>
      </c>
      <c r="C229" s="8">
        <f>C8</f>
        <v/>
      </c>
      <c r="D229" s="14" t="n"/>
      <c r="E229" s="14" t="n"/>
      <c r="F229" s="8">
        <f>D229+E229</f>
        <v/>
      </c>
      <c r="G229" s="14" t="n"/>
      <c r="H229" s="14" t="n"/>
      <c r="I229" s="8">
        <f>G229+H229</f>
        <v/>
      </c>
      <c r="J229" s="8">
        <f>D229+G229</f>
        <v/>
      </c>
      <c r="K229" s="8">
        <f>E229+H229</f>
        <v/>
      </c>
      <c r="L229" s="8">
        <f>J229+K229</f>
        <v/>
      </c>
      <c r="M229" s="9">
        <f>IF(C229=0,0,L229/C229*100)</f>
        <v/>
      </c>
    </row>
    <row r="230">
      <c r="A230" s="7" t="n">
        <v>5</v>
      </c>
      <c r="B230" s="8">
        <f>B9</f>
        <v/>
      </c>
      <c r="C230" s="8">
        <f>C9</f>
        <v/>
      </c>
      <c r="D230" s="14" t="n"/>
      <c r="E230" s="14" t="n"/>
      <c r="F230" s="8">
        <f>D230+E230</f>
        <v/>
      </c>
      <c r="G230" s="14" t="n"/>
      <c r="H230" s="14" t="n"/>
      <c r="I230" s="8">
        <f>G230+H230</f>
        <v/>
      </c>
      <c r="J230" s="8">
        <f>D230+G230</f>
        <v/>
      </c>
      <c r="K230" s="8">
        <f>E230+H230</f>
        <v/>
      </c>
      <c r="L230" s="8">
        <f>J230+K230</f>
        <v/>
      </c>
      <c r="M230" s="9">
        <f>IF(C230=0,0,L230/C230*100)</f>
        <v/>
      </c>
    </row>
    <row r="231">
      <c r="A231" s="7" t="n">
        <v>6</v>
      </c>
      <c r="B231" s="8">
        <f>B10</f>
        <v/>
      </c>
      <c r="C231" s="8">
        <f>C10</f>
        <v/>
      </c>
      <c r="D231" s="14" t="n"/>
      <c r="E231" s="14" t="n"/>
      <c r="F231" s="8">
        <f>D231+E231</f>
        <v/>
      </c>
      <c r="G231" s="14" t="n"/>
      <c r="H231" s="14" t="n"/>
      <c r="I231" s="8">
        <f>G231+H231</f>
        <v/>
      </c>
      <c r="J231" s="8">
        <f>D231+G231</f>
        <v/>
      </c>
      <c r="K231" s="8">
        <f>E231+H231</f>
        <v/>
      </c>
      <c r="L231" s="8">
        <f>J231+K231</f>
        <v/>
      </c>
      <c r="M231" s="9">
        <f>IF(C231=0,0,L231/C231*100)</f>
        <v/>
      </c>
    </row>
    <row r="232">
      <c r="A232" s="7" t="n">
        <v>7</v>
      </c>
      <c r="B232" s="8">
        <f>B11</f>
        <v/>
      </c>
      <c r="C232" s="8">
        <f>C11</f>
        <v/>
      </c>
      <c r="D232" s="14" t="n"/>
      <c r="E232" s="14" t="n"/>
      <c r="F232" s="8">
        <f>D232+E232</f>
        <v/>
      </c>
      <c r="G232" s="14" t="n"/>
      <c r="H232" s="14" t="n"/>
      <c r="I232" s="8">
        <f>G232+H232</f>
        <v/>
      </c>
      <c r="J232" s="8">
        <f>D232+G232</f>
        <v/>
      </c>
      <c r="K232" s="8">
        <f>E232+H232</f>
        <v/>
      </c>
      <c r="L232" s="8">
        <f>J232+K232</f>
        <v/>
      </c>
      <c r="M232" s="9">
        <f>IF(C232=0,0,L232/C232*100)</f>
        <v/>
      </c>
    </row>
    <row r="233">
      <c r="A233" s="7" t="n">
        <v>8</v>
      </c>
      <c r="B233" s="8">
        <f>B12</f>
        <v/>
      </c>
      <c r="C233" s="8">
        <f>C12</f>
        <v/>
      </c>
      <c r="D233" s="14" t="n"/>
      <c r="E233" s="14" t="n"/>
      <c r="F233" s="8">
        <f>D233+E233</f>
        <v/>
      </c>
      <c r="G233" s="14" t="n"/>
      <c r="H233" s="14" t="n"/>
      <c r="I233" s="8">
        <f>G233+H233</f>
        <v/>
      </c>
      <c r="J233" s="8">
        <f>D233+G233</f>
        <v/>
      </c>
      <c r="K233" s="8">
        <f>E233+H233</f>
        <v/>
      </c>
      <c r="L233" s="8">
        <f>J233+K233</f>
        <v/>
      </c>
      <c r="M233" s="9">
        <f>IF(C233=0,0,L233/C233*100)</f>
        <v/>
      </c>
    </row>
    <row r="234">
      <c r="A234" s="7" t="n">
        <v>9</v>
      </c>
      <c r="B234" s="8">
        <f>B13</f>
        <v/>
      </c>
      <c r="C234" s="8">
        <f>C13</f>
        <v/>
      </c>
      <c r="D234" s="14" t="n"/>
      <c r="E234" s="14" t="n"/>
      <c r="F234" s="8">
        <f>D234+E234</f>
        <v/>
      </c>
      <c r="G234" s="14" t="n"/>
      <c r="H234" s="14" t="n"/>
      <c r="I234" s="8">
        <f>G234+H234</f>
        <v/>
      </c>
      <c r="J234" s="8">
        <f>D234+G234</f>
        <v/>
      </c>
      <c r="K234" s="8">
        <f>E234+H234</f>
        <v/>
      </c>
      <c r="L234" s="8">
        <f>J234+K234</f>
        <v/>
      </c>
      <c r="M234" s="9">
        <f>IF(C234=0,0,L234/C234*100)</f>
        <v/>
      </c>
    </row>
    <row r="235">
      <c r="A235" s="7" t="n">
        <v>10</v>
      </c>
      <c r="B235" s="8">
        <f>B14</f>
        <v/>
      </c>
      <c r="C235" s="8">
        <f>C14</f>
        <v/>
      </c>
      <c r="D235" s="14" t="n"/>
      <c r="E235" s="14" t="n"/>
      <c r="F235" s="8">
        <f>D235+E235</f>
        <v/>
      </c>
      <c r="G235" s="14" t="n"/>
      <c r="H235" s="14" t="n"/>
      <c r="I235" s="8">
        <f>G235+H235</f>
        <v/>
      </c>
      <c r="J235" s="8">
        <f>D235+G235</f>
        <v/>
      </c>
      <c r="K235" s="8">
        <f>E235+H235</f>
        <v/>
      </c>
      <c r="L235" s="8">
        <f>J235+K235</f>
        <v/>
      </c>
      <c r="M235" s="9">
        <f>IF(C235=0,0,L235/C235*100)</f>
        <v/>
      </c>
    </row>
    <row r="236">
      <c r="A236" s="7" t="n">
        <v>11</v>
      </c>
      <c r="B236" s="8">
        <f>B15</f>
        <v/>
      </c>
      <c r="C236" s="8">
        <f>C15</f>
        <v/>
      </c>
      <c r="D236" s="14" t="n"/>
      <c r="E236" s="14" t="n"/>
      <c r="F236" s="8">
        <f>D236+E236</f>
        <v/>
      </c>
      <c r="G236" s="14" t="n"/>
      <c r="H236" s="14" t="n"/>
      <c r="I236" s="8">
        <f>G236+H236</f>
        <v/>
      </c>
      <c r="J236" s="8">
        <f>D236+G236</f>
        <v/>
      </c>
      <c r="K236" s="8">
        <f>E236+H236</f>
        <v/>
      </c>
      <c r="L236" s="8">
        <f>J236+K236</f>
        <v/>
      </c>
      <c r="M236" s="9">
        <f>IF(C236=0,0,L236/C236*100)</f>
        <v/>
      </c>
    </row>
    <row r="237">
      <c r="A237" s="10" t="inlineStr">
        <is>
          <t>Total</t>
        </is>
      </c>
      <c r="B237" s="11">
        <f>SUM(B226:B236)</f>
        <v/>
      </c>
      <c r="C237" s="11">
        <f>SUM(C226:C236)</f>
        <v/>
      </c>
      <c r="D237" s="11">
        <f>SUM(D226:D236)</f>
        <v/>
      </c>
      <c r="E237" s="11">
        <f>SUM(E226:E236)</f>
        <v/>
      </c>
      <c r="F237" s="11">
        <f>D237+E237</f>
        <v/>
      </c>
      <c r="G237" s="11">
        <f>SUM(G226:G236)</f>
        <v/>
      </c>
      <c r="H237" s="11">
        <f>SUM(H226:H236)</f>
        <v/>
      </c>
      <c r="I237" s="11">
        <f>G237+H237</f>
        <v/>
      </c>
      <c r="J237" s="11">
        <f>D237+G237</f>
        <v/>
      </c>
      <c r="K237" s="11">
        <f>E237+H237</f>
        <v/>
      </c>
      <c r="L237" s="11">
        <f>J237+K237</f>
        <v/>
      </c>
      <c r="M237" s="12">
        <f>IF(C237=0,0,L237/C237*100)</f>
        <v/>
      </c>
    </row>
    <row r="239">
      <c r="A239" s="13" t="inlineStr">
        <is>
          <t>Day 14 - 2026-10-18 (Sun 01 Kartik 2083)</t>
        </is>
      </c>
    </row>
    <row r="240">
      <c r="A240" s="6" t="inlineStr">
        <is>
          <t>Ward no.</t>
        </is>
      </c>
      <c r="B240" s="6" t="inlineStr">
        <is>
          <t>Total population</t>
        </is>
      </c>
      <c r="C240" s="6" t="inlineStr">
        <is>
          <t>JE target population</t>
        </is>
      </c>
      <c r="D240" s="6" t="inlineStr">
        <is>
          <t>Vaccinated</t>
        </is>
      </c>
      <c r="E240" s="6" t="n"/>
      <c r="F240" s="6" t="n"/>
      <c r="G240" s="6" t="n"/>
      <c r="H240" s="6" t="n"/>
      <c r="I240" s="6" t="n"/>
      <c r="J240" s="6" t="n"/>
      <c r="K240" s="6" t="n"/>
      <c r="L240" s="6" t="n"/>
      <c r="M240" s="6" t="inlineStr">
        <is>
          <t>Progress %</t>
        </is>
      </c>
    </row>
    <row r="241">
      <c r="A241" s="6" t="n"/>
      <c r="B241" s="6" t="n"/>
      <c r="C241" s="6" t="n"/>
      <c r="D241" s="6" t="inlineStr">
        <is>
          <t>Age 30-60 yrs</t>
        </is>
      </c>
      <c r="E241" s="6" t="n"/>
      <c r="F241" s="6" t="n"/>
      <c r="G241" s="6" t="inlineStr">
        <is>
          <t>Age 60 above</t>
        </is>
      </c>
      <c r="H241" s="6" t="n"/>
      <c r="I241" s="6" t="n"/>
      <c r="J241" s="6" t="inlineStr">
        <is>
          <t>Total</t>
        </is>
      </c>
      <c r="K241" s="6" t="n"/>
      <c r="L241" s="6" t="inlineStr">
        <is>
          <t>Grand Total</t>
        </is>
      </c>
      <c r="M241" s="6" t="n"/>
    </row>
    <row r="242">
      <c r="A242" s="6" t="n"/>
      <c r="B242" s="6" t="n"/>
      <c r="C242" s="6" t="n"/>
      <c r="D242" s="6" t="inlineStr">
        <is>
          <t>F</t>
        </is>
      </c>
      <c r="E242" s="6" t="inlineStr">
        <is>
          <t>M</t>
        </is>
      </c>
      <c r="F242" s="6" t="inlineStr">
        <is>
          <t>Total</t>
        </is>
      </c>
      <c r="G242" s="6" t="inlineStr">
        <is>
          <t>F</t>
        </is>
      </c>
      <c r="H242" s="6" t="inlineStr">
        <is>
          <t>M</t>
        </is>
      </c>
      <c r="I242" s="6" t="inlineStr">
        <is>
          <t>Total</t>
        </is>
      </c>
      <c r="J242" s="6" t="inlineStr">
        <is>
          <t>F</t>
        </is>
      </c>
      <c r="K242" s="6" t="inlineStr">
        <is>
          <t>M</t>
        </is>
      </c>
      <c r="L242" s="6" t="n"/>
      <c r="M242" s="6" t="n"/>
    </row>
    <row r="243">
      <c r="A243" s="7" t="n">
        <v>1</v>
      </c>
      <c r="B243" s="8">
        <f>B5</f>
        <v/>
      </c>
      <c r="C243" s="8">
        <f>C5</f>
        <v/>
      </c>
      <c r="D243" s="14" t="n"/>
      <c r="E243" s="14" t="n"/>
      <c r="F243" s="8">
        <f>D243+E243</f>
        <v/>
      </c>
      <c r="G243" s="14" t="n"/>
      <c r="H243" s="14" t="n"/>
      <c r="I243" s="8">
        <f>G243+H243</f>
        <v/>
      </c>
      <c r="J243" s="8">
        <f>D243+G243</f>
        <v/>
      </c>
      <c r="K243" s="8">
        <f>E243+H243</f>
        <v/>
      </c>
      <c r="L243" s="8">
        <f>J243+K243</f>
        <v/>
      </c>
      <c r="M243" s="9">
        <f>IF(C243=0,0,L243/C243*100)</f>
        <v/>
      </c>
    </row>
    <row r="244">
      <c r="A244" s="7" t="n">
        <v>2</v>
      </c>
      <c r="B244" s="8">
        <f>B6</f>
        <v/>
      </c>
      <c r="C244" s="8">
        <f>C6</f>
        <v/>
      </c>
      <c r="D244" s="14" t="n"/>
      <c r="E244" s="14" t="n"/>
      <c r="F244" s="8">
        <f>D244+E244</f>
        <v/>
      </c>
      <c r="G244" s="14" t="n"/>
      <c r="H244" s="14" t="n"/>
      <c r="I244" s="8">
        <f>G244+H244</f>
        <v/>
      </c>
      <c r="J244" s="8">
        <f>D244+G244</f>
        <v/>
      </c>
      <c r="K244" s="8">
        <f>E244+H244</f>
        <v/>
      </c>
      <c r="L244" s="8">
        <f>J244+K244</f>
        <v/>
      </c>
      <c r="M244" s="9">
        <f>IF(C244=0,0,L244/C244*100)</f>
        <v/>
      </c>
    </row>
    <row r="245">
      <c r="A245" s="7" t="n">
        <v>3</v>
      </c>
      <c r="B245" s="8">
        <f>B7</f>
        <v/>
      </c>
      <c r="C245" s="8">
        <f>C7</f>
        <v/>
      </c>
      <c r="D245" s="14" t="n"/>
      <c r="E245" s="14" t="n"/>
      <c r="F245" s="8">
        <f>D245+E245</f>
        <v/>
      </c>
      <c r="G245" s="14" t="n"/>
      <c r="H245" s="14" t="n"/>
      <c r="I245" s="8">
        <f>G245+H245</f>
        <v/>
      </c>
      <c r="J245" s="8">
        <f>D245+G245</f>
        <v/>
      </c>
      <c r="K245" s="8">
        <f>E245+H245</f>
        <v/>
      </c>
      <c r="L245" s="8">
        <f>J245+K245</f>
        <v/>
      </c>
      <c r="M245" s="9">
        <f>IF(C245=0,0,L245/C245*100)</f>
        <v/>
      </c>
    </row>
    <row r="246">
      <c r="A246" s="7" t="n">
        <v>4</v>
      </c>
      <c r="B246" s="8">
        <f>B8</f>
        <v/>
      </c>
      <c r="C246" s="8">
        <f>C8</f>
        <v/>
      </c>
      <c r="D246" s="14" t="n"/>
      <c r="E246" s="14" t="n"/>
      <c r="F246" s="8">
        <f>D246+E246</f>
        <v/>
      </c>
      <c r="G246" s="14" t="n"/>
      <c r="H246" s="14" t="n"/>
      <c r="I246" s="8">
        <f>G246+H246</f>
        <v/>
      </c>
      <c r="J246" s="8">
        <f>D246+G246</f>
        <v/>
      </c>
      <c r="K246" s="8">
        <f>E246+H246</f>
        <v/>
      </c>
      <c r="L246" s="8">
        <f>J246+K246</f>
        <v/>
      </c>
      <c r="M246" s="9">
        <f>IF(C246=0,0,L246/C246*100)</f>
        <v/>
      </c>
    </row>
    <row r="247">
      <c r="A247" s="7" t="n">
        <v>5</v>
      </c>
      <c r="B247" s="8">
        <f>B9</f>
        <v/>
      </c>
      <c r="C247" s="8">
        <f>C9</f>
        <v/>
      </c>
      <c r="D247" s="14" t="n"/>
      <c r="E247" s="14" t="n"/>
      <c r="F247" s="8">
        <f>D247+E247</f>
        <v/>
      </c>
      <c r="G247" s="14" t="n"/>
      <c r="H247" s="14" t="n"/>
      <c r="I247" s="8">
        <f>G247+H247</f>
        <v/>
      </c>
      <c r="J247" s="8">
        <f>D247+G247</f>
        <v/>
      </c>
      <c r="K247" s="8">
        <f>E247+H247</f>
        <v/>
      </c>
      <c r="L247" s="8">
        <f>J247+K247</f>
        <v/>
      </c>
      <c r="M247" s="9">
        <f>IF(C247=0,0,L247/C247*100)</f>
        <v/>
      </c>
    </row>
    <row r="248">
      <c r="A248" s="7" t="n">
        <v>6</v>
      </c>
      <c r="B248" s="8">
        <f>B10</f>
        <v/>
      </c>
      <c r="C248" s="8">
        <f>C10</f>
        <v/>
      </c>
      <c r="D248" s="14" t="n"/>
      <c r="E248" s="14" t="n"/>
      <c r="F248" s="8">
        <f>D248+E248</f>
        <v/>
      </c>
      <c r="G248" s="14" t="n"/>
      <c r="H248" s="14" t="n"/>
      <c r="I248" s="8">
        <f>G248+H248</f>
        <v/>
      </c>
      <c r="J248" s="8">
        <f>D248+G248</f>
        <v/>
      </c>
      <c r="K248" s="8">
        <f>E248+H248</f>
        <v/>
      </c>
      <c r="L248" s="8">
        <f>J248+K248</f>
        <v/>
      </c>
      <c r="M248" s="9">
        <f>IF(C248=0,0,L248/C248*100)</f>
        <v/>
      </c>
    </row>
    <row r="249">
      <c r="A249" s="7" t="n">
        <v>7</v>
      </c>
      <c r="B249" s="8">
        <f>B11</f>
        <v/>
      </c>
      <c r="C249" s="8">
        <f>C11</f>
        <v/>
      </c>
      <c r="D249" s="14" t="n"/>
      <c r="E249" s="14" t="n"/>
      <c r="F249" s="8">
        <f>D249+E249</f>
        <v/>
      </c>
      <c r="G249" s="14" t="n"/>
      <c r="H249" s="14" t="n"/>
      <c r="I249" s="8">
        <f>G249+H249</f>
        <v/>
      </c>
      <c r="J249" s="8">
        <f>D249+G249</f>
        <v/>
      </c>
      <c r="K249" s="8">
        <f>E249+H249</f>
        <v/>
      </c>
      <c r="L249" s="8">
        <f>J249+K249</f>
        <v/>
      </c>
      <c r="M249" s="9">
        <f>IF(C249=0,0,L249/C249*100)</f>
        <v/>
      </c>
    </row>
    <row r="250">
      <c r="A250" s="7" t="n">
        <v>8</v>
      </c>
      <c r="B250" s="8">
        <f>B12</f>
        <v/>
      </c>
      <c r="C250" s="8">
        <f>C12</f>
        <v/>
      </c>
      <c r="D250" s="14" t="n"/>
      <c r="E250" s="14" t="n"/>
      <c r="F250" s="8">
        <f>D250+E250</f>
        <v/>
      </c>
      <c r="G250" s="14" t="n"/>
      <c r="H250" s="14" t="n"/>
      <c r="I250" s="8">
        <f>G250+H250</f>
        <v/>
      </c>
      <c r="J250" s="8">
        <f>D250+G250</f>
        <v/>
      </c>
      <c r="K250" s="8">
        <f>E250+H250</f>
        <v/>
      </c>
      <c r="L250" s="8">
        <f>J250+K250</f>
        <v/>
      </c>
      <c r="M250" s="9">
        <f>IF(C250=0,0,L250/C250*100)</f>
        <v/>
      </c>
    </row>
    <row r="251">
      <c r="A251" s="7" t="n">
        <v>9</v>
      </c>
      <c r="B251" s="8">
        <f>B13</f>
        <v/>
      </c>
      <c r="C251" s="8">
        <f>C13</f>
        <v/>
      </c>
      <c r="D251" s="14" t="n"/>
      <c r="E251" s="14" t="n"/>
      <c r="F251" s="8">
        <f>D251+E251</f>
        <v/>
      </c>
      <c r="G251" s="14" t="n"/>
      <c r="H251" s="14" t="n"/>
      <c r="I251" s="8">
        <f>G251+H251</f>
        <v/>
      </c>
      <c r="J251" s="8">
        <f>D251+G251</f>
        <v/>
      </c>
      <c r="K251" s="8">
        <f>E251+H251</f>
        <v/>
      </c>
      <c r="L251" s="8">
        <f>J251+K251</f>
        <v/>
      </c>
      <c r="M251" s="9">
        <f>IF(C251=0,0,L251/C251*100)</f>
        <v/>
      </c>
    </row>
    <row r="252">
      <c r="A252" s="7" t="n">
        <v>10</v>
      </c>
      <c r="B252" s="8">
        <f>B14</f>
        <v/>
      </c>
      <c r="C252" s="8">
        <f>C14</f>
        <v/>
      </c>
      <c r="D252" s="14" t="n"/>
      <c r="E252" s="14" t="n"/>
      <c r="F252" s="8">
        <f>D252+E252</f>
        <v/>
      </c>
      <c r="G252" s="14" t="n"/>
      <c r="H252" s="14" t="n"/>
      <c r="I252" s="8">
        <f>G252+H252</f>
        <v/>
      </c>
      <c r="J252" s="8">
        <f>D252+G252</f>
        <v/>
      </c>
      <c r="K252" s="8">
        <f>E252+H252</f>
        <v/>
      </c>
      <c r="L252" s="8">
        <f>J252+K252</f>
        <v/>
      </c>
      <c r="M252" s="9">
        <f>IF(C252=0,0,L252/C252*100)</f>
        <v/>
      </c>
    </row>
    <row r="253">
      <c r="A253" s="7" t="n">
        <v>11</v>
      </c>
      <c r="B253" s="8">
        <f>B15</f>
        <v/>
      </c>
      <c r="C253" s="8">
        <f>C15</f>
        <v/>
      </c>
      <c r="D253" s="14" t="n"/>
      <c r="E253" s="14" t="n"/>
      <c r="F253" s="8">
        <f>D253+E253</f>
        <v/>
      </c>
      <c r="G253" s="14" t="n"/>
      <c r="H253" s="14" t="n"/>
      <c r="I253" s="8">
        <f>G253+H253</f>
        <v/>
      </c>
      <c r="J253" s="8">
        <f>D253+G253</f>
        <v/>
      </c>
      <c r="K253" s="8">
        <f>E253+H253</f>
        <v/>
      </c>
      <c r="L253" s="8">
        <f>J253+K253</f>
        <v/>
      </c>
      <c r="M253" s="9">
        <f>IF(C253=0,0,L253/C253*100)</f>
        <v/>
      </c>
    </row>
    <row r="254">
      <c r="A254" s="10" t="inlineStr">
        <is>
          <t>Total</t>
        </is>
      </c>
      <c r="B254" s="11">
        <f>SUM(B243:B253)</f>
        <v/>
      </c>
      <c r="C254" s="11">
        <f>SUM(C243:C253)</f>
        <v/>
      </c>
      <c r="D254" s="11">
        <f>SUM(D243:D253)</f>
        <v/>
      </c>
      <c r="E254" s="11">
        <f>SUM(E243:E253)</f>
        <v/>
      </c>
      <c r="F254" s="11">
        <f>D254+E254</f>
        <v/>
      </c>
      <c r="G254" s="11">
        <f>SUM(G243:G253)</f>
        <v/>
      </c>
      <c r="H254" s="11">
        <f>SUM(H243:H253)</f>
        <v/>
      </c>
      <c r="I254" s="11">
        <f>G254+H254</f>
        <v/>
      </c>
      <c r="J254" s="11">
        <f>D254+G254</f>
        <v/>
      </c>
      <c r="K254" s="11">
        <f>E254+H254</f>
        <v/>
      </c>
      <c r="L254" s="11">
        <f>J254+K254</f>
        <v/>
      </c>
      <c r="M254" s="12">
        <f>IF(C254=0,0,L254/C254*100)</f>
        <v/>
      </c>
    </row>
    <row r="256">
      <c r="A256" s="13" t="inlineStr">
        <is>
          <t>Day 15 - 2026-10-19 (Mon 02 Kartik 2083)</t>
        </is>
      </c>
    </row>
    <row r="257">
      <c r="A257" s="6" t="inlineStr">
        <is>
          <t>Ward no.</t>
        </is>
      </c>
      <c r="B257" s="6" t="inlineStr">
        <is>
          <t>Total population</t>
        </is>
      </c>
      <c r="C257" s="6" t="inlineStr">
        <is>
          <t>JE target population</t>
        </is>
      </c>
      <c r="D257" s="6" t="inlineStr">
        <is>
          <t>Vaccinated</t>
        </is>
      </c>
      <c r="E257" s="6" t="n"/>
      <c r="F257" s="6" t="n"/>
      <c r="G257" s="6" t="n"/>
      <c r="H257" s="6" t="n"/>
      <c r="I257" s="6" t="n"/>
      <c r="J257" s="6" t="n"/>
      <c r="K257" s="6" t="n"/>
      <c r="L257" s="6" t="n"/>
      <c r="M257" s="6" t="inlineStr">
        <is>
          <t>Progress %</t>
        </is>
      </c>
    </row>
    <row r="258">
      <c r="A258" s="6" t="n"/>
      <c r="B258" s="6" t="n"/>
      <c r="C258" s="6" t="n"/>
      <c r="D258" s="6" t="inlineStr">
        <is>
          <t>Age 30-60 yrs</t>
        </is>
      </c>
      <c r="E258" s="6" t="n"/>
      <c r="F258" s="6" t="n"/>
      <c r="G258" s="6" t="inlineStr">
        <is>
          <t>Age 60 above</t>
        </is>
      </c>
      <c r="H258" s="6" t="n"/>
      <c r="I258" s="6" t="n"/>
      <c r="J258" s="6" t="inlineStr">
        <is>
          <t>Total</t>
        </is>
      </c>
      <c r="K258" s="6" t="n"/>
      <c r="L258" s="6" t="inlineStr">
        <is>
          <t>Grand Total</t>
        </is>
      </c>
      <c r="M258" s="6" t="n"/>
    </row>
    <row r="259">
      <c r="A259" s="6" t="n"/>
      <c r="B259" s="6" t="n"/>
      <c r="C259" s="6" t="n"/>
      <c r="D259" s="6" t="inlineStr">
        <is>
          <t>F</t>
        </is>
      </c>
      <c r="E259" s="6" t="inlineStr">
        <is>
          <t>M</t>
        </is>
      </c>
      <c r="F259" s="6" t="inlineStr">
        <is>
          <t>Total</t>
        </is>
      </c>
      <c r="G259" s="6" t="inlineStr">
        <is>
          <t>F</t>
        </is>
      </c>
      <c r="H259" s="6" t="inlineStr">
        <is>
          <t>M</t>
        </is>
      </c>
      <c r="I259" s="6" t="inlineStr">
        <is>
          <t>Total</t>
        </is>
      </c>
      <c r="J259" s="6" t="inlineStr">
        <is>
          <t>F</t>
        </is>
      </c>
      <c r="K259" s="6" t="inlineStr">
        <is>
          <t>M</t>
        </is>
      </c>
      <c r="L259" s="6" t="n"/>
      <c r="M259" s="6" t="n"/>
    </row>
    <row r="260">
      <c r="A260" s="7" t="n">
        <v>1</v>
      </c>
      <c r="B260" s="8">
        <f>B5</f>
        <v/>
      </c>
      <c r="C260" s="8">
        <f>C5</f>
        <v/>
      </c>
      <c r="D260" s="14" t="n"/>
      <c r="E260" s="14" t="n"/>
      <c r="F260" s="8">
        <f>D260+E260</f>
        <v/>
      </c>
      <c r="G260" s="14" t="n"/>
      <c r="H260" s="14" t="n"/>
      <c r="I260" s="8">
        <f>G260+H260</f>
        <v/>
      </c>
      <c r="J260" s="8">
        <f>D260+G260</f>
        <v/>
      </c>
      <c r="K260" s="8">
        <f>E260+H260</f>
        <v/>
      </c>
      <c r="L260" s="8">
        <f>J260+K260</f>
        <v/>
      </c>
      <c r="M260" s="9">
        <f>IF(C260=0,0,L260/C260*100)</f>
        <v/>
      </c>
    </row>
    <row r="261">
      <c r="A261" s="7" t="n">
        <v>2</v>
      </c>
      <c r="B261" s="8">
        <f>B6</f>
        <v/>
      </c>
      <c r="C261" s="8">
        <f>C6</f>
        <v/>
      </c>
      <c r="D261" s="14" t="n"/>
      <c r="E261" s="14" t="n"/>
      <c r="F261" s="8">
        <f>D261+E261</f>
        <v/>
      </c>
      <c r="G261" s="14" t="n"/>
      <c r="H261" s="14" t="n"/>
      <c r="I261" s="8">
        <f>G261+H261</f>
        <v/>
      </c>
      <c r="J261" s="8">
        <f>D261+G261</f>
        <v/>
      </c>
      <c r="K261" s="8">
        <f>E261+H261</f>
        <v/>
      </c>
      <c r="L261" s="8">
        <f>J261+K261</f>
        <v/>
      </c>
      <c r="M261" s="9">
        <f>IF(C261=0,0,L261/C261*100)</f>
        <v/>
      </c>
    </row>
    <row r="262">
      <c r="A262" s="7" t="n">
        <v>3</v>
      </c>
      <c r="B262" s="8">
        <f>B7</f>
        <v/>
      </c>
      <c r="C262" s="8">
        <f>C7</f>
        <v/>
      </c>
      <c r="D262" s="14" t="n"/>
      <c r="E262" s="14" t="n"/>
      <c r="F262" s="8">
        <f>D262+E262</f>
        <v/>
      </c>
      <c r="G262" s="14" t="n"/>
      <c r="H262" s="14" t="n"/>
      <c r="I262" s="8">
        <f>G262+H262</f>
        <v/>
      </c>
      <c r="J262" s="8">
        <f>D262+G262</f>
        <v/>
      </c>
      <c r="K262" s="8">
        <f>E262+H262</f>
        <v/>
      </c>
      <c r="L262" s="8">
        <f>J262+K262</f>
        <v/>
      </c>
      <c r="M262" s="9">
        <f>IF(C262=0,0,L262/C262*100)</f>
        <v/>
      </c>
    </row>
    <row r="263">
      <c r="A263" s="7" t="n">
        <v>4</v>
      </c>
      <c r="B263" s="8">
        <f>B8</f>
        <v/>
      </c>
      <c r="C263" s="8">
        <f>C8</f>
        <v/>
      </c>
      <c r="D263" s="14" t="n"/>
      <c r="E263" s="14" t="n"/>
      <c r="F263" s="8">
        <f>D263+E263</f>
        <v/>
      </c>
      <c r="G263" s="14" t="n"/>
      <c r="H263" s="14" t="n"/>
      <c r="I263" s="8">
        <f>G263+H263</f>
        <v/>
      </c>
      <c r="J263" s="8">
        <f>D263+G263</f>
        <v/>
      </c>
      <c r="K263" s="8">
        <f>E263+H263</f>
        <v/>
      </c>
      <c r="L263" s="8">
        <f>J263+K263</f>
        <v/>
      </c>
      <c r="M263" s="9">
        <f>IF(C263=0,0,L263/C263*100)</f>
        <v/>
      </c>
    </row>
    <row r="264">
      <c r="A264" s="7" t="n">
        <v>5</v>
      </c>
      <c r="B264" s="8">
        <f>B9</f>
        <v/>
      </c>
      <c r="C264" s="8">
        <f>C9</f>
        <v/>
      </c>
      <c r="D264" s="14" t="n"/>
      <c r="E264" s="14" t="n"/>
      <c r="F264" s="8">
        <f>D264+E264</f>
        <v/>
      </c>
      <c r="G264" s="14" t="n"/>
      <c r="H264" s="14" t="n"/>
      <c r="I264" s="8">
        <f>G264+H264</f>
        <v/>
      </c>
      <c r="J264" s="8">
        <f>D264+G264</f>
        <v/>
      </c>
      <c r="K264" s="8">
        <f>E264+H264</f>
        <v/>
      </c>
      <c r="L264" s="8">
        <f>J264+K264</f>
        <v/>
      </c>
      <c r="M264" s="9">
        <f>IF(C264=0,0,L264/C264*100)</f>
        <v/>
      </c>
    </row>
    <row r="265">
      <c r="A265" s="7" t="n">
        <v>6</v>
      </c>
      <c r="B265" s="8">
        <f>B10</f>
        <v/>
      </c>
      <c r="C265" s="8">
        <f>C10</f>
        <v/>
      </c>
      <c r="D265" s="14" t="n"/>
      <c r="E265" s="14" t="n"/>
      <c r="F265" s="8">
        <f>D265+E265</f>
        <v/>
      </c>
      <c r="G265" s="14" t="n"/>
      <c r="H265" s="14" t="n"/>
      <c r="I265" s="8">
        <f>G265+H265</f>
        <v/>
      </c>
      <c r="J265" s="8">
        <f>D265+G265</f>
        <v/>
      </c>
      <c r="K265" s="8">
        <f>E265+H265</f>
        <v/>
      </c>
      <c r="L265" s="8">
        <f>J265+K265</f>
        <v/>
      </c>
      <c r="M265" s="9">
        <f>IF(C265=0,0,L265/C265*100)</f>
        <v/>
      </c>
    </row>
    <row r="266">
      <c r="A266" s="7" t="n">
        <v>7</v>
      </c>
      <c r="B266" s="8">
        <f>B11</f>
        <v/>
      </c>
      <c r="C266" s="8">
        <f>C11</f>
        <v/>
      </c>
      <c r="D266" s="14" t="n"/>
      <c r="E266" s="14" t="n"/>
      <c r="F266" s="8">
        <f>D266+E266</f>
        <v/>
      </c>
      <c r="G266" s="14" t="n"/>
      <c r="H266" s="14" t="n"/>
      <c r="I266" s="8">
        <f>G266+H266</f>
        <v/>
      </c>
      <c r="J266" s="8">
        <f>D266+G266</f>
        <v/>
      </c>
      <c r="K266" s="8">
        <f>E266+H266</f>
        <v/>
      </c>
      <c r="L266" s="8">
        <f>J266+K266</f>
        <v/>
      </c>
      <c r="M266" s="9">
        <f>IF(C266=0,0,L266/C266*100)</f>
        <v/>
      </c>
    </row>
    <row r="267">
      <c r="A267" s="7" t="n">
        <v>8</v>
      </c>
      <c r="B267" s="8">
        <f>B12</f>
        <v/>
      </c>
      <c r="C267" s="8">
        <f>C12</f>
        <v/>
      </c>
      <c r="D267" s="14" t="n"/>
      <c r="E267" s="14" t="n"/>
      <c r="F267" s="8">
        <f>D267+E267</f>
        <v/>
      </c>
      <c r="G267" s="14" t="n"/>
      <c r="H267" s="14" t="n"/>
      <c r="I267" s="8">
        <f>G267+H267</f>
        <v/>
      </c>
      <c r="J267" s="8">
        <f>D267+G267</f>
        <v/>
      </c>
      <c r="K267" s="8">
        <f>E267+H267</f>
        <v/>
      </c>
      <c r="L267" s="8">
        <f>J267+K267</f>
        <v/>
      </c>
      <c r="M267" s="9">
        <f>IF(C267=0,0,L267/C267*100)</f>
        <v/>
      </c>
    </row>
    <row r="268">
      <c r="A268" s="7" t="n">
        <v>9</v>
      </c>
      <c r="B268" s="8">
        <f>B13</f>
        <v/>
      </c>
      <c r="C268" s="8">
        <f>C13</f>
        <v/>
      </c>
      <c r="D268" s="14" t="n"/>
      <c r="E268" s="14" t="n"/>
      <c r="F268" s="8">
        <f>D268+E268</f>
        <v/>
      </c>
      <c r="G268" s="14" t="n"/>
      <c r="H268" s="14" t="n"/>
      <c r="I268" s="8">
        <f>G268+H268</f>
        <v/>
      </c>
      <c r="J268" s="8">
        <f>D268+G268</f>
        <v/>
      </c>
      <c r="K268" s="8">
        <f>E268+H268</f>
        <v/>
      </c>
      <c r="L268" s="8">
        <f>J268+K268</f>
        <v/>
      </c>
      <c r="M268" s="9">
        <f>IF(C268=0,0,L268/C268*100)</f>
        <v/>
      </c>
    </row>
    <row r="269">
      <c r="A269" s="7" t="n">
        <v>10</v>
      </c>
      <c r="B269" s="8">
        <f>B14</f>
        <v/>
      </c>
      <c r="C269" s="8">
        <f>C14</f>
        <v/>
      </c>
      <c r="D269" s="14" t="n"/>
      <c r="E269" s="14" t="n"/>
      <c r="F269" s="8">
        <f>D269+E269</f>
        <v/>
      </c>
      <c r="G269" s="14" t="n"/>
      <c r="H269" s="14" t="n"/>
      <c r="I269" s="8">
        <f>G269+H269</f>
        <v/>
      </c>
      <c r="J269" s="8">
        <f>D269+G269</f>
        <v/>
      </c>
      <c r="K269" s="8">
        <f>E269+H269</f>
        <v/>
      </c>
      <c r="L269" s="8">
        <f>J269+K269</f>
        <v/>
      </c>
      <c r="M269" s="9">
        <f>IF(C269=0,0,L269/C269*100)</f>
        <v/>
      </c>
    </row>
    <row r="270">
      <c r="A270" s="7" t="n">
        <v>11</v>
      </c>
      <c r="B270" s="8">
        <f>B15</f>
        <v/>
      </c>
      <c r="C270" s="8">
        <f>C15</f>
        <v/>
      </c>
      <c r="D270" s="14" t="n"/>
      <c r="E270" s="14" t="n"/>
      <c r="F270" s="8">
        <f>D270+E270</f>
        <v/>
      </c>
      <c r="G270" s="14" t="n"/>
      <c r="H270" s="14" t="n"/>
      <c r="I270" s="8">
        <f>G270+H270</f>
        <v/>
      </c>
      <c r="J270" s="8">
        <f>D270+G270</f>
        <v/>
      </c>
      <c r="K270" s="8">
        <f>E270+H270</f>
        <v/>
      </c>
      <c r="L270" s="8">
        <f>J270+K270</f>
        <v/>
      </c>
      <c r="M270" s="9">
        <f>IF(C270=0,0,L270/C270*100)</f>
        <v/>
      </c>
    </row>
    <row r="271">
      <c r="A271" s="10" t="inlineStr">
        <is>
          <t>Total</t>
        </is>
      </c>
      <c r="B271" s="11">
        <f>SUM(B260:B270)</f>
        <v/>
      </c>
      <c r="C271" s="11">
        <f>SUM(C260:C270)</f>
        <v/>
      </c>
      <c r="D271" s="11">
        <f>SUM(D260:D270)</f>
        <v/>
      </c>
      <c r="E271" s="11">
        <f>SUM(E260:E270)</f>
        <v/>
      </c>
      <c r="F271" s="11">
        <f>D271+E271</f>
        <v/>
      </c>
      <c r="G271" s="11">
        <f>SUM(G260:G270)</f>
        <v/>
      </c>
      <c r="H271" s="11">
        <f>SUM(H260:H270)</f>
        <v/>
      </c>
      <c r="I271" s="11">
        <f>G271+H271</f>
        <v/>
      </c>
      <c r="J271" s="11">
        <f>D271+G271</f>
        <v/>
      </c>
      <c r="K271" s="11">
        <f>E271+H271</f>
        <v/>
      </c>
      <c r="L271" s="11">
        <f>J271+K271</f>
        <v/>
      </c>
      <c r="M271" s="12">
        <f>IF(C271=0,0,L271/C271*100)</f>
        <v/>
      </c>
    </row>
  </sheetData>
  <sheetProtection selectLockedCells="0" selectUnlockedCells="0" sheet="1" objects="0" insertRows="1" insertHyperlinks="1" autoFilter="1" scenarios="0" formatColumns="0" deleteColumns="1" insertColumns="1" pivotTables="1" deleteRows="1" formatCells="0" formatRows="0" sort="1"/>
  <mergeCells count="160">
    <mergeCell ref="B53:B55"/>
    <mergeCell ref="D257:L257"/>
    <mergeCell ref="C257:C259"/>
    <mergeCell ref="L3:L4"/>
    <mergeCell ref="M104:M106"/>
    <mergeCell ref="D70:L70"/>
    <mergeCell ref="J190:K190"/>
    <mergeCell ref="G258:I258"/>
    <mergeCell ref="B257:B259"/>
    <mergeCell ref="A121:A123"/>
    <mergeCell ref="B36:B38"/>
    <mergeCell ref="B189:B191"/>
    <mergeCell ref="D37:F37"/>
    <mergeCell ref="C87:C89"/>
    <mergeCell ref="J207:K207"/>
    <mergeCell ref="G88:I88"/>
    <mergeCell ref="A155:A157"/>
    <mergeCell ref="C155:C157"/>
    <mergeCell ref="L224:L225"/>
    <mergeCell ref="A70:A72"/>
    <mergeCell ref="D207:F207"/>
    <mergeCell ref="G173:I173"/>
    <mergeCell ref="M138:M140"/>
    <mergeCell ref="C206:C208"/>
    <mergeCell ref="B70:B72"/>
    <mergeCell ref="D138:L138"/>
    <mergeCell ref="D190:F190"/>
    <mergeCell ref="D19:L19"/>
    <mergeCell ref="D172:L172"/>
    <mergeCell ref="J139:K139"/>
    <mergeCell ref="A223:A225"/>
    <mergeCell ref="A18:M18"/>
    <mergeCell ref="C223:C225"/>
    <mergeCell ref="J71:K71"/>
    <mergeCell ref="D105:F105"/>
    <mergeCell ref="D36:L36"/>
    <mergeCell ref="G122:I122"/>
    <mergeCell ref="C36:C38"/>
    <mergeCell ref="M189:M191"/>
    <mergeCell ref="D2:L2"/>
    <mergeCell ref="G190:I190"/>
    <mergeCell ref="D189:L189"/>
    <mergeCell ref="A188:M188"/>
    <mergeCell ref="J156:K156"/>
    <mergeCell ref="G37:I37"/>
    <mergeCell ref="A240:A242"/>
    <mergeCell ref="A35:M35"/>
    <mergeCell ref="C240:C242"/>
    <mergeCell ref="J88:K88"/>
    <mergeCell ref="D53:L53"/>
    <mergeCell ref="D206:L206"/>
    <mergeCell ref="D156:F156"/>
    <mergeCell ref="B206:B208"/>
    <mergeCell ref="B138:B140"/>
    <mergeCell ref="M87:M89"/>
    <mergeCell ref="L20:L21"/>
    <mergeCell ref="D3:F3"/>
    <mergeCell ref="M121:M123"/>
    <mergeCell ref="D223:L223"/>
    <mergeCell ref="A138:A140"/>
    <mergeCell ref="G54:I54"/>
    <mergeCell ref="J20:K20"/>
    <mergeCell ref="A172:A174"/>
    <mergeCell ref="C172:C174"/>
    <mergeCell ref="D54:F54"/>
    <mergeCell ref="M257:M259"/>
    <mergeCell ref="C104:C106"/>
    <mergeCell ref="G105:I105"/>
    <mergeCell ref="A137:M137"/>
    <mergeCell ref="M70:M72"/>
    <mergeCell ref="J3:K3"/>
    <mergeCell ref="G71:I71"/>
    <mergeCell ref="L241:L242"/>
    <mergeCell ref="M172:M174"/>
    <mergeCell ref="A154:M154"/>
    <mergeCell ref="A189:A191"/>
    <mergeCell ref="G156:I156"/>
    <mergeCell ref="M36:M38"/>
    <mergeCell ref="B87:B89"/>
    <mergeCell ref="A2:A4"/>
    <mergeCell ref="L71:L72"/>
    <mergeCell ref="M223:M225"/>
    <mergeCell ref="C2:C4"/>
    <mergeCell ref="A171:M171"/>
    <mergeCell ref="G3:I3"/>
    <mergeCell ref="J258:K258"/>
    <mergeCell ref="G139:I139"/>
    <mergeCell ref="A206:A208"/>
    <mergeCell ref="C53:C55"/>
    <mergeCell ref="M206:M208"/>
    <mergeCell ref="D122:F122"/>
    <mergeCell ref="G207:I207"/>
    <mergeCell ref="D71:F71"/>
    <mergeCell ref="M240:M242"/>
    <mergeCell ref="D224:F224"/>
    <mergeCell ref="M19:M21"/>
    <mergeCell ref="G20:I20"/>
    <mergeCell ref="A257:A259"/>
    <mergeCell ref="L156:L157"/>
    <mergeCell ref="B121:B123"/>
    <mergeCell ref="A36:A38"/>
    <mergeCell ref="D173:F173"/>
    <mergeCell ref="A1:M1"/>
    <mergeCell ref="A103:M103"/>
    <mergeCell ref="D241:F241"/>
    <mergeCell ref="B223:B225"/>
    <mergeCell ref="A87:A89"/>
    <mergeCell ref="A256:M256"/>
    <mergeCell ref="B2:B4"/>
    <mergeCell ref="C121:C123"/>
    <mergeCell ref="B155:B157"/>
    <mergeCell ref="D20:F20"/>
    <mergeCell ref="L173:L174"/>
    <mergeCell ref="L105:L106"/>
    <mergeCell ref="L139:L140"/>
    <mergeCell ref="A120:M120"/>
    <mergeCell ref="G241:I241"/>
    <mergeCell ref="B240:B242"/>
    <mergeCell ref="A104:A106"/>
    <mergeCell ref="B19:B21"/>
    <mergeCell ref="D104:L104"/>
    <mergeCell ref="C70:C72"/>
    <mergeCell ref="J122:K122"/>
    <mergeCell ref="J224:K224"/>
    <mergeCell ref="L258:L259"/>
    <mergeCell ref="C138:C140"/>
    <mergeCell ref="J37:K37"/>
    <mergeCell ref="L37:L38"/>
    <mergeCell ref="A52:M52"/>
    <mergeCell ref="D87:L87"/>
    <mergeCell ref="A53:A55"/>
    <mergeCell ref="J241:K241"/>
    <mergeCell ref="M53:M55"/>
    <mergeCell ref="L122:L123"/>
    <mergeCell ref="B104:B106"/>
    <mergeCell ref="A19:A21"/>
    <mergeCell ref="L88:L89"/>
    <mergeCell ref="C19:C21"/>
    <mergeCell ref="C189:C191"/>
    <mergeCell ref="M155:M157"/>
    <mergeCell ref="L54:L55"/>
    <mergeCell ref="D121:L121"/>
    <mergeCell ref="A222:M222"/>
    <mergeCell ref="D240:L240"/>
    <mergeCell ref="J54:K54"/>
    <mergeCell ref="D88:F88"/>
    <mergeCell ref="A69:M69"/>
    <mergeCell ref="M2:M4"/>
    <mergeCell ref="J173:K173"/>
    <mergeCell ref="A205:M205"/>
    <mergeCell ref="L207:L208"/>
    <mergeCell ref="J105:K105"/>
    <mergeCell ref="A239:M239"/>
    <mergeCell ref="B172:B174"/>
    <mergeCell ref="D155:L155"/>
    <mergeCell ref="D258:F258"/>
    <mergeCell ref="A86:M86"/>
    <mergeCell ref="D139:F139"/>
    <mergeCell ref="G224:I224"/>
    <mergeCell ref="L190:L191"/>
  </mergeCells>
  <dataValidations count="1">
    <dataValidation sqref="D22 D23 D24 D25 D26 D27 D28 D29 D30 D31 D32 D39 D40 D41 D42 D43 D44 D45 D46 D47 D48 D49 D56 D57 D58 D59 D60 D61 D62 D63 D64 D65 D66 D73 D74 D75 D76 D77 D78 D79 D80 D81 D82 D83 D90 D91 D92 D93 D94 D95 D96 D97 D98 D99 D100 D107 D108 D109 D110 D111 D112 D113 D114 D115 D116 D117 D124 D125 D126 D127 D128 D129 D130 D131 D132 D133 D134 D141 D142 D143 D144 D145 D146 D147 D148 D149 D150 D151 D158 D159 D160 D161 D162 D163 D164 D165 D166 D167 D168 D175 D176 D177 D178 D179 D180 D181 D182 D183 D184 D185 D192 D193 D194 D195 D196 D197 D198 D199 D200 D201 D202 D209 D210 D211 D212 D213 D214 D215 D216 D217 D218 D219 D226 D227 D228 D229 D230 D231 D232 D233 D234 D235 D236 D243 D244 D245 D246 D247 D248 D249 D250 D251 D252 D253 D260 D261 D262 D263 D264 D265 D266 D267 D268 D269 D270 E22 E23 E24 E25 E26 E27 E28 E29 E30 E31 E32 E39 E40 E41 E42 E43 E44 E45 E46 E47 E48 E49 E56 E57 E58 E59 E60 E61 E62 E63 E64 E65 E66 E73 E74 E75 E76 E77 E78 E79 E80 E81 E82 E83 E90 E91 E92 E93 E94 E95 E96 E97 E98 E99 E100 E107 E108 E109 E110 E111 E112 E113 E114 E115 E116 E117 E124 E125 E126 E127 E128 E129 E130 E131 E132 E133 E134 E141 E142 E143 E144 E145 E146 E147 E148 E149 E150 E151 E158 E159 E160 E161 E162 E163 E164 E165 E166 E167 E168 E175 E176 E177 E178 E179 E180 E181 E182 E183 E184 E185 E192 E193 E194 E195 E196 E197 E198 E199 E200 E201 E202 E209 E210 E211 E212 E213 E214 E215 E216 E217 E218 E219 E226 E227 E228 E229 E230 E231 E232 E233 E234 E235 E236 E243 E244 E245 E246 E247 E248 E249 E250 E251 E252 E253 E260 E261 E262 E263 E264 E265 E266 E267 E268 E269 E270 G22 G23 G24 G25 G26 G27 G28 G29 G30 G31 G32 G39 G40 G41 G42 G43 G44 G45 G46 G47 G48 G49 G56 G57 G58 G59 G60 G61 G62 G63 G64 G65 G66 G73 G74 G75 G76 G77 G78 G79 G80 G81 G82 G83 G90 G91 G92 G93 G94 G95 G96 G97 G98 G99 G100 G107 G108 G109 G110 G111 G112 G113 G114 G115 G116 G117 G124 G125 G126 G127 G128 G129 G130 G131 G132 G133 G134 G141 G142 G143 G144 G145 G146 G147 G148 G149 G150 G151 G158 G159 G160 G161 G162 G163 G164 G165 G166 G167 G168 G175 G176 G177 G178 G179 G180 G181 G182 G183 G184 G185 G192 G193 G194 G195 G196 G197 G198 G199 G200 G201 G202 G209 G210 G211 G212 G213 G214 G215 G216 G217 G218 G219 G226 G227 G228 G229 G230 G231 G232 G233 G234 G235 G236 G243 G244 G245 G246 G247 G248 G249 G250 G251 G252 G253 G260 G261 G262 G263 G264 G265 G266 G267 G268 G269 G270 H22 H23 H24 H25 H26 H27 H28 H29 H30 H31 H32 H39 H40 H41 H42 H43 H44 H45 H46 H47 H48 H49 H56 H57 H58 H59 H60 H61 H62 H63 H64 H65 H66 H73 H74 H75 H76 H77 H78 H79 H80 H81 H82 H83 H90 H91 H92 H93 H94 H95 H96 H97 H98 H99 H100 H107 H108 H109 H110 H111 H112 H113 H114 H115 H116 H117 H124 H125 H126 H127 H128 H129 H130 H131 H132 H133 H134 H141 H142 H143 H144 H145 H146 H147 H148 H149 H150 H151 H158 H159 H160 H161 H162 H163 H164 H165 H166 H167 H168 H175 H176 H177 H178 H179 H180 H181 H182 H183 H184 H185 H192 H193 H194 H195 H196 H197 H198 H199 H200 H201 H202 H209 H210 H211 H212 H213 H214 H215 H216 H217 H218 H219 H226 H227 H228 H229 H230 H231 H232 H233 H234 H235 H236 H243 H244 H245 H246 H247 H248 H249 H250 H251 H252 H253 H260 H261 H262 H263 H264 H265 H266 H267 H268 H269 H270" showDropDown="0" showInputMessage="0" showErrorMessage="1" allowBlank="0" errorTitle="Whole number only" error="Enter a whole number of 0 or more." type="whole" operator="greaterThanOrEqual">
      <formula1>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07"/>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13"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10" customWidth="1" min="12" max="12"/>
    <col width="9" customWidth="1" min="13" max="13"/>
  </cols>
  <sheetData>
    <row r="1">
      <c r="A1" s="5" t="inlineStr">
        <is>
          <t>Kamal Gaunpalika - Campaign Total (5-19 Oct 2026)</t>
        </is>
      </c>
    </row>
    <row r="2">
      <c r="A2" s="6" t="inlineStr">
        <is>
          <t>Ward no.</t>
        </is>
      </c>
      <c r="B2" s="6" t="inlineStr">
        <is>
          <t>Total population</t>
        </is>
      </c>
      <c r="C2" s="6" t="inlineStr">
        <is>
          <t>JE target population</t>
        </is>
      </c>
      <c r="D2" s="6" t="inlineStr">
        <is>
          <t>Vaccinated</t>
        </is>
      </c>
      <c r="E2" s="6" t="n"/>
      <c r="F2" s="6" t="n"/>
      <c r="G2" s="6" t="n"/>
      <c r="H2" s="6" t="n"/>
      <c r="I2" s="6" t="n"/>
      <c r="J2" s="6" t="n"/>
      <c r="K2" s="6" t="n"/>
      <c r="L2" s="6" t="n"/>
      <c r="M2" s="6" t="inlineStr">
        <is>
          <t>Progress %</t>
        </is>
      </c>
    </row>
    <row r="3">
      <c r="A3" s="6" t="n"/>
      <c r="B3" s="6" t="n"/>
      <c r="C3" s="6" t="n"/>
      <c r="D3" s="6" t="inlineStr">
        <is>
          <t>Age 30-60 yrs</t>
        </is>
      </c>
      <c r="E3" s="6" t="n"/>
      <c r="F3" s="6" t="n"/>
      <c r="G3" s="6" t="inlineStr">
        <is>
          <t>Age 60 above</t>
        </is>
      </c>
      <c r="H3" s="6" t="n"/>
      <c r="I3" s="6" t="n"/>
      <c r="J3" s="6" t="inlineStr">
        <is>
          <t>Total</t>
        </is>
      </c>
      <c r="K3" s="6" t="n"/>
      <c r="L3" s="6" t="inlineStr">
        <is>
          <t>Grand Total</t>
        </is>
      </c>
      <c r="M3" s="6" t="n"/>
    </row>
    <row r="4">
      <c r="A4" s="6" t="n"/>
      <c r="B4" s="6" t="n"/>
      <c r="C4" s="6" t="n"/>
      <c r="D4" s="6" t="inlineStr">
        <is>
          <t>F</t>
        </is>
      </c>
      <c r="E4" s="6" t="inlineStr">
        <is>
          <t>M</t>
        </is>
      </c>
      <c r="F4" s="6" t="inlineStr">
        <is>
          <t>Total</t>
        </is>
      </c>
      <c r="G4" s="6" t="inlineStr">
        <is>
          <t>F</t>
        </is>
      </c>
      <c r="H4" s="6" t="inlineStr">
        <is>
          <t>M</t>
        </is>
      </c>
      <c r="I4" s="6" t="inlineStr">
        <is>
          <t>Total</t>
        </is>
      </c>
      <c r="J4" s="6" t="inlineStr">
        <is>
          <t>F</t>
        </is>
      </c>
      <c r="K4" s="6" t="inlineStr">
        <is>
          <t>M</t>
        </is>
      </c>
      <c r="L4" s="6" t="n"/>
      <c r="M4" s="6" t="n"/>
    </row>
    <row r="5">
      <c r="A5" s="7" t="n">
        <v>1</v>
      </c>
      <c r="B5" s="8" t="n">
        <v>6877</v>
      </c>
      <c r="C5" s="8" t="n">
        <v>3300.96</v>
      </c>
      <c r="D5" s="8">
        <f>D18+D31+D44+D57+D70+D83+D96+D109+D122+D135+D148+D161+D174+D187+D200</f>
        <v/>
      </c>
      <c r="E5" s="8">
        <f>E18+E31+E44+E57+E70+E83+E96+E109+E122+E135+E148+E161+E174+E187+E200</f>
        <v/>
      </c>
      <c r="F5" s="8">
        <f>D5+E5</f>
        <v/>
      </c>
      <c r="G5" s="8">
        <f>G18+G31+G44+G57+G70+G83+G96+G109+G122+G135+G148+G161+G174+G187+G200</f>
        <v/>
      </c>
      <c r="H5" s="8">
        <f>H18+H31+H44+H57+H70+H83+H96+H109+H122+H135+H148+H161+H174+H187+H200</f>
        <v/>
      </c>
      <c r="I5" s="8">
        <f>G5+H5</f>
        <v/>
      </c>
      <c r="J5" s="8">
        <f>D5+G5</f>
        <v/>
      </c>
      <c r="K5" s="8">
        <f>E5+H5</f>
        <v/>
      </c>
      <c r="L5" s="8">
        <f>J5+K5</f>
        <v/>
      </c>
      <c r="M5" s="9">
        <f>IF(C5=0,0,L5/C5*100)</f>
        <v/>
      </c>
    </row>
    <row r="6">
      <c r="A6" s="7" t="n">
        <v>2</v>
      </c>
      <c r="B6" s="8" t="n">
        <v>6807</v>
      </c>
      <c r="C6" s="8" t="n">
        <v>3267.36</v>
      </c>
      <c r="D6" s="8">
        <f>D19+D32+D45+D58+D71+D84+D97+D110+D123+D136+D149+D162+D175+D188+D201</f>
        <v/>
      </c>
      <c r="E6" s="8">
        <f>E19+E32+E45+E58+E71+E84+E97+E110+E123+E136+E149+E162+E175+E188+E201</f>
        <v/>
      </c>
      <c r="F6" s="8">
        <f>D6+E6</f>
        <v/>
      </c>
      <c r="G6" s="8">
        <f>G19+G32+G45+G58+G71+G84+G97+G110+G123+G136+G149+G162+G175+G188+G201</f>
        <v/>
      </c>
      <c r="H6" s="8">
        <f>H19+H32+H45+H58+H71+H84+H97+H110+H123+H136+H149+H162+H175+H188+H201</f>
        <v/>
      </c>
      <c r="I6" s="8">
        <f>G6+H6</f>
        <v/>
      </c>
      <c r="J6" s="8">
        <f>D6+G6</f>
        <v/>
      </c>
      <c r="K6" s="8">
        <f>E6+H6</f>
        <v/>
      </c>
      <c r="L6" s="8">
        <f>J6+K6</f>
        <v/>
      </c>
      <c r="M6" s="9">
        <f>IF(C6=0,0,L6/C6*100)</f>
        <v/>
      </c>
    </row>
    <row r="7">
      <c r="A7" s="7" t="n">
        <v>3</v>
      </c>
      <c r="B7" s="8" t="n">
        <v>6565</v>
      </c>
      <c r="C7" s="8" t="n">
        <v>3151.2</v>
      </c>
      <c r="D7" s="8">
        <f>D20+D33+D46+D59+D72+D85+D98+D111+D124+D137+D150+D163+D176+D189+D202</f>
        <v/>
      </c>
      <c r="E7" s="8">
        <f>E20+E33+E46+E59+E72+E85+E98+E111+E124+E137+E150+E163+E176+E189+E202</f>
        <v/>
      </c>
      <c r="F7" s="8">
        <f>D7+E7</f>
        <v/>
      </c>
      <c r="G7" s="8">
        <f>G20+G33+G46+G59+G72+G85+G98+G111+G124+G137+G150+G163+G176+G189+G202</f>
        <v/>
      </c>
      <c r="H7" s="8">
        <f>H20+H33+H46+H59+H72+H85+H98+H111+H124+H137+H150+H163+H176+H189+H202</f>
        <v/>
      </c>
      <c r="I7" s="8">
        <f>G7+H7</f>
        <v/>
      </c>
      <c r="J7" s="8">
        <f>D7+G7</f>
        <v/>
      </c>
      <c r="K7" s="8">
        <f>E7+H7</f>
        <v/>
      </c>
      <c r="L7" s="8">
        <f>J7+K7</f>
        <v/>
      </c>
      <c r="M7" s="9">
        <f>IF(C7=0,0,L7/C7*100)</f>
        <v/>
      </c>
    </row>
    <row r="8">
      <c r="A8" s="7" t="n">
        <v>4</v>
      </c>
      <c r="B8" s="8" t="n">
        <v>8179</v>
      </c>
      <c r="C8" s="8" t="n">
        <v>3925.92</v>
      </c>
      <c r="D8" s="8">
        <f>D21+D34+D47+D60+D73+D86+D99+D112+D125+D138+D151+D164+D177+D190+D203</f>
        <v/>
      </c>
      <c r="E8" s="8">
        <f>E21+E34+E47+E60+E73+E86+E99+E112+E125+E138+E151+E164+E177+E190+E203</f>
        <v/>
      </c>
      <c r="F8" s="8">
        <f>D8+E8</f>
        <v/>
      </c>
      <c r="G8" s="8">
        <f>G21+G34+G47+G60+G73+G86+G99+G112+G125+G138+G151+G164+G177+G190+G203</f>
        <v/>
      </c>
      <c r="H8" s="8">
        <f>H21+H34+H47+H60+H73+H86+H99+H112+H125+H138+H151+H164+H177+H190+H203</f>
        <v/>
      </c>
      <c r="I8" s="8">
        <f>G8+H8</f>
        <v/>
      </c>
      <c r="J8" s="8">
        <f>D8+G8</f>
        <v/>
      </c>
      <c r="K8" s="8">
        <f>E8+H8</f>
        <v/>
      </c>
      <c r="L8" s="8">
        <f>J8+K8</f>
        <v/>
      </c>
      <c r="M8" s="9">
        <f>IF(C8=0,0,L8/C8*100)</f>
        <v/>
      </c>
    </row>
    <row r="9">
      <c r="A9" s="7" t="n">
        <v>5</v>
      </c>
      <c r="B9" s="8" t="n">
        <v>11141</v>
      </c>
      <c r="C9" s="8" t="n">
        <v>5347.679999999999</v>
      </c>
      <c r="D9" s="8">
        <f>D22+D35+D48+D61+D74+D87+D100+D113+D126+D139+D152+D165+D178+D191+D204</f>
        <v/>
      </c>
      <c r="E9" s="8">
        <f>E22+E35+E48+E61+E74+E87+E100+E113+E126+E139+E152+E165+E178+E191+E204</f>
        <v/>
      </c>
      <c r="F9" s="8">
        <f>D9+E9</f>
        <v/>
      </c>
      <c r="G9" s="8">
        <f>G22+G35+G48+G61+G74+G87+G100+G113+G126+G139+G152+G165+G178+G191+G204</f>
        <v/>
      </c>
      <c r="H9" s="8">
        <f>H22+H35+H48+H61+H74+H87+H100+H113+H126+H139+H152+H165+H178+H191+H204</f>
        <v/>
      </c>
      <c r="I9" s="8">
        <f>G9+H9</f>
        <v/>
      </c>
      <c r="J9" s="8">
        <f>D9+G9</f>
        <v/>
      </c>
      <c r="K9" s="8">
        <f>E9+H9</f>
        <v/>
      </c>
      <c r="L9" s="8">
        <f>J9+K9</f>
        <v/>
      </c>
      <c r="M9" s="9">
        <f>IF(C9=0,0,L9/C9*100)</f>
        <v/>
      </c>
    </row>
    <row r="10">
      <c r="A10" s="7" t="n">
        <v>6</v>
      </c>
      <c r="B10" s="8" t="n">
        <v>8092</v>
      </c>
      <c r="C10" s="8" t="n">
        <v>3884.16</v>
      </c>
      <c r="D10" s="8">
        <f>D23+D36+D49+D62+D75+D88+D101+D114+D127+D140+D153+D166+D179+D192+D205</f>
        <v/>
      </c>
      <c r="E10" s="8">
        <f>E23+E36+E49+E62+E75+E88+E101+E114+E127+E140+E153+E166+E179+E192+E205</f>
        <v/>
      </c>
      <c r="F10" s="8">
        <f>D10+E10</f>
        <v/>
      </c>
      <c r="G10" s="8">
        <f>G23+G36+G49+G62+G75+G88+G101+G114+G127+G140+G153+G166+G179+G192+G205</f>
        <v/>
      </c>
      <c r="H10" s="8">
        <f>H23+H36+H49+H62+H75+H88+H101+H114+H127+H140+H153+H166+H179+H192+H205</f>
        <v/>
      </c>
      <c r="I10" s="8">
        <f>G10+H10</f>
        <v/>
      </c>
      <c r="J10" s="8">
        <f>D10+G10</f>
        <v/>
      </c>
      <c r="K10" s="8">
        <f>E10+H10</f>
        <v/>
      </c>
      <c r="L10" s="8">
        <f>J10+K10</f>
        <v/>
      </c>
      <c r="M10" s="9">
        <f>IF(C10=0,0,L10/C10*100)</f>
        <v/>
      </c>
    </row>
    <row r="11">
      <c r="A11" s="7" t="n">
        <v>7</v>
      </c>
      <c r="B11" s="8" t="n">
        <v>7480</v>
      </c>
      <c r="C11" s="8" t="n">
        <v>3590.4</v>
      </c>
      <c r="D11" s="8">
        <f>D24+D37+D50+D63+D76+D89+D102+D115+D128+D141+D154+D167+D180+D193+D206</f>
        <v/>
      </c>
      <c r="E11" s="8">
        <f>E24+E37+E50+E63+E76+E89+E102+E115+E128+E141+E154+E167+E180+E193+E206</f>
        <v/>
      </c>
      <c r="F11" s="8">
        <f>D11+E11</f>
        <v/>
      </c>
      <c r="G11" s="8">
        <f>G24+G37+G50+G63+G76+G89+G102+G115+G128+G141+G154+G167+G180+G193+G206</f>
        <v/>
      </c>
      <c r="H11" s="8">
        <f>H24+H37+H50+H63+H76+H89+H102+H115+H128+H141+H154+H167+H180+H193+H206</f>
        <v/>
      </c>
      <c r="I11" s="8">
        <f>G11+H11</f>
        <v/>
      </c>
      <c r="J11" s="8">
        <f>D11+G11</f>
        <v/>
      </c>
      <c r="K11" s="8">
        <f>E11+H11</f>
        <v/>
      </c>
      <c r="L11" s="8">
        <f>J11+K11</f>
        <v/>
      </c>
      <c r="M11" s="9">
        <f>IF(C11=0,0,L11/C11*100)</f>
        <v/>
      </c>
    </row>
    <row r="12">
      <c r="A12" s="10" t="inlineStr">
        <is>
          <t>Total</t>
        </is>
      </c>
      <c r="B12" s="11">
        <f>SUM(B5:B11)</f>
        <v/>
      </c>
      <c r="C12" s="11">
        <f>SUM(C5:C11)</f>
        <v/>
      </c>
      <c r="D12" s="11">
        <f>SUM(D5:D11)</f>
        <v/>
      </c>
      <c r="E12" s="11">
        <f>SUM(E5:E11)</f>
        <v/>
      </c>
      <c r="F12" s="11">
        <f>D12+E12</f>
        <v/>
      </c>
      <c r="G12" s="11">
        <f>SUM(G5:G11)</f>
        <v/>
      </c>
      <c r="H12" s="11">
        <f>SUM(H5:H11)</f>
        <v/>
      </c>
      <c r="I12" s="11">
        <f>G12+H12</f>
        <v/>
      </c>
      <c r="J12" s="11">
        <f>D12+G12</f>
        <v/>
      </c>
      <c r="K12" s="11">
        <f>E12+H12</f>
        <v/>
      </c>
      <c r="L12" s="11">
        <f>J12+K12</f>
        <v/>
      </c>
      <c r="M12" s="12">
        <f>IF(C12=0,0,L12/C12*100)</f>
        <v/>
      </c>
    </row>
    <row r="14">
      <c r="A14" s="13" t="inlineStr">
        <is>
          <t>Day 1 - 2026-10-05 (Mon 19 Aswin 2083)</t>
        </is>
      </c>
    </row>
    <row r="15">
      <c r="A15" s="6" t="inlineStr">
        <is>
          <t>Ward no.</t>
        </is>
      </c>
      <c r="B15" s="6" t="inlineStr">
        <is>
          <t>Total population</t>
        </is>
      </c>
      <c r="C15" s="6" t="inlineStr">
        <is>
          <t>JE target population</t>
        </is>
      </c>
      <c r="D15" s="6" t="inlineStr">
        <is>
          <t>Vaccinated</t>
        </is>
      </c>
      <c r="E15" s="6" t="n"/>
      <c r="F15" s="6" t="n"/>
      <c r="G15" s="6" t="n"/>
      <c r="H15" s="6" t="n"/>
      <c r="I15" s="6" t="n"/>
      <c r="J15" s="6" t="n"/>
      <c r="K15" s="6" t="n"/>
      <c r="L15" s="6" t="n"/>
      <c r="M15" s="6" t="inlineStr">
        <is>
          <t>Progress %</t>
        </is>
      </c>
    </row>
    <row r="16">
      <c r="A16" s="6" t="n"/>
      <c r="B16" s="6" t="n"/>
      <c r="C16" s="6" t="n"/>
      <c r="D16" s="6" t="inlineStr">
        <is>
          <t>Age 30-60 yrs</t>
        </is>
      </c>
      <c r="E16" s="6" t="n"/>
      <c r="F16" s="6" t="n"/>
      <c r="G16" s="6" t="inlineStr">
        <is>
          <t>Age 60 above</t>
        </is>
      </c>
      <c r="H16" s="6" t="n"/>
      <c r="I16" s="6" t="n"/>
      <c r="J16" s="6" t="inlineStr">
        <is>
          <t>Total</t>
        </is>
      </c>
      <c r="K16" s="6" t="n"/>
      <c r="L16" s="6" t="inlineStr">
        <is>
          <t>Grand Total</t>
        </is>
      </c>
      <c r="M16" s="6" t="n"/>
    </row>
    <row r="17">
      <c r="A17" s="6" t="n"/>
      <c r="B17" s="6" t="n"/>
      <c r="C17" s="6" t="n"/>
      <c r="D17" s="6" t="inlineStr">
        <is>
          <t>F</t>
        </is>
      </c>
      <c r="E17" s="6" t="inlineStr">
        <is>
          <t>M</t>
        </is>
      </c>
      <c r="F17" s="6" t="inlineStr">
        <is>
          <t>Total</t>
        </is>
      </c>
      <c r="G17" s="6" t="inlineStr">
        <is>
          <t>F</t>
        </is>
      </c>
      <c r="H17" s="6" t="inlineStr">
        <is>
          <t>M</t>
        </is>
      </c>
      <c r="I17" s="6" t="inlineStr">
        <is>
          <t>Total</t>
        </is>
      </c>
      <c r="J17" s="6" t="inlineStr">
        <is>
          <t>F</t>
        </is>
      </c>
      <c r="K17" s="6" t="inlineStr">
        <is>
          <t>M</t>
        </is>
      </c>
      <c r="L17" s="6" t="n"/>
      <c r="M17" s="6" t="n"/>
    </row>
    <row r="18">
      <c r="A18" s="7" t="n">
        <v>1</v>
      </c>
      <c r="B18" s="8">
        <f>B5</f>
        <v/>
      </c>
      <c r="C18" s="8">
        <f>C5</f>
        <v/>
      </c>
      <c r="D18" s="14" t="n"/>
      <c r="E18" s="14" t="n"/>
      <c r="F18" s="8">
        <f>D18+E18</f>
        <v/>
      </c>
      <c r="G18" s="14" t="n"/>
      <c r="H18" s="14" t="n"/>
      <c r="I18" s="8">
        <f>G18+H18</f>
        <v/>
      </c>
      <c r="J18" s="8">
        <f>D18+G18</f>
        <v/>
      </c>
      <c r="K18" s="8">
        <f>E18+H18</f>
        <v/>
      </c>
      <c r="L18" s="8">
        <f>J18+K18</f>
        <v/>
      </c>
      <c r="M18" s="9">
        <f>IF(C18=0,0,L18/C18*100)</f>
        <v/>
      </c>
    </row>
    <row r="19">
      <c r="A19" s="7" t="n">
        <v>2</v>
      </c>
      <c r="B19" s="8">
        <f>B6</f>
        <v/>
      </c>
      <c r="C19" s="8">
        <f>C6</f>
        <v/>
      </c>
      <c r="D19" s="14" t="n"/>
      <c r="E19" s="14" t="n"/>
      <c r="F19" s="8">
        <f>D19+E19</f>
        <v/>
      </c>
      <c r="G19" s="14" t="n"/>
      <c r="H19" s="14" t="n"/>
      <c r="I19" s="8">
        <f>G19+H19</f>
        <v/>
      </c>
      <c r="J19" s="8">
        <f>D19+G19</f>
        <v/>
      </c>
      <c r="K19" s="8">
        <f>E19+H19</f>
        <v/>
      </c>
      <c r="L19" s="8">
        <f>J19+K19</f>
        <v/>
      </c>
      <c r="M19" s="9">
        <f>IF(C19=0,0,L19/C19*100)</f>
        <v/>
      </c>
    </row>
    <row r="20">
      <c r="A20" s="7" t="n">
        <v>3</v>
      </c>
      <c r="B20" s="8">
        <f>B7</f>
        <v/>
      </c>
      <c r="C20" s="8">
        <f>C7</f>
        <v/>
      </c>
      <c r="D20" s="14" t="n"/>
      <c r="E20" s="14" t="n"/>
      <c r="F20" s="8">
        <f>D20+E20</f>
        <v/>
      </c>
      <c r="G20" s="14" t="n"/>
      <c r="H20" s="14" t="n"/>
      <c r="I20" s="8">
        <f>G20+H20</f>
        <v/>
      </c>
      <c r="J20" s="8">
        <f>D20+G20</f>
        <v/>
      </c>
      <c r="K20" s="8">
        <f>E20+H20</f>
        <v/>
      </c>
      <c r="L20" s="8">
        <f>J20+K20</f>
        <v/>
      </c>
      <c r="M20" s="9">
        <f>IF(C20=0,0,L20/C20*100)</f>
        <v/>
      </c>
    </row>
    <row r="21">
      <c r="A21" s="7" t="n">
        <v>4</v>
      </c>
      <c r="B21" s="8">
        <f>B8</f>
        <v/>
      </c>
      <c r="C21" s="8">
        <f>C8</f>
        <v/>
      </c>
      <c r="D21" s="14" t="n"/>
      <c r="E21" s="14" t="n"/>
      <c r="F21" s="8">
        <f>D21+E21</f>
        <v/>
      </c>
      <c r="G21" s="14" t="n"/>
      <c r="H21" s="14" t="n"/>
      <c r="I21" s="8">
        <f>G21+H21</f>
        <v/>
      </c>
      <c r="J21" s="8">
        <f>D21+G21</f>
        <v/>
      </c>
      <c r="K21" s="8">
        <f>E21+H21</f>
        <v/>
      </c>
      <c r="L21" s="8">
        <f>J21+K21</f>
        <v/>
      </c>
      <c r="M21" s="9">
        <f>IF(C21=0,0,L21/C21*100)</f>
        <v/>
      </c>
    </row>
    <row r="22">
      <c r="A22" s="7" t="n">
        <v>5</v>
      </c>
      <c r="B22" s="8">
        <f>B9</f>
        <v/>
      </c>
      <c r="C22" s="8">
        <f>C9</f>
        <v/>
      </c>
      <c r="D22" s="14" t="n"/>
      <c r="E22" s="14" t="n"/>
      <c r="F22" s="8">
        <f>D22+E22</f>
        <v/>
      </c>
      <c r="G22" s="14" t="n"/>
      <c r="H22" s="14" t="n"/>
      <c r="I22" s="8">
        <f>G22+H22</f>
        <v/>
      </c>
      <c r="J22" s="8">
        <f>D22+G22</f>
        <v/>
      </c>
      <c r="K22" s="8">
        <f>E22+H22</f>
        <v/>
      </c>
      <c r="L22" s="8">
        <f>J22+K22</f>
        <v/>
      </c>
      <c r="M22" s="9">
        <f>IF(C22=0,0,L22/C22*100)</f>
        <v/>
      </c>
    </row>
    <row r="23">
      <c r="A23" s="7" t="n">
        <v>6</v>
      </c>
      <c r="B23" s="8">
        <f>B10</f>
        <v/>
      </c>
      <c r="C23" s="8">
        <f>C10</f>
        <v/>
      </c>
      <c r="D23" s="14" t="n"/>
      <c r="E23" s="14" t="n"/>
      <c r="F23" s="8">
        <f>D23+E23</f>
        <v/>
      </c>
      <c r="G23" s="14" t="n"/>
      <c r="H23" s="14" t="n"/>
      <c r="I23" s="8">
        <f>G23+H23</f>
        <v/>
      </c>
      <c r="J23" s="8">
        <f>D23+G23</f>
        <v/>
      </c>
      <c r="K23" s="8">
        <f>E23+H23</f>
        <v/>
      </c>
      <c r="L23" s="8">
        <f>J23+K23</f>
        <v/>
      </c>
      <c r="M23" s="9">
        <f>IF(C23=0,0,L23/C23*100)</f>
        <v/>
      </c>
    </row>
    <row r="24">
      <c r="A24" s="7" t="n">
        <v>7</v>
      </c>
      <c r="B24" s="8">
        <f>B11</f>
        <v/>
      </c>
      <c r="C24" s="8">
        <f>C11</f>
        <v/>
      </c>
      <c r="D24" s="14" t="n"/>
      <c r="E24" s="14" t="n"/>
      <c r="F24" s="8">
        <f>D24+E24</f>
        <v/>
      </c>
      <c r="G24" s="14" t="n"/>
      <c r="H24" s="14" t="n"/>
      <c r="I24" s="8">
        <f>G24+H24</f>
        <v/>
      </c>
      <c r="J24" s="8">
        <f>D24+G24</f>
        <v/>
      </c>
      <c r="K24" s="8">
        <f>E24+H24</f>
        <v/>
      </c>
      <c r="L24" s="8">
        <f>J24+K24</f>
        <v/>
      </c>
      <c r="M24" s="9">
        <f>IF(C24=0,0,L24/C24*100)</f>
        <v/>
      </c>
    </row>
    <row r="25">
      <c r="A25" s="10" t="inlineStr">
        <is>
          <t>Total</t>
        </is>
      </c>
      <c r="B25" s="11">
        <f>SUM(B18:B24)</f>
        <v/>
      </c>
      <c r="C25" s="11">
        <f>SUM(C18:C24)</f>
        <v/>
      </c>
      <c r="D25" s="11">
        <f>SUM(D18:D24)</f>
        <v/>
      </c>
      <c r="E25" s="11">
        <f>SUM(E18:E24)</f>
        <v/>
      </c>
      <c r="F25" s="11">
        <f>D25+E25</f>
        <v/>
      </c>
      <c r="G25" s="11">
        <f>SUM(G18:G24)</f>
        <v/>
      </c>
      <c r="H25" s="11">
        <f>SUM(H18:H24)</f>
        <v/>
      </c>
      <c r="I25" s="11">
        <f>G25+H25</f>
        <v/>
      </c>
      <c r="J25" s="11">
        <f>D25+G25</f>
        <v/>
      </c>
      <c r="K25" s="11">
        <f>E25+H25</f>
        <v/>
      </c>
      <c r="L25" s="11">
        <f>J25+K25</f>
        <v/>
      </c>
      <c r="M25" s="12">
        <f>IF(C25=0,0,L25/C25*100)</f>
        <v/>
      </c>
    </row>
    <row r="27">
      <c r="A27" s="13" t="inlineStr">
        <is>
          <t>Day 2 - 2026-10-06 (Tue 20 Aswin 2083)</t>
        </is>
      </c>
    </row>
    <row r="28">
      <c r="A28" s="6" t="inlineStr">
        <is>
          <t>Ward no.</t>
        </is>
      </c>
      <c r="B28" s="6" t="inlineStr">
        <is>
          <t>Total population</t>
        </is>
      </c>
      <c r="C28" s="6" t="inlineStr">
        <is>
          <t>JE target population</t>
        </is>
      </c>
      <c r="D28" s="6" t="inlineStr">
        <is>
          <t>Vaccinated</t>
        </is>
      </c>
      <c r="E28" s="6" t="n"/>
      <c r="F28" s="6" t="n"/>
      <c r="G28" s="6" t="n"/>
      <c r="H28" s="6" t="n"/>
      <c r="I28" s="6" t="n"/>
      <c r="J28" s="6" t="n"/>
      <c r="K28" s="6" t="n"/>
      <c r="L28" s="6" t="n"/>
      <c r="M28" s="6" t="inlineStr">
        <is>
          <t>Progress %</t>
        </is>
      </c>
    </row>
    <row r="29">
      <c r="A29" s="6" t="n"/>
      <c r="B29" s="6" t="n"/>
      <c r="C29" s="6" t="n"/>
      <c r="D29" s="6" t="inlineStr">
        <is>
          <t>Age 30-60 yrs</t>
        </is>
      </c>
      <c r="E29" s="6" t="n"/>
      <c r="F29" s="6" t="n"/>
      <c r="G29" s="6" t="inlineStr">
        <is>
          <t>Age 60 above</t>
        </is>
      </c>
      <c r="H29" s="6" t="n"/>
      <c r="I29" s="6" t="n"/>
      <c r="J29" s="6" t="inlineStr">
        <is>
          <t>Total</t>
        </is>
      </c>
      <c r="K29" s="6" t="n"/>
      <c r="L29" s="6" t="inlineStr">
        <is>
          <t>Grand Total</t>
        </is>
      </c>
      <c r="M29" s="6" t="n"/>
    </row>
    <row r="30">
      <c r="A30" s="6" t="n"/>
      <c r="B30" s="6" t="n"/>
      <c r="C30" s="6" t="n"/>
      <c r="D30" s="6" t="inlineStr">
        <is>
          <t>F</t>
        </is>
      </c>
      <c r="E30" s="6" t="inlineStr">
        <is>
          <t>M</t>
        </is>
      </c>
      <c r="F30" s="6" t="inlineStr">
        <is>
          <t>Total</t>
        </is>
      </c>
      <c r="G30" s="6" t="inlineStr">
        <is>
          <t>F</t>
        </is>
      </c>
      <c r="H30" s="6" t="inlineStr">
        <is>
          <t>M</t>
        </is>
      </c>
      <c r="I30" s="6" t="inlineStr">
        <is>
          <t>Total</t>
        </is>
      </c>
      <c r="J30" s="6" t="inlineStr">
        <is>
          <t>F</t>
        </is>
      </c>
      <c r="K30" s="6" t="inlineStr">
        <is>
          <t>M</t>
        </is>
      </c>
      <c r="L30" s="6" t="n"/>
      <c r="M30" s="6" t="n"/>
    </row>
    <row r="31">
      <c r="A31" s="7" t="n">
        <v>1</v>
      </c>
      <c r="B31" s="8">
        <f>B5</f>
        <v/>
      </c>
      <c r="C31" s="8">
        <f>C5</f>
        <v/>
      </c>
      <c r="D31" s="14" t="n"/>
      <c r="E31" s="14" t="n"/>
      <c r="F31" s="8">
        <f>D31+E31</f>
        <v/>
      </c>
      <c r="G31" s="14" t="n"/>
      <c r="H31" s="14" t="n"/>
      <c r="I31" s="8">
        <f>G31+H31</f>
        <v/>
      </c>
      <c r="J31" s="8">
        <f>D31+G31</f>
        <v/>
      </c>
      <c r="K31" s="8">
        <f>E31+H31</f>
        <v/>
      </c>
      <c r="L31" s="8">
        <f>J31+K31</f>
        <v/>
      </c>
      <c r="M31" s="9">
        <f>IF(C31=0,0,L31/C31*100)</f>
        <v/>
      </c>
    </row>
    <row r="32">
      <c r="A32" s="7" t="n">
        <v>2</v>
      </c>
      <c r="B32" s="8">
        <f>B6</f>
        <v/>
      </c>
      <c r="C32" s="8">
        <f>C6</f>
        <v/>
      </c>
      <c r="D32" s="14" t="n"/>
      <c r="E32" s="14" t="n"/>
      <c r="F32" s="8">
        <f>D32+E32</f>
        <v/>
      </c>
      <c r="G32" s="14" t="n"/>
      <c r="H32" s="14" t="n"/>
      <c r="I32" s="8">
        <f>G32+H32</f>
        <v/>
      </c>
      <c r="J32" s="8">
        <f>D32+G32</f>
        <v/>
      </c>
      <c r="K32" s="8">
        <f>E32+H32</f>
        <v/>
      </c>
      <c r="L32" s="8">
        <f>J32+K32</f>
        <v/>
      </c>
      <c r="M32" s="9">
        <f>IF(C32=0,0,L32/C32*100)</f>
        <v/>
      </c>
    </row>
    <row r="33">
      <c r="A33" s="7" t="n">
        <v>3</v>
      </c>
      <c r="B33" s="8">
        <f>B7</f>
        <v/>
      </c>
      <c r="C33" s="8">
        <f>C7</f>
        <v/>
      </c>
      <c r="D33" s="14" t="n"/>
      <c r="E33" s="14" t="n"/>
      <c r="F33" s="8">
        <f>D33+E33</f>
        <v/>
      </c>
      <c r="G33" s="14" t="n"/>
      <c r="H33" s="14" t="n"/>
      <c r="I33" s="8">
        <f>G33+H33</f>
        <v/>
      </c>
      <c r="J33" s="8">
        <f>D33+G33</f>
        <v/>
      </c>
      <c r="K33" s="8">
        <f>E33+H33</f>
        <v/>
      </c>
      <c r="L33" s="8">
        <f>J33+K33</f>
        <v/>
      </c>
      <c r="M33" s="9">
        <f>IF(C33=0,0,L33/C33*100)</f>
        <v/>
      </c>
    </row>
    <row r="34">
      <c r="A34" s="7" t="n">
        <v>4</v>
      </c>
      <c r="B34" s="8">
        <f>B8</f>
        <v/>
      </c>
      <c r="C34" s="8">
        <f>C8</f>
        <v/>
      </c>
      <c r="D34" s="14" t="n"/>
      <c r="E34" s="14" t="n"/>
      <c r="F34" s="8">
        <f>D34+E34</f>
        <v/>
      </c>
      <c r="G34" s="14" t="n"/>
      <c r="H34" s="14" t="n"/>
      <c r="I34" s="8">
        <f>G34+H34</f>
        <v/>
      </c>
      <c r="J34" s="8">
        <f>D34+G34</f>
        <v/>
      </c>
      <c r="K34" s="8">
        <f>E34+H34</f>
        <v/>
      </c>
      <c r="L34" s="8">
        <f>J34+K34</f>
        <v/>
      </c>
      <c r="M34" s="9">
        <f>IF(C34=0,0,L34/C34*100)</f>
        <v/>
      </c>
    </row>
    <row r="35">
      <c r="A35" s="7" t="n">
        <v>5</v>
      </c>
      <c r="B35" s="8">
        <f>B9</f>
        <v/>
      </c>
      <c r="C35" s="8">
        <f>C9</f>
        <v/>
      </c>
      <c r="D35" s="14" t="n"/>
      <c r="E35" s="14" t="n"/>
      <c r="F35" s="8">
        <f>D35+E35</f>
        <v/>
      </c>
      <c r="G35" s="14" t="n"/>
      <c r="H35" s="14" t="n"/>
      <c r="I35" s="8">
        <f>G35+H35</f>
        <v/>
      </c>
      <c r="J35" s="8">
        <f>D35+G35</f>
        <v/>
      </c>
      <c r="K35" s="8">
        <f>E35+H35</f>
        <v/>
      </c>
      <c r="L35" s="8">
        <f>J35+K35</f>
        <v/>
      </c>
      <c r="M35" s="9">
        <f>IF(C35=0,0,L35/C35*100)</f>
        <v/>
      </c>
    </row>
    <row r="36">
      <c r="A36" s="7" t="n">
        <v>6</v>
      </c>
      <c r="B36" s="8">
        <f>B10</f>
        <v/>
      </c>
      <c r="C36" s="8">
        <f>C10</f>
        <v/>
      </c>
      <c r="D36" s="14" t="n"/>
      <c r="E36" s="14" t="n"/>
      <c r="F36" s="8">
        <f>D36+E36</f>
        <v/>
      </c>
      <c r="G36" s="14" t="n"/>
      <c r="H36" s="14" t="n"/>
      <c r="I36" s="8">
        <f>G36+H36</f>
        <v/>
      </c>
      <c r="J36" s="8">
        <f>D36+G36</f>
        <v/>
      </c>
      <c r="K36" s="8">
        <f>E36+H36</f>
        <v/>
      </c>
      <c r="L36" s="8">
        <f>J36+K36</f>
        <v/>
      </c>
      <c r="M36" s="9">
        <f>IF(C36=0,0,L36/C36*100)</f>
        <v/>
      </c>
    </row>
    <row r="37">
      <c r="A37" s="7" t="n">
        <v>7</v>
      </c>
      <c r="B37" s="8">
        <f>B11</f>
        <v/>
      </c>
      <c r="C37" s="8">
        <f>C11</f>
        <v/>
      </c>
      <c r="D37" s="14" t="n"/>
      <c r="E37" s="14" t="n"/>
      <c r="F37" s="8">
        <f>D37+E37</f>
        <v/>
      </c>
      <c r="G37" s="14" t="n"/>
      <c r="H37" s="14" t="n"/>
      <c r="I37" s="8">
        <f>G37+H37</f>
        <v/>
      </c>
      <c r="J37" s="8">
        <f>D37+G37</f>
        <v/>
      </c>
      <c r="K37" s="8">
        <f>E37+H37</f>
        <v/>
      </c>
      <c r="L37" s="8">
        <f>J37+K37</f>
        <v/>
      </c>
      <c r="M37" s="9">
        <f>IF(C37=0,0,L37/C37*100)</f>
        <v/>
      </c>
    </row>
    <row r="38">
      <c r="A38" s="10" t="inlineStr">
        <is>
          <t>Total</t>
        </is>
      </c>
      <c r="B38" s="11">
        <f>SUM(B31:B37)</f>
        <v/>
      </c>
      <c r="C38" s="11">
        <f>SUM(C31:C37)</f>
        <v/>
      </c>
      <c r="D38" s="11">
        <f>SUM(D31:D37)</f>
        <v/>
      </c>
      <c r="E38" s="11">
        <f>SUM(E31:E37)</f>
        <v/>
      </c>
      <c r="F38" s="11">
        <f>D38+E38</f>
        <v/>
      </c>
      <c r="G38" s="11">
        <f>SUM(G31:G37)</f>
        <v/>
      </c>
      <c r="H38" s="11">
        <f>SUM(H31:H37)</f>
        <v/>
      </c>
      <c r="I38" s="11">
        <f>G38+H38</f>
        <v/>
      </c>
      <c r="J38" s="11">
        <f>D38+G38</f>
        <v/>
      </c>
      <c r="K38" s="11">
        <f>E38+H38</f>
        <v/>
      </c>
      <c r="L38" s="11">
        <f>J38+K38</f>
        <v/>
      </c>
      <c r="M38" s="12">
        <f>IF(C38=0,0,L38/C38*100)</f>
        <v/>
      </c>
    </row>
    <row r="40">
      <c r="A40" s="13" t="inlineStr">
        <is>
          <t>Day 3 - 2026-10-07 (Wed 21 Aswin 2083)</t>
        </is>
      </c>
    </row>
    <row r="41">
      <c r="A41" s="6" t="inlineStr">
        <is>
          <t>Ward no.</t>
        </is>
      </c>
      <c r="B41" s="6" t="inlineStr">
        <is>
          <t>Total population</t>
        </is>
      </c>
      <c r="C41" s="6" t="inlineStr">
        <is>
          <t>JE target population</t>
        </is>
      </c>
      <c r="D41" s="6" t="inlineStr">
        <is>
          <t>Vaccinated</t>
        </is>
      </c>
      <c r="E41" s="6" t="n"/>
      <c r="F41" s="6" t="n"/>
      <c r="G41" s="6" t="n"/>
      <c r="H41" s="6" t="n"/>
      <c r="I41" s="6" t="n"/>
      <c r="J41" s="6" t="n"/>
      <c r="K41" s="6" t="n"/>
      <c r="L41" s="6" t="n"/>
      <c r="M41" s="6" t="inlineStr">
        <is>
          <t>Progress %</t>
        </is>
      </c>
    </row>
    <row r="42">
      <c r="A42" s="6" t="n"/>
      <c r="B42" s="6" t="n"/>
      <c r="C42" s="6" t="n"/>
      <c r="D42" s="6" t="inlineStr">
        <is>
          <t>Age 30-60 yrs</t>
        </is>
      </c>
      <c r="E42" s="6" t="n"/>
      <c r="F42" s="6" t="n"/>
      <c r="G42" s="6" t="inlineStr">
        <is>
          <t>Age 60 above</t>
        </is>
      </c>
      <c r="H42" s="6" t="n"/>
      <c r="I42" s="6" t="n"/>
      <c r="J42" s="6" t="inlineStr">
        <is>
          <t>Total</t>
        </is>
      </c>
      <c r="K42" s="6" t="n"/>
      <c r="L42" s="6" t="inlineStr">
        <is>
          <t>Grand Total</t>
        </is>
      </c>
      <c r="M42" s="6" t="n"/>
    </row>
    <row r="43">
      <c r="A43" s="6" t="n"/>
      <c r="B43" s="6" t="n"/>
      <c r="C43" s="6" t="n"/>
      <c r="D43" s="6" t="inlineStr">
        <is>
          <t>F</t>
        </is>
      </c>
      <c r="E43" s="6" t="inlineStr">
        <is>
          <t>M</t>
        </is>
      </c>
      <c r="F43" s="6" t="inlineStr">
        <is>
          <t>Total</t>
        </is>
      </c>
      <c r="G43" s="6" t="inlineStr">
        <is>
          <t>F</t>
        </is>
      </c>
      <c r="H43" s="6" t="inlineStr">
        <is>
          <t>M</t>
        </is>
      </c>
      <c r="I43" s="6" t="inlineStr">
        <is>
          <t>Total</t>
        </is>
      </c>
      <c r="J43" s="6" t="inlineStr">
        <is>
          <t>F</t>
        </is>
      </c>
      <c r="K43" s="6" t="inlineStr">
        <is>
          <t>M</t>
        </is>
      </c>
      <c r="L43" s="6" t="n"/>
      <c r="M43" s="6" t="n"/>
    </row>
    <row r="44">
      <c r="A44" s="7" t="n">
        <v>1</v>
      </c>
      <c r="B44" s="8">
        <f>B5</f>
        <v/>
      </c>
      <c r="C44" s="8">
        <f>C5</f>
        <v/>
      </c>
      <c r="D44" s="14" t="n"/>
      <c r="E44" s="14" t="n"/>
      <c r="F44" s="8">
        <f>D44+E44</f>
        <v/>
      </c>
      <c r="G44" s="14" t="n"/>
      <c r="H44" s="14" t="n"/>
      <c r="I44" s="8">
        <f>G44+H44</f>
        <v/>
      </c>
      <c r="J44" s="8">
        <f>D44+G44</f>
        <v/>
      </c>
      <c r="K44" s="8">
        <f>E44+H44</f>
        <v/>
      </c>
      <c r="L44" s="8">
        <f>J44+K44</f>
        <v/>
      </c>
      <c r="M44" s="9">
        <f>IF(C44=0,0,L44/C44*100)</f>
        <v/>
      </c>
    </row>
    <row r="45">
      <c r="A45" s="7" t="n">
        <v>2</v>
      </c>
      <c r="B45" s="8">
        <f>B6</f>
        <v/>
      </c>
      <c r="C45" s="8">
        <f>C6</f>
        <v/>
      </c>
      <c r="D45" s="14" t="n"/>
      <c r="E45" s="14" t="n"/>
      <c r="F45" s="8">
        <f>D45+E45</f>
        <v/>
      </c>
      <c r="G45" s="14" t="n"/>
      <c r="H45" s="14" t="n"/>
      <c r="I45" s="8">
        <f>G45+H45</f>
        <v/>
      </c>
      <c r="J45" s="8">
        <f>D45+G45</f>
        <v/>
      </c>
      <c r="K45" s="8">
        <f>E45+H45</f>
        <v/>
      </c>
      <c r="L45" s="8">
        <f>J45+K45</f>
        <v/>
      </c>
      <c r="M45" s="9">
        <f>IF(C45=0,0,L45/C45*100)</f>
        <v/>
      </c>
    </row>
    <row r="46">
      <c r="A46" s="7" t="n">
        <v>3</v>
      </c>
      <c r="B46" s="8">
        <f>B7</f>
        <v/>
      </c>
      <c r="C46" s="8">
        <f>C7</f>
        <v/>
      </c>
      <c r="D46" s="14" t="n"/>
      <c r="E46" s="14" t="n"/>
      <c r="F46" s="8">
        <f>D46+E46</f>
        <v/>
      </c>
      <c r="G46" s="14" t="n"/>
      <c r="H46" s="14" t="n"/>
      <c r="I46" s="8">
        <f>G46+H46</f>
        <v/>
      </c>
      <c r="J46" s="8">
        <f>D46+G46</f>
        <v/>
      </c>
      <c r="K46" s="8">
        <f>E46+H46</f>
        <v/>
      </c>
      <c r="L46" s="8">
        <f>J46+K46</f>
        <v/>
      </c>
      <c r="M46" s="9">
        <f>IF(C46=0,0,L46/C46*100)</f>
        <v/>
      </c>
    </row>
    <row r="47">
      <c r="A47" s="7" t="n">
        <v>4</v>
      </c>
      <c r="B47" s="8">
        <f>B8</f>
        <v/>
      </c>
      <c r="C47" s="8">
        <f>C8</f>
        <v/>
      </c>
      <c r="D47" s="14" t="n"/>
      <c r="E47" s="14" t="n"/>
      <c r="F47" s="8">
        <f>D47+E47</f>
        <v/>
      </c>
      <c r="G47" s="14" t="n"/>
      <c r="H47" s="14" t="n"/>
      <c r="I47" s="8">
        <f>G47+H47</f>
        <v/>
      </c>
      <c r="J47" s="8">
        <f>D47+G47</f>
        <v/>
      </c>
      <c r="K47" s="8">
        <f>E47+H47</f>
        <v/>
      </c>
      <c r="L47" s="8">
        <f>J47+K47</f>
        <v/>
      </c>
      <c r="M47" s="9">
        <f>IF(C47=0,0,L47/C47*100)</f>
        <v/>
      </c>
    </row>
    <row r="48">
      <c r="A48" s="7" t="n">
        <v>5</v>
      </c>
      <c r="B48" s="8">
        <f>B9</f>
        <v/>
      </c>
      <c r="C48" s="8">
        <f>C9</f>
        <v/>
      </c>
      <c r="D48" s="14" t="n"/>
      <c r="E48" s="14" t="n"/>
      <c r="F48" s="8">
        <f>D48+E48</f>
        <v/>
      </c>
      <c r="G48" s="14" t="n"/>
      <c r="H48" s="14" t="n"/>
      <c r="I48" s="8">
        <f>G48+H48</f>
        <v/>
      </c>
      <c r="J48" s="8">
        <f>D48+G48</f>
        <v/>
      </c>
      <c r="K48" s="8">
        <f>E48+H48</f>
        <v/>
      </c>
      <c r="L48" s="8">
        <f>J48+K48</f>
        <v/>
      </c>
      <c r="M48" s="9">
        <f>IF(C48=0,0,L48/C48*100)</f>
        <v/>
      </c>
    </row>
    <row r="49">
      <c r="A49" s="7" t="n">
        <v>6</v>
      </c>
      <c r="B49" s="8">
        <f>B10</f>
        <v/>
      </c>
      <c r="C49" s="8">
        <f>C10</f>
        <v/>
      </c>
      <c r="D49" s="14" t="n"/>
      <c r="E49" s="14" t="n"/>
      <c r="F49" s="8">
        <f>D49+E49</f>
        <v/>
      </c>
      <c r="G49" s="14" t="n"/>
      <c r="H49" s="14" t="n"/>
      <c r="I49" s="8">
        <f>G49+H49</f>
        <v/>
      </c>
      <c r="J49" s="8">
        <f>D49+G49</f>
        <v/>
      </c>
      <c r="K49" s="8">
        <f>E49+H49</f>
        <v/>
      </c>
      <c r="L49" s="8">
        <f>J49+K49</f>
        <v/>
      </c>
      <c r="M49" s="9">
        <f>IF(C49=0,0,L49/C49*100)</f>
        <v/>
      </c>
    </row>
    <row r="50">
      <c r="A50" s="7" t="n">
        <v>7</v>
      </c>
      <c r="B50" s="8">
        <f>B11</f>
        <v/>
      </c>
      <c r="C50" s="8">
        <f>C11</f>
        <v/>
      </c>
      <c r="D50" s="14" t="n"/>
      <c r="E50" s="14" t="n"/>
      <c r="F50" s="8">
        <f>D50+E50</f>
        <v/>
      </c>
      <c r="G50" s="14" t="n"/>
      <c r="H50" s="14" t="n"/>
      <c r="I50" s="8">
        <f>G50+H50</f>
        <v/>
      </c>
      <c r="J50" s="8">
        <f>D50+G50</f>
        <v/>
      </c>
      <c r="K50" s="8">
        <f>E50+H50</f>
        <v/>
      </c>
      <c r="L50" s="8">
        <f>J50+K50</f>
        <v/>
      </c>
      <c r="M50" s="9">
        <f>IF(C50=0,0,L50/C50*100)</f>
        <v/>
      </c>
    </row>
    <row r="51">
      <c r="A51" s="10" t="inlineStr">
        <is>
          <t>Total</t>
        </is>
      </c>
      <c r="B51" s="11">
        <f>SUM(B44:B50)</f>
        <v/>
      </c>
      <c r="C51" s="11">
        <f>SUM(C44:C50)</f>
        <v/>
      </c>
      <c r="D51" s="11">
        <f>SUM(D44:D50)</f>
        <v/>
      </c>
      <c r="E51" s="11">
        <f>SUM(E44:E50)</f>
        <v/>
      </c>
      <c r="F51" s="11">
        <f>D51+E51</f>
        <v/>
      </c>
      <c r="G51" s="11">
        <f>SUM(G44:G50)</f>
        <v/>
      </c>
      <c r="H51" s="11">
        <f>SUM(H44:H50)</f>
        <v/>
      </c>
      <c r="I51" s="11">
        <f>G51+H51</f>
        <v/>
      </c>
      <c r="J51" s="11">
        <f>D51+G51</f>
        <v/>
      </c>
      <c r="K51" s="11">
        <f>E51+H51</f>
        <v/>
      </c>
      <c r="L51" s="11">
        <f>J51+K51</f>
        <v/>
      </c>
      <c r="M51" s="12">
        <f>IF(C51=0,0,L51/C51*100)</f>
        <v/>
      </c>
    </row>
    <row r="53">
      <c r="A53" s="13" t="inlineStr">
        <is>
          <t>Day 4 - 2026-10-08 (Thu 22 Aswin 2083)</t>
        </is>
      </c>
    </row>
    <row r="54">
      <c r="A54" s="6" t="inlineStr">
        <is>
          <t>Ward no.</t>
        </is>
      </c>
      <c r="B54" s="6" t="inlineStr">
        <is>
          <t>Total population</t>
        </is>
      </c>
      <c r="C54" s="6" t="inlineStr">
        <is>
          <t>JE target population</t>
        </is>
      </c>
      <c r="D54" s="6" t="inlineStr">
        <is>
          <t>Vaccinated</t>
        </is>
      </c>
      <c r="E54" s="6" t="n"/>
      <c r="F54" s="6" t="n"/>
      <c r="G54" s="6" t="n"/>
      <c r="H54" s="6" t="n"/>
      <c r="I54" s="6" t="n"/>
      <c r="J54" s="6" t="n"/>
      <c r="K54" s="6" t="n"/>
      <c r="L54" s="6" t="n"/>
      <c r="M54" s="6" t="inlineStr">
        <is>
          <t>Progress %</t>
        </is>
      </c>
    </row>
    <row r="55">
      <c r="A55" s="6" t="n"/>
      <c r="B55" s="6" t="n"/>
      <c r="C55" s="6" t="n"/>
      <c r="D55" s="6" t="inlineStr">
        <is>
          <t>Age 30-60 yrs</t>
        </is>
      </c>
      <c r="E55" s="6" t="n"/>
      <c r="F55" s="6" t="n"/>
      <c r="G55" s="6" t="inlineStr">
        <is>
          <t>Age 60 above</t>
        </is>
      </c>
      <c r="H55" s="6" t="n"/>
      <c r="I55" s="6" t="n"/>
      <c r="J55" s="6" t="inlineStr">
        <is>
          <t>Total</t>
        </is>
      </c>
      <c r="K55" s="6" t="n"/>
      <c r="L55" s="6" t="inlineStr">
        <is>
          <t>Grand Total</t>
        </is>
      </c>
      <c r="M55" s="6" t="n"/>
    </row>
    <row r="56">
      <c r="A56" s="6" t="n"/>
      <c r="B56" s="6" t="n"/>
      <c r="C56" s="6" t="n"/>
      <c r="D56" s="6" t="inlineStr">
        <is>
          <t>F</t>
        </is>
      </c>
      <c r="E56" s="6" t="inlineStr">
        <is>
          <t>M</t>
        </is>
      </c>
      <c r="F56" s="6" t="inlineStr">
        <is>
          <t>Total</t>
        </is>
      </c>
      <c r="G56" s="6" t="inlineStr">
        <is>
          <t>F</t>
        </is>
      </c>
      <c r="H56" s="6" t="inlineStr">
        <is>
          <t>M</t>
        </is>
      </c>
      <c r="I56" s="6" t="inlineStr">
        <is>
          <t>Total</t>
        </is>
      </c>
      <c r="J56" s="6" t="inlineStr">
        <is>
          <t>F</t>
        </is>
      </c>
      <c r="K56" s="6" t="inlineStr">
        <is>
          <t>M</t>
        </is>
      </c>
      <c r="L56" s="6" t="n"/>
      <c r="M56" s="6" t="n"/>
    </row>
    <row r="57">
      <c r="A57" s="7" t="n">
        <v>1</v>
      </c>
      <c r="B57" s="8">
        <f>B5</f>
        <v/>
      </c>
      <c r="C57" s="8">
        <f>C5</f>
        <v/>
      </c>
      <c r="D57" s="14" t="n"/>
      <c r="E57" s="14" t="n"/>
      <c r="F57" s="8">
        <f>D57+E57</f>
        <v/>
      </c>
      <c r="G57" s="14" t="n"/>
      <c r="H57" s="14" t="n"/>
      <c r="I57" s="8">
        <f>G57+H57</f>
        <v/>
      </c>
      <c r="J57" s="8">
        <f>D57+G57</f>
        <v/>
      </c>
      <c r="K57" s="8">
        <f>E57+H57</f>
        <v/>
      </c>
      <c r="L57" s="8">
        <f>J57+K57</f>
        <v/>
      </c>
      <c r="M57" s="9">
        <f>IF(C57=0,0,L57/C57*100)</f>
        <v/>
      </c>
    </row>
    <row r="58">
      <c r="A58" s="7" t="n">
        <v>2</v>
      </c>
      <c r="B58" s="8">
        <f>B6</f>
        <v/>
      </c>
      <c r="C58" s="8">
        <f>C6</f>
        <v/>
      </c>
      <c r="D58" s="14" t="n"/>
      <c r="E58" s="14" t="n"/>
      <c r="F58" s="8">
        <f>D58+E58</f>
        <v/>
      </c>
      <c r="G58" s="14" t="n"/>
      <c r="H58" s="14" t="n"/>
      <c r="I58" s="8">
        <f>G58+H58</f>
        <v/>
      </c>
      <c r="J58" s="8">
        <f>D58+G58</f>
        <v/>
      </c>
      <c r="K58" s="8">
        <f>E58+H58</f>
        <v/>
      </c>
      <c r="L58" s="8">
        <f>J58+K58</f>
        <v/>
      </c>
      <c r="M58" s="9">
        <f>IF(C58=0,0,L58/C58*100)</f>
        <v/>
      </c>
    </row>
    <row r="59">
      <c r="A59" s="7" t="n">
        <v>3</v>
      </c>
      <c r="B59" s="8">
        <f>B7</f>
        <v/>
      </c>
      <c r="C59" s="8">
        <f>C7</f>
        <v/>
      </c>
      <c r="D59" s="14" t="n"/>
      <c r="E59" s="14" t="n"/>
      <c r="F59" s="8">
        <f>D59+E59</f>
        <v/>
      </c>
      <c r="G59" s="14" t="n"/>
      <c r="H59" s="14" t="n"/>
      <c r="I59" s="8">
        <f>G59+H59</f>
        <v/>
      </c>
      <c r="J59" s="8">
        <f>D59+G59</f>
        <v/>
      </c>
      <c r="K59" s="8">
        <f>E59+H59</f>
        <v/>
      </c>
      <c r="L59" s="8">
        <f>J59+K59</f>
        <v/>
      </c>
      <c r="M59" s="9">
        <f>IF(C59=0,0,L59/C59*100)</f>
        <v/>
      </c>
    </row>
    <row r="60">
      <c r="A60" s="7" t="n">
        <v>4</v>
      </c>
      <c r="B60" s="8">
        <f>B8</f>
        <v/>
      </c>
      <c r="C60" s="8">
        <f>C8</f>
        <v/>
      </c>
      <c r="D60" s="14" t="n"/>
      <c r="E60" s="14" t="n"/>
      <c r="F60" s="8">
        <f>D60+E60</f>
        <v/>
      </c>
      <c r="G60" s="14" t="n"/>
      <c r="H60" s="14" t="n"/>
      <c r="I60" s="8">
        <f>G60+H60</f>
        <v/>
      </c>
      <c r="J60" s="8">
        <f>D60+G60</f>
        <v/>
      </c>
      <c r="K60" s="8">
        <f>E60+H60</f>
        <v/>
      </c>
      <c r="L60" s="8">
        <f>J60+K60</f>
        <v/>
      </c>
      <c r="M60" s="9">
        <f>IF(C60=0,0,L60/C60*100)</f>
        <v/>
      </c>
    </row>
    <row r="61">
      <c r="A61" s="7" t="n">
        <v>5</v>
      </c>
      <c r="B61" s="8">
        <f>B9</f>
        <v/>
      </c>
      <c r="C61" s="8">
        <f>C9</f>
        <v/>
      </c>
      <c r="D61" s="14" t="n"/>
      <c r="E61" s="14" t="n"/>
      <c r="F61" s="8">
        <f>D61+E61</f>
        <v/>
      </c>
      <c r="G61" s="14" t="n"/>
      <c r="H61" s="14" t="n"/>
      <c r="I61" s="8">
        <f>G61+H61</f>
        <v/>
      </c>
      <c r="J61" s="8">
        <f>D61+G61</f>
        <v/>
      </c>
      <c r="K61" s="8">
        <f>E61+H61</f>
        <v/>
      </c>
      <c r="L61" s="8">
        <f>J61+K61</f>
        <v/>
      </c>
      <c r="M61" s="9">
        <f>IF(C61=0,0,L61/C61*100)</f>
        <v/>
      </c>
    </row>
    <row r="62">
      <c r="A62" s="7" t="n">
        <v>6</v>
      </c>
      <c r="B62" s="8">
        <f>B10</f>
        <v/>
      </c>
      <c r="C62" s="8">
        <f>C10</f>
        <v/>
      </c>
      <c r="D62" s="14" t="n"/>
      <c r="E62" s="14" t="n"/>
      <c r="F62" s="8">
        <f>D62+E62</f>
        <v/>
      </c>
      <c r="G62" s="14" t="n"/>
      <c r="H62" s="14" t="n"/>
      <c r="I62" s="8">
        <f>G62+H62</f>
        <v/>
      </c>
      <c r="J62" s="8">
        <f>D62+G62</f>
        <v/>
      </c>
      <c r="K62" s="8">
        <f>E62+H62</f>
        <v/>
      </c>
      <c r="L62" s="8">
        <f>J62+K62</f>
        <v/>
      </c>
      <c r="M62" s="9">
        <f>IF(C62=0,0,L62/C62*100)</f>
        <v/>
      </c>
    </row>
    <row r="63">
      <c r="A63" s="7" t="n">
        <v>7</v>
      </c>
      <c r="B63" s="8">
        <f>B11</f>
        <v/>
      </c>
      <c r="C63" s="8">
        <f>C11</f>
        <v/>
      </c>
      <c r="D63" s="14" t="n"/>
      <c r="E63" s="14" t="n"/>
      <c r="F63" s="8">
        <f>D63+E63</f>
        <v/>
      </c>
      <c r="G63" s="14" t="n"/>
      <c r="H63" s="14" t="n"/>
      <c r="I63" s="8">
        <f>G63+H63</f>
        <v/>
      </c>
      <c r="J63" s="8">
        <f>D63+G63</f>
        <v/>
      </c>
      <c r="K63" s="8">
        <f>E63+H63</f>
        <v/>
      </c>
      <c r="L63" s="8">
        <f>J63+K63</f>
        <v/>
      </c>
      <c r="M63" s="9">
        <f>IF(C63=0,0,L63/C63*100)</f>
        <v/>
      </c>
    </row>
    <row r="64">
      <c r="A64" s="10" t="inlineStr">
        <is>
          <t>Total</t>
        </is>
      </c>
      <c r="B64" s="11">
        <f>SUM(B57:B63)</f>
        <v/>
      </c>
      <c r="C64" s="11">
        <f>SUM(C57:C63)</f>
        <v/>
      </c>
      <c r="D64" s="11">
        <f>SUM(D57:D63)</f>
        <v/>
      </c>
      <c r="E64" s="11">
        <f>SUM(E57:E63)</f>
        <v/>
      </c>
      <c r="F64" s="11">
        <f>D64+E64</f>
        <v/>
      </c>
      <c r="G64" s="11">
        <f>SUM(G57:G63)</f>
        <v/>
      </c>
      <c r="H64" s="11">
        <f>SUM(H57:H63)</f>
        <v/>
      </c>
      <c r="I64" s="11">
        <f>G64+H64</f>
        <v/>
      </c>
      <c r="J64" s="11">
        <f>D64+G64</f>
        <v/>
      </c>
      <c r="K64" s="11">
        <f>E64+H64</f>
        <v/>
      </c>
      <c r="L64" s="11">
        <f>J64+K64</f>
        <v/>
      </c>
      <c r="M64" s="12">
        <f>IF(C64=0,0,L64/C64*100)</f>
        <v/>
      </c>
    </row>
    <row r="66">
      <c r="A66" s="13" t="inlineStr">
        <is>
          <t>Day 5 - 2026-10-09 (Fri 23 Aswin 2083)</t>
        </is>
      </c>
    </row>
    <row r="67">
      <c r="A67" s="6" t="inlineStr">
        <is>
          <t>Ward no.</t>
        </is>
      </c>
      <c r="B67" s="6" t="inlineStr">
        <is>
          <t>Total population</t>
        </is>
      </c>
      <c r="C67" s="6" t="inlineStr">
        <is>
          <t>JE target population</t>
        </is>
      </c>
      <c r="D67" s="6" t="inlineStr">
        <is>
          <t>Vaccinated</t>
        </is>
      </c>
      <c r="E67" s="6" t="n"/>
      <c r="F67" s="6" t="n"/>
      <c r="G67" s="6" t="n"/>
      <c r="H67" s="6" t="n"/>
      <c r="I67" s="6" t="n"/>
      <c r="J67" s="6" t="n"/>
      <c r="K67" s="6" t="n"/>
      <c r="L67" s="6" t="n"/>
      <c r="M67" s="6" t="inlineStr">
        <is>
          <t>Progress %</t>
        </is>
      </c>
    </row>
    <row r="68">
      <c r="A68" s="6" t="n"/>
      <c r="B68" s="6" t="n"/>
      <c r="C68" s="6" t="n"/>
      <c r="D68" s="6" t="inlineStr">
        <is>
          <t>Age 30-60 yrs</t>
        </is>
      </c>
      <c r="E68" s="6" t="n"/>
      <c r="F68" s="6" t="n"/>
      <c r="G68" s="6" t="inlineStr">
        <is>
          <t>Age 60 above</t>
        </is>
      </c>
      <c r="H68" s="6" t="n"/>
      <c r="I68" s="6" t="n"/>
      <c r="J68" s="6" t="inlineStr">
        <is>
          <t>Total</t>
        </is>
      </c>
      <c r="K68" s="6" t="n"/>
      <c r="L68" s="6" t="inlineStr">
        <is>
          <t>Grand Total</t>
        </is>
      </c>
      <c r="M68" s="6" t="n"/>
    </row>
    <row r="69">
      <c r="A69" s="6" t="n"/>
      <c r="B69" s="6" t="n"/>
      <c r="C69" s="6" t="n"/>
      <c r="D69" s="6" t="inlineStr">
        <is>
          <t>F</t>
        </is>
      </c>
      <c r="E69" s="6" t="inlineStr">
        <is>
          <t>M</t>
        </is>
      </c>
      <c r="F69" s="6" t="inlineStr">
        <is>
          <t>Total</t>
        </is>
      </c>
      <c r="G69" s="6" t="inlineStr">
        <is>
          <t>F</t>
        </is>
      </c>
      <c r="H69" s="6" t="inlineStr">
        <is>
          <t>M</t>
        </is>
      </c>
      <c r="I69" s="6" t="inlineStr">
        <is>
          <t>Total</t>
        </is>
      </c>
      <c r="J69" s="6" t="inlineStr">
        <is>
          <t>F</t>
        </is>
      </c>
      <c r="K69" s="6" t="inlineStr">
        <is>
          <t>M</t>
        </is>
      </c>
      <c r="L69" s="6" t="n"/>
      <c r="M69" s="6" t="n"/>
    </row>
    <row r="70">
      <c r="A70" s="7" t="n">
        <v>1</v>
      </c>
      <c r="B70" s="8">
        <f>B5</f>
        <v/>
      </c>
      <c r="C70" s="8">
        <f>C5</f>
        <v/>
      </c>
      <c r="D70" s="14" t="n"/>
      <c r="E70" s="14" t="n"/>
      <c r="F70" s="8">
        <f>D70+E70</f>
        <v/>
      </c>
      <c r="G70" s="14" t="n"/>
      <c r="H70" s="14" t="n"/>
      <c r="I70" s="8">
        <f>G70+H70</f>
        <v/>
      </c>
      <c r="J70" s="8">
        <f>D70+G70</f>
        <v/>
      </c>
      <c r="K70" s="8">
        <f>E70+H70</f>
        <v/>
      </c>
      <c r="L70" s="8">
        <f>J70+K70</f>
        <v/>
      </c>
      <c r="M70" s="9">
        <f>IF(C70=0,0,L70/C70*100)</f>
        <v/>
      </c>
    </row>
    <row r="71">
      <c r="A71" s="7" t="n">
        <v>2</v>
      </c>
      <c r="B71" s="8">
        <f>B6</f>
        <v/>
      </c>
      <c r="C71" s="8">
        <f>C6</f>
        <v/>
      </c>
      <c r="D71" s="14" t="n"/>
      <c r="E71" s="14" t="n"/>
      <c r="F71" s="8">
        <f>D71+E71</f>
        <v/>
      </c>
      <c r="G71" s="14" t="n"/>
      <c r="H71" s="14" t="n"/>
      <c r="I71" s="8">
        <f>G71+H71</f>
        <v/>
      </c>
      <c r="J71" s="8">
        <f>D71+G71</f>
        <v/>
      </c>
      <c r="K71" s="8">
        <f>E71+H71</f>
        <v/>
      </c>
      <c r="L71" s="8">
        <f>J71+K71</f>
        <v/>
      </c>
      <c r="M71" s="9">
        <f>IF(C71=0,0,L71/C71*100)</f>
        <v/>
      </c>
    </row>
    <row r="72">
      <c r="A72" s="7" t="n">
        <v>3</v>
      </c>
      <c r="B72" s="8">
        <f>B7</f>
        <v/>
      </c>
      <c r="C72" s="8">
        <f>C7</f>
        <v/>
      </c>
      <c r="D72" s="14" t="n"/>
      <c r="E72" s="14" t="n"/>
      <c r="F72" s="8">
        <f>D72+E72</f>
        <v/>
      </c>
      <c r="G72" s="14" t="n"/>
      <c r="H72" s="14" t="n"/>
      <c r="I72" s="8">
        <f>G72+H72</f>
        <v/>
      </c>
      <c r="J72" s="8">
        <f>D72+G72</f>
        <v/>
      </c>
      <c r="K72" s="8">
        <f>E72+H72</f>
        <v/>
      </c>
      <c r="L72" s="8">
        <f>J72+K72</f>
        <v/>
      </c>
      <c r="M72" s="9">
        <f>IF(C72=0,0,L72/C72*100)</f>
        <v/>
      </c>
    </row>
    <row r="73">
      <c r="A73" s="7" t="n">
        <v>4</v>
      </c>
      <c r="B73" s="8">
        <f>B8</f>
        <v/>
      </c>
      <c r="C73" s="8">
        <f>C8</f>
        <v/>
      </c>
      <c r="D73" s="14" t="n"/>
      <c r="E73" s="14" t="n"/>
      <c r="F73" s="8">
        <f>D73+E73</f>
        <v/>
      </c>
      <c r="G73" s="14" t="n"/>
      <c r="H73" s="14" t="n"/>
      <c r="I73" s="8">
        <f>G73+H73</f>
        <v/>
      </c>
      <c r="J73" s="8">
        <f>D73+G73</f>
        <v/>
      </c>
      <c r="K73" s="8">
        <f>E73+H73</f>
        <v/>
      </c>
      <c r="L73" s="8">
        <f>J73+K73</f>
        <v/>
      </c>
      <c r="M73" s="9">
        <f>IF(C73=0,0,L73/C73*100)</f>
        <v/>
      </c>
    </row>
    <row r="74">
      <c r="A74" s="7" t="n">
        <v>5</v>
      </c>
      <c r="B74" s="8">
        <f>B9</f>
        <v/>
      </c>
      <c r="C74" s="8">
        <f>C9</f>
        <v/>
      </c>
      <c r="D74" s="14" t="n"/>
      <c r="E74" s="14" t="n"/>
      <c r="F74" s="8">
        <f>D74+E74</f>
        <v/>
      </c>
      <c r="G74" s="14" t="n"/>
      <c r="H74" s="14" t="n"/>
      <c r="I74" s="8">
        <f>G74+H74</f>
        <v/>
      </c>
      <c r="J74" s="8">
        <f>D74+G74</f>
        <v/>
      </c>
      <c r="K74" s="8">
        <f>E74+H74</f>
        <v/>
      </c>
      <c r="L74" s="8">
        <f>J74+K74</f>
        <v/>
      </c>
      <c r="M74" s="9">
        <f>IF(C74=0,0,L74/C74*100)</f>
        <v/>
      </c>
    </row>
    <row r="75">
      <c r="A75" s="7" t="n">
        <v>6</v>
      </c>
      <c r="B75" s="8">
        <f>B10</f>
        <v/>
      </c>
      <c r="C75" s="8">
        <f>C10</f>
        <v/>
      </c>
      <c r="D75" s="14" t="n"/>
      <c r="E75" s="14" t="n"/>
      <c r="F75" s="8">
        <f>D75+E75</f>
        <v/>
      </c>
      <c r="G75" s="14" t="n"/>
      <c r="H75" s="14" t="n"/>
      <c r="I75" s="8">
        <f>G75+H75</f>
        <v/>
      </c>
      <c r="J75" s="8">
        <f>D75+G75</f>
        <v/>
      </c>
      <c r="K75" s="8">
        <f>E75+H75</f>
        <v/>
      </c>
      <c r="L75" s="8">
        <f>J75+K75</f>
        <v/>
      </c>
      <c r="M75" s="9">
        <f>IF(C75=0,0,L75/C75*100)</f>
        <v/>
      </c>
    </row>
    <row r="76">
      <c r="A76" s="7" t="n">
        <v>7</v>
      </c>
      <c r="B76" s="8">
        <f>B11</f>
        <v/>
      </c>
      <c r="C76" s="8">
        <f>C11</f>
        <v/>
      </c>
      <c r="D76" s="14" t="n"/>
      <c r="E76" s="14" t="n"/>
      <c r="F76" s="8">
        <f>D76+E76</f>
        <v/>
      </c>
      <c r="G76" s="14" t="n"/>
      <c r="H76" s="14" t="n"/>
      <c r="I76" s="8">
        <f>G76+H76</f>
        <v/>
      </c>
      <c r="J76" s="8">
        <f>D76+G76</f>
        <v/>
      </c>
      <c r="K76" s="8">
        <f>E76+H76</f>
        <v/>
      </c>
      <c r="L76" s="8">
        <f>J76+K76</f>
        <v/>
      </c>
      <c r="M76" s="9">
        <f>IF(C76=0,0,L76/C76*100)</f>
        <v/>
      </c>
    </row>
    <row r="77">
      <c r="A77" s="10" t="inlineStr">
        <is>
          <t>Total</t>
        </is>
      </c>
      <c r="B77" s="11">
        <f>SUM(B70:B76)</f>
        <v/>
      </c>
      <c r="C77" s="11">
        <f>SUM(C70:C76)</f>
        <v/>
      </c>
      <c r="D77" s="11">
        <f>SUM(D70:D76)</f>
        <v/>
      </c>
      <c r="E77" s="11">
        <f>SUM(E70:E76)</f>
        <v/>
      </c>
      <c r="F77" s="11">
        <f>D77+E77</f>
        <v/>
      </c>
      <c r="G77" s="11">
        <f>SUM(G70:G76)</f>
        <v/>
      </c>
      <c r="H77" s="11">
        <f>SUM(H70:H76)</f>
        <v/>
      </c>
      <c r="I77" s="11">
        <f>G77+H77</f>
        <v/>
      </c>
      <c r="J77" s="11">
        <f>D77+G77</f>
        <v/>
      </c>
      <c r="K77" s="11">
        <f>E77+H77</f>
        <v/>
      </c>
      <c r="L77" s="11">
        <f>J77+K77</f>
        <v/>
      </c>
      <c r="M77" s="12">
        <f>IF(C77=0,0,L77/C77*100)</f>
        <v/>
      </c>
    </row>
    <row r="79">
      <c r="A79" s="13" t="inlineStr">
        <is>
          <t>Day 6 - 2026-10-10 (Sat 24 Aswin 2083)</t>
        </is>
      </c>
    </row>
    <row r="80">
      <c r="A80" s="6" t="inlineStr">
        <is>
          <t>Ward no.</t>
        </is>
      </c>
      <c r="B80" s="6" t="inlineStr">
        <is>
          <t>Total population</t>
        </is>
      </c>
      <c r="C80" s="6" t="inlineStr">
        <is>
          <t>JE target population</t>
        </is>
      </c>
      <c r="D80" s="6" t="inlineStr">
        <is>
          <t>Vaccinated</t>
        </is>
      </c>
      <c r="E80" s="6" t="n"/>
      <c r="F80" s="6" t="n"/>
      <c r="G80" s="6" t="n"/>
      <c r="H80" s="6" t="n"/>
      <c r="I80" s="6" t="n"/>
      <c r="J80" s="6" t="n"/>
      <c r="K80" s="6" t="n"/>
      <c r="L80" s="6" t="n"/>
      <c r="M80" s="6" t="inlineStr">
        <is>
          <t>Progress %</t>
        </is>
      </c>
    </row>
    <row r="81">
      <c r="A81" s="6" t="n"/>
      <c r="B81" s="6" t="n"/>
      <c r="C81" s="6" t="n"/>
      <c r="D81" s="6" t="inlineStr">
        <is>
          <t>Age 30-60 yrs</t>
        </is>
      </c>
      <c r="E81" s="6" t="n"/>
      <c r="F81" s="6" t="n"/>
      <c r="G81" s="6" t="inlineStr">
        <is>
          <t>Age 60 above</t>
        </is>
      </c>
      <c r="H81" s="6" t="n"/>
      <c r="I81" s="6" t="n"/>
      <c r="J81" s="6" t="inlineStr">
        <is>
          <t>Total</t>
        </is>
      </c>
      <c r="K81" s="6" t="n"/>
      <c r="L81" s="6" t="inlineStr">
        <is>
          <t>Grand Total</t>
        </is>
      </c>
      <c r="M81" s="6" t="n"/>
    </row>
    <row r="82">
      <c r="A82" s="6" t="n"/>
      <c r="B82" s="6" t="n"/>
      <c r="C82" s="6" t="n"/>
      <c r="D82" s="6" t="inlineStr">
        <is>
          <t>F</t>
        </is>
      </c>
      <c r="E82" s="6" t="inlineStr">
        <is>
          <t>M</t>
        </is>
      </c>
      <c r="F82" s="6" t="inlineStr">
        <is>
          <t>Total</t>
        </is>
      </c>
      <c r="G82" s="6" t="inlineStr">
        <is>
          <t>F</t>
        </is>
      </c>
      <c r="H82" s="6" t="inlineStr">
        <is>
          <t>M</t>
        </is>
      </c>
      <c r="I82" s="6" t="inlineStr">
        <is>
          <t>Total</t>
        </is>
      </c>
      <c r="J82" s="6" t="inlineStr">
        <is>
          <t>F</t>
        </is>
      </c>
      <c r="K82" s="6" t="inlineStr">
        <is>
          <t>M</t>
        </is>
      </c>
      <c r="L82" s="6" t="n"/>
      <c r="M82" s="6" t="n"/>
    </row>
    <row r="83">
      <c r="A83" s="7" t="n">
        <v>1</v>
      </c>
      <c r="B83" s="8">
        <f>B5</f>
        <v/>
      </c>
      <c r="C83" s="8">
        <f>C5</f>
        <v/>
      </c>
      <c r="D83" s="14" t="n"/>
      <c r="E83" s="14" t="n"/>
      <c r="F83" s="8">
        <f>D83+E83</f>
        <v/>
      </c>
      <c r="G83" s="14" t="n"/>
      <c r="H83" s="14" t="n"/>
      <c r="I83" s="8">
        <f>G83+H83</f>
        <v/>
      </c>
      <c r="J83" s="8">
        <f>D83+G83</f>
        <v/>
      </c>
      <c r="K83" s="8">
        <f>E83+H83</f>
        <v/>
      </c>
      <c r="L83" s="8">
        <f>J83+K83</f>
        <v/>
      </c>
      <c r="M83" s="9">
        <f>IF(C83=0,0,L83/C83*100)</f>
        <v/>
      </c>
    </row>
    <row r="84">
      <c r="A84" s="7" t="n">
        <v>2</v>
      </c>
      <c r="B84" s="8">
        <f>B6</f>
        <v/>
      </c>
      <c r="C84" s="8">
        <f>C6</f>
        <v/>
      </c>
      <c r="D84" s="14" t="n"/>
      <c r="E84" s="14" t="n"/>
      <c r="F84" s="8">
        <f>D84+E84</f>
        <v/>
      </c>
      <c r="G84" s="14" t="n"/>
      <c r="H84" s="14" t="n"/>
      <c r="I84" s="8">
        <f>G84+H84</f>
        <v/>
      </c>
      <c r="J84" s="8">
        <f>D84+G84</f>
        <v/>
      </c>
      <c r="K84" s="8">
        <f>E84+H84</f>
        <v/>
      </c>
      <c r="L84" s="8">
        <f>J84+K84</f>
        <v/>
      </c>
      <c r="M84" s="9">
        <f>IF(C84=0,0,L84/C84*100)</f>
        <v/>
      </c>
    </row>
    <row r="85">
      <c r="A85" s="7" t="n">
        <v>3</v>
      </c>
      <c r="B85" s="8">
        <f>B7</f>
        <v/>
      </c>
      <c r="C85" s="8">
        <f>C7</f>
        <v/>
      </c>
      <c r="D85" s="14" t="n"/>
      <c r="E85" s="14" t="n"/>
      <c r="F85" s="8">
        <f>D85+E85</f>
        <v/>
      </c>
      <c r="G85" s="14" t="n"/>
      <c r="H85" s="14" t="n"/>
      <c r="I85" s="8">
        <f>G85+H85</f>
        <v/>
      </c>
      <c r="J85" s="8">
        <f>D85+G85</f>
        <v/>
      </c>
      <c r="K85" s="8">
        <f>E85+H85</f>
        <v/>
      </c>
      <c r="L85" s="8">
        <f>J85+K85</f>
        <v/>
      </c>
      <c r="M85" s="9">
        <f>IF(C85=0,0,L85/C85*100)</f>
        <v/>
      </c>
    </row>
    <row r="86">
      <c r="A86" s="7" t="n">
        <v>4</v>
      </c>
      <c r="B86" s="8">
        <f>B8</f>
        <v/>
      </c>
      <c r="C86" s="8">
        <f>C8</f>
        <v/>
      </c>
      <c r="D86" s="14" t="n"/>
      <c r="E86" s="14" t="n"/>
      <c r="F86" s="8">
        <f>D86+E86</f>
        <v/>
      </c>
      <c r="G86" s="14" t="n"/>
      <c r="H86" s="14" t="n"/>
      <c r="I86" s="8">
        <f>G86+H86</f>
        <v/>
      </c>
      <c r="J86" s="8">
        <f>D86+G86</f>
        <v/>
      </c>
      <c r="K86" s="8">
        <f>E86+H86</f>
        <v/>
      </c>
      <c r="L86" s="8">
        <f>J86+K86</f>
        <v/>
      </c>
      <c r="M86" s="9">
        <f>IF(C86=0,0,L86/C86*100)</f>
        <v/>
      </c>
    </row>
    <row r="87">
      <c r="A87" s="7" t="n">
        <v>5</v>
      </c>
      <c r="B87" s="8">
        <f>B9</f>
        <v/>
      </c>
      <c r="C87" s="8">
        <f>C9</f>
        <v/>
      </c>
      <c r="D87" s="14" t="n"/>
      <c r="E87" s="14" t="n"/>
      <c r="F87" s="8">
        <f>D87+E87</f>
        <v/>
      </c>
      <c r="G87" s="14" t="n"/>
      <c r="H87" s="14" t="n"/>
      <c r="I87" s="8">
        <f>G87+H87</f>
        <v/>
      </c>
      <c r="J87" s="8">
        <f>D87+G87</f>
        <v/>
      </c>
      <c r="K87" s="8">
        <f>E87+H87</f>
        <v/>
      </c>
      <c r="L87" s="8">
        <f>J87+K87</f>
        <v/>
      </c>
      <c r="M87" s="9">
        <f>IF(C87=0,0,L87/C87*100)</f>
        <v/>
      </c>
    </row>
    <row r="88">
      <c r="A88" s="7" t="n">
        <v>6</v>
      </c>
      <c r="B88" s="8">
        <f>B10</f>
        <v/>
      </c>
      <c r="C88" s="8">
        <f>C10</f>
        <v/>
      </c>
      <c r="D88" s="14" t="n"/>
      <c r="E88" s="14" t="n"/>
      <c r="F88" s="8">
        <f>D88+E88</f>
        <v/>
      </c>
      <c r="G88" s="14" t="n"/>
      <c r="H88" s="14" t="n"/>
      <c r="I88" s="8">
        <f>G88+H88</f>
        <v/>
      </c>
      <c r="J88" s="8">
        <f>D88+G88</f>
        <v/>
      </c>
      <c r="K88" s="8">
        <f>E88+H88</f>
        <v/>
      </c>
      <c r="L88" s="8">
        <f>J88+K88</f>
        <v/>
      </c>
      <c r="M88" s="9">
        <f>IF(C88=0,0,L88/C88*100)</f>
        <v/>
      </c>
    </row>
    <row r="89">
      <c r="A89" s="7" t="n">
        <v>7</v>
      </c>
      <c r="B89" s="8">
        <f>B11</f>
        <v/>
      </c>
      <c r="C89" s="8">
        <f>C11</f>
        <v/>
      </c>
      <c r="D89" s="14" t="n"/>
      <c r="E89" s="14" t="n"/>
      <c r="F89" s="8">
        <f>D89+E89</f>
        <v/>
      </c>
      <c r="G89" s="14" t="n"/>
      <c r="H89" s="14" t="n"/>
      <c r="I89" s="8">
        <f>G89+H89</f>
        <v/>
      </c>
      <c r="J89" s="8">
        <f>D89+G89</f>
        <v/>
      </c>
      <c r="K89" s="8">
        <f>E89+H89</f>
        <v/>
      </c>
      <c r="L89" s="8">
        <f>J89+K89</f>
        <v/>
      </c>
      <c r="M89" s="9">
        <f>IF(C89=0,0,L89/C89*100)</f>
        <v/>
      </c>
    </row>
    <row r="90">
      <c r="A90" s="10" t="inlineStr">
        <is>
          <t>Total</t>
        </is>
      </c>
      <c r="B90" s="11">
        <f>SUM(B83:B89)</f>
        <v/>
      </c>
      <c r="C90" s="11">
        <f>SUM(C83:C89)</f>
        <v/>
      </c>
      <c r="D90" s="11">
        <f>SUM(D83:D89)</f>
        <v/>
      </c>
      <c r="E90" s="11">
        <f>SUM(E83:E89)</f>
        <v/>
      </c>
      <c r="F90" s="11">
        <f>D90+E90</f>
        <v/>
      </c>
      <c r="G90" s="11">
        <f>SUM(G83:G89)</f>
        <v/>
      </c>
      <c r="H90" s="11">
        <f>SUM(H83:H89)</f>
        <v/>
      </c>
      <c r="I90" s="11">
        <f>G90+H90</f>
        <v/>
      </c>
      <c r="J90" s="11">
        <f>D90+G90</f>
        <v/>
      </c>
      <c r="K90" s="11">
        <f>E90+H90</f>
        <v/>
      </c>
      <c r="L90" s="11">
        <f>J90+K90</f>
        <v/>
      </c>
      <c r="M90" s="12">
        <f>IF(C90=0,0,L90/C90*100)</f>
        <v/>
      </c>
    </row>
    <row r="92">
      <c r="A92" s="13" t="inlineStr">
        <is>
          <t>Day 7 - 2026-10-11 (Sun 25 Aswin 2083)</t>
        </is>
      </c>
    </row>
    <row r="93">
      <c r="A93" s="6" t="inlineStr">
        <is>
          <t>Ward no.</t>
        </is>
      </c>
      <c r="B93" s="6" t="inlineStr">
        <is>
          <t>Total population</t>
        </is>
      </c>
      <c r="C93" s="6" t="inlineStr">
        <is>
          <t>JE target population</t>
        </is>
      </c>
      <c r="D93" s="6" t="inlineStr">
        <is>
          <t>Vaccinated</t>
        </is>
      </c>
      <c r="E93" s="6" t="n"/>
      <c r="F93" s="6" t="n"/>
      <c r="G93" s="6" t="n"/>
      <c r="H93" s="6" t="n"/>
      <c r="I93" s="6" t="n"/>
      <c r="J93" s="6" t="n"/>
      <c r="K93" s="6" t="n"/>
      <c r="L93" s="6" t="n"/>
      <c r="M93" s="6" t="inlineStr">
        <is>
          <t>Progress %</t>
        </is>
      </c>
    </row>
    <row r="94">
      <c r="A94" s="6" t="n"/>
      <c r="B94" s="6" t="n"/>
      <c r="C94" s="6" t="n"/>
      <c r="D94" s="6" t="inlineStr">
        <is>
          <t>Age 30-60 yrs</t>
        </is>
      </c>
      <c r="E94" s="6" t="n"/>
      <c r="F94" s="6" t="n"/>
      <c r="G94" s="6" t="inlineStr">
        <is>
          <t>Age 60 above</t>
        </is>
      </c>
      <c r="H94" s="6" t="n"/>
      <c r="I94" s="6" t="n"/>
      <c r="J94" s="6" t="inlineStr">
        <is>
          <t>Total</t>
        </is>
      </c>
      <c r="K94" s="6" t="n"/>
      <c r="L94" s="6" t="inlineStr">
        <is>
          <t>Grand Total</t>
        </is>
      </c>
      <c r="M94" s="6" t="n"/>
    </row>
    <row r="95">
      <c r="A95" s="6" t="n"/>
      <c r="B95" s="6" t="n"/>
      <c r="C95" s="6" t="n"/>
      <c r="D95" s="6" t="inlineStr">
        <is>
          <t>F</t>
        </is>
      </c>
      <c r="E95" s="6" t="inlineStr">
        <is>
          <t>M</t>
        </is>
      </c>
      <c r="F95" s="6" t="inlineStr">
        <is>
          <t>Total</t>
        </is>
      </c>
      <c r="G95" s="6" t="inlineStr">
        <is>
          <t>F</t>
        </is>
      </c>
      <c r="H95" s="6" t="inlineStr">
        <is>
          <t>M</t>
        </is>
      </c>
      <c r="I95" s="6" t="inlineStr">
        <is>
          <t>Total</t>
        </is>
      </c>
      <c r="J95" s="6" t="inlineStr">
        <is>
          <t>F</t>
        </is>
      </c>
      <c r="K95" s="6" t="inlineStr">
        <is>
          <t>M</t>
        </is>
      </c>
      <c r="L95" s="6" t="n"/>
      <c r="M95" s="6" t="n"/>
    </row>
    <row r="96">
      <c r="A96" s="7" t="n">
        <v>1</v>
      </c>
      <c r="B96" s="8">
        <f>B5</f>
        <v/>
      </c>
      <c r="C96" s="8">
        <f>C5</f>
        <v/>
      </c>
      <c r="D96" s="14" t="n"/>
      <c r="E96" s="14" t="n"/>
      <c r="F96" s="8">
        <f>D96+E96</f>
        <v/>
      </c>
      <c r="G96" s="14" t="n"/>
      <c r="H96" s="14" t="n"/>
      <c r="I96" s="8">
        <f>G96+H96</f>
        <v/>
      </c>
      <c r="J96" s="8">
        <f>D96+G96</f>
        <v/>
      </c>
      <c r="K96" s="8">
        <f>E96+H96</f>
        <v/>
      </c>
      <c r="L96" s="8">
        <f>J96+K96</f>
        <v/>
      </c>
      <c r="M96" s="9">
        <f>IF(C96=0,0,L96/C96*100)</f>
        <v/>
      </c>
    </row>
    <row r="97">
      <c r="A97" s="7" t="n">
        <v>2</v>
      </c>
      <c r="B97" s="8">
        <f>B6</f>
        <v/>
      </c>
      <c r="C97" s="8">
        <f>C6</f>
        <v/>
      </c>
      <c r="D97" s="14" t="n"/>
      <c r="E97" s="14" t="n"/>
      <c r="F97" s="8">
        <f>D97+E97</f>
        <v/>
      </c>
      <c r="G97" s="14" t="n"/>
      <c r="H97" s="14" t="n"/>
      <c r="I97" s="8">
        <f>G97+H97</f>
        <v/>
      </c>
      <c r="J97" s="8">
        <f>D97+G97</f>
        <v/>
      </c>
      <c r="K97" s="8">
        <f>E97+H97</f>
        <v/>
      </c>
      <c r="L97" s="8">
        <f>J97+K97</f>
        <v/>
      </c>
      <c r="M97" s="9">
        <f>IF(C97=0,0,L97/C97*100)</f>
        <v/>
      </c>
    </row>
    <row r="98">
      <c r="A98" s="7" t="n">
        <v>3</v>
      </c>
      <c r="B98" s="8">
        <f>B7</f>
        <v/>
      </c>
      <c r="C98" s="8">
        <f>C7</f>
        <v/>
      </c>
      <c r="D98" s="14" t="n"/>
      <c r="E98" s="14" t="n"/>
      <c r="F98" s="8">
        <f>D98+E98</f>
        <v/>
      </c>
      <c r="G98" s="14" t="n"/>
      <c r="H98" s="14" t="n"/>
      <c r="I98" s="8">
        <f>G98+H98</f>
        <v/>
      </c>
      <c r="J98" s="8">
        <f>D98+G98</f>
        <v/>
      </c>
      <c r="K98" s="8">
        <f>E98+H98</f>
        <v/>
      </c>
      <c r="L98" s="8">
        <f>J98+K98</f>
        <v/>
      </c>
      <c r="M98" s="9">
        <f>IF(C98=0,0,L98/C98*100)</f>
        <v/>
      </c>
    </row>
    <row r="99">
      <c r="A99" s="7" t="n">
        <v>4</v>
      </c>
      <c r="B99" s="8">
        <f>B8</f>
        <v/>
      </c>
      <c r="C99" s="8">
        <f>C8</f>
        <v/>
      </c>
      <c r="D99" s="14" t="n"/>
      <c r="E99" s="14" t="n"/>
      <c r="F99" s="8">
        <f>D99+E99</f>
        <v/>
      </c>
      <c r="G99" s="14" t="n"/>
      <c r="H99" s="14" t="n"/>
      <c r="I99" s="8">
        <f>G99+H99</f>
        <v/>
      </c>
      <c r="J99" s="8">
        <f>D99+G99</f>
        <v/>
      </c>
      <c r="K99" s="8">
        <f>E99+H99</f>
        <v/>
      </c>
      <c r="L99" s="8">
        <f>J99+K99</f>
        <v/>
      </c>
      <c r="M99" s="9">
        <f>IF(C99=0,0,L99/C99*100)</f>
        <v/>
      </c>
    </row>
    <row r="100">
      <c r="A100" s="7" t="n">
        <v>5</v>
      </c>
      <c r="B100" s="8">
        <f>B9</f>
        <v/>
      </c>
      <c r="C100" s="8">
        <f>C9</f>
        <v/>
      </c>
      <c r="D100" s="14" t="n"/>
      <c r="E100" s="14" t="n"/>
      <c r="F100" s="8">
        <f>D100+E100</f>
        <v/>
      </c>
      <c r="G100" s="14" t="n"/>
      <c r="H100" s="14" t="n"/>
      <c r="I100" s="8">
        <f>G100+H100</f>
        <v/>
      </c>
      <c r="J100" s="8">
        <f>D100+G100</f>
        <v/>
      </c>
      <c r="K100" s="8">
        <f>E100+H100</f>
        <v/>
      </c>
      <c r="L100" s="8">
        <f>J100+K100</f>
        <v/>
      </c>
      <c r="M100" s="9">
        <f>IF(C100=0,0,L100/C100*100)</f>
        <v/>
      </c>
    </row>
    <row r="101">
      <c r="A101" s="7" t="n">
        <v>6</v>
      </c>
      <c r="B101" s="8">
        <f>B10</f>
        <v/>
      </c>
      <c r="C101" s="8">
        <f>C10</f>
        <v/>
      </c>
      <c r="D101" s="14" t="n"/>
      <c r="E101" s="14" t="n"/>
      <c r="F101" s="8">
        <f>D101+E101</f>
        <v/>
      </c>
      <c r="G101" s="14" t="n"/>
      <c r="H101" s="14" t="n"/>
      <c r="I101" s="8">
        <f>G101+H101</f>
        <v/>
      </c>
      <c r="J101" s="8">
        <f>D101+G101</f>
        <v/>
      </c>
      <c r="K101" s="8">
        <f>E101+H101</f>
        <v/>
      </c>
      <c r="L101" s="8">
        <f>J101+K101</f>
        <v/>
      </c>
      <c r="M101" s="9">
        <f>IF(C101=0,0,L101/C101*100)</f>
        <v/>
      </c>
    </row>
    <row r="102">
      <c r="A102" s="7" t="n">
        <v>7</v>
      </c>
      <c r="B102" s="8">
        <f>B11</f>
        <v/>
      </c>
      <c r="C102" s="8">
        <f>C11</f>
        <v/>
      </c>
      <c r="D102" s="14" t="n"/>
      <c r="E102" s="14" t="n"/>
      <c r="F102" s="8">
        <f>D102+E102</f>
        <v/>
      </c>
      <c r="G102" s="14" t="n"/>
      <c r="H102" s="14" t="n"/>
      <c r="I102" s="8">
        <f>G102+H102</f>
        <v/>
      </c>
      <c r="J102" s="8">
        <f>D102+G102</f>
        <v/>
      </c>
      <c r="K102" s="8">
        <f>E102+H102</f>
        <v/>
      </c>
      <c r="L102" s="8">
        <f>J102+K102</f>
        <v/>
      </c>
      <c r="M102" s="9">
        <f>IF(C102=0,0,L102/C102*100)</f>
        <v/>
      </c>
    </row>
    <row r="103">
      <c r="A103" s="10" t="inlineStr">
        <is>
          <t>Total</t>
        </is>
      </c>
      <c r="B103" s="11">
        <f>SUM(B96:B102)</f>
        <v/>
      </c>
      <c r="C103" s="11">
        <f>SUM(C96:C102)</f>
        <v/>
      </c>
      <c r="D103" s="11">
        <f>SUM(D96:D102)</f>
        <v/>
      </c>
      <c r="E103" s="11">
        <f>SUM(E96:E102)</f>
        <v/>
      </c>
      <c r="F103" s="11">
        <f>D103+E103</f>
        <v/>
      </c>
      <c r="G103" s="11">
        <f>SUM(G96:G102)</f>
        <v/>
      </c>
      <c r="H103" s="11">
        <f>SUM(H96:H102)</f>
        <v/>
      </c>
      <c r="I103" s="11">
        <f>G103+H103</f>
        <v/>
      </c>
      <c r="J103" s="11">
        <f>D103+G103</f>
        <v/>
      </c>
      <c r="K103" s="11">
        <f>E103+H103</f>
        <v/>
      </c>
      <c r="L103" s="11">
        <f>J103+K103</f>
        <v/>
      </c>
      <c r="M103" s="12">
        <f>IF(C103=0,0,L103/C103*100)</f>
        <v/>
      </c>
    </row>
    <row r="105">
      <c r="A105" s="13" t="inlineStr">
        <is>
          <t>Day 8 - 2026-10-12 (Mon 26 Aswin 2083)</t>
        </is>
      </c>
    </row>
    <row r="106">
      <c r="A106" s="6" t="inlineStr">
        <is>
          <t>Ward no.</t>
        </is>
      </c>
      <c r="B106" s="6" t="inlineStr">
        <is>
          <t>Total population</t>
        </is>
      </c>
      <c r="C106" s="6" t="inlineStr">
        <is>
          <t>JE target population</t>
        </is>
      </c>
      <c r="D106" s="6" t="inlineStr">
        <is>
          <t>Vaccinated</t>
        </is>
      </c>
      <c r="E106" s="6" t="n"/>
      <c r="F106" s="6" t="n"/>
      <c r="G106" s="6" t="n"/>
      <c r="H106" s="6" t="n"/>
      <c r="I106" s="6" t="n"/>
      <c r="J106" s="6" t="n"/>
      <c r="K106" s="6" t="n"/>
      <c r="L106" s="6" t="n"/>
      <c r="M106" s="6" t="inlineStr">
        <is>
          <t>Progress %</t>
        </is>
      </c>
    </row>
    <row r="107">
      <c r="A107" s="6" t="n"/>
      <c r="B107" s="6" t="n"/>
      <c r="C107" s="6" t="n"/>
      <c r="D107" s="6" t="inlineStr">
        <is>
          <t>Age 30-60 yrs</t>
        </is>
      </c>
      <c r="E107" s="6" t="n"/>
      <c r="F107" s="6" t="n"/>
      <c r="G107" s="6" t="inlineStr">
        <is>
          <t>Age 60 above</t>
        </is>
      </c>
      <c r="H107" s="6" t="n"/>
      <c r="I107" s="6" t="n"/>
      <c r="J107" s="6" t="inlineStr">
        <is>
          <t>Total</t>
        </is>
      </c>
      <c r="K107" s="6" t="n"/>
      <c r="L107" s="6" t="inlineStr">
        <is>
          <t>Grand Total</t>
        </is>
      </c>
      <c r="M107" s="6" t="n"/>
    </row>
    <row r="108">
      <c r="A108" s="6" t="n"/>
      <c r="B108" s="6" t="n"/>
      <c r="C108" s="6" t="n"/>
      <c r="D108" s="6" t="inlineStr">
        <is>
          <t>F</t>
        </is>
      </c>
      <c r="E108" s="6" t="inlineStr">
        <is>
          <t>M</t>
        </is>
      </c>
      <c r="F108" s="6" t="inlineStr">
        <is>
          <t>Total</t>
        </is>
      </c>
      <c r="G108" s="6" t="inlineStr">
        <is>
          <t>F</t>
        </is>
      </c>
      <c r="H108" s="6" t="inlineStr">
        <is>
          <t>M</t>
        </is>
      </c>
      <c r="I108" s="6" t="inlineStr">
        <is>
          <t>Total</t>
        </is>
      </c>
      <c r="J108" s="6" t="inlineStr">
        <is>
          <t>F</t>
        </is>
      </c>
      <c r="K108" s="6" t="inlineStr">
        <is>
          <t>M</t>
        </is>
      </c>
      <c r="L108" s="6" t="n"/>
      <c r="M108" s="6" t="n"/>
    </row>
    <row r="109">
      <c r="A109" s="7" t="n">
        <v>1</v>
      </c>
      <c r="B109" s="8">
        <f>B5</f>
        <v/>
      </c>
      <c r="C109" s="8">
        <f>C5</f>
        <v/>
      </c>
      <c r="D109" s="14" t="n"/>
      <c r="E109" s="14" t="n"/>
      <c r="F109" s="8">
        <f>D109+E109</f>
        <v/>
      </c>
      <c r="G109" s="14" t="n"/>
      <c r="H109" s="14" t="n"/>
      <c r="I109" s="8">
        <f>G109+H109</f>
        <v/>
      </c>
      <c r="J109" s="8">
        <f>D109+G109</f>
        <v/>
      </c>
      <c r="K109" s="8">
        <f>E109+H109</f>
        <v/>
      </c>
      <c r="L109" s="8">
        <f>J109+K109</f>
        <v/>
      </c>
      <c r="M109" s="9">
        <f>IF(C109=0,0,L109/C109*100)</f>
        <v/>
      </c>
    </row>
    <row r="110">
      <c r="A110" s="7" t="n">
        <v>2</v>
      </c>
      <c r="B110" s="8">
        <f>B6</f>
        <v/>
      </c>
      <c r="C110" s="8">
        <f>C6</f>
        <v/>
      </c>
      <c r="D110" s="14" t="n"/>
      <c r="E110" s="14" t="n"/>
      <c r="F110" s="8">
        <f>D110+E110</f>
        <v/>
      </c>
      <c r="G110" s="14" t="n"/>
      <c r="H110" s="14" t="n"/>
      <c r="I110" s="8">
        <f>G110+H110</f>
        <v/>
      </c>
      <c r="J110" s="8">
        <f>D110+G110</f>
        <v/>
      </c>
      <c r="K110" s="8">
        <f>E110+H110</f>
        <v/>
      </c>
      <c r="L110" s="8">
        <f>J110+K110</f>
        <v/>
      </c>
      <c r="M110" s="9">
        <f>IF(C110=0,0,L110/C110*100)</f>
        <v/>
      </c>
    </row>
    <row r="111">
      <c r="A111" s="7" t="n">
        <v>3</v>
      </c>
      <c r="B111" s="8">
        <f>B7</f>
        <v/>
      </c>
      <c r="C111" s="8">
        <f>C7</f>
        <v/>
      </c>
      <c r="D111" s="14" t="n"/>
      <c r="E111" s="14" t="n"/>
      <c r="F111" s="8">
        <f>D111+E111</f>
        <v/>
      </c>
      <c r="G111" s="14" t="n"/>
      <c r="H111" s="14" t="n"/>
      <c r="I111" s="8">
        <f>G111+H111</f>
        <v/>
      </c>
      <c r="J111" s="8">
        <f>D111+G111</f>
        <v/>
      </c>
      <c r="K111" s="8">
        <f>E111+H111</f>
        <v/>
      </c>
      <c r="L111" s="8">
        <f>J111+K111</f>
        <v/>
      </c>
      <c r="M111" s="9">
        <f>IF(C111=0,0,L111/C111*100)</f>
        <v/>
      </c>
    </row>
    <row r="112">
      <c r="A112" s="7" t="n">
        <v>4</v>
      </c>
      <c r="B112" s="8">
        <f>B8</f>
        <v/>
      </c>
      <c r="C112" s="8">
        <f>C8</f>
        <v/>
      </c>
      <c r="D112" s="14" t="n"/>
      <c r="E112" s="14" t="n"/>
      <c r="F112" s="8">
        <f>D112+E112</f>
        <v/>
      </c>
      <c r="G112" s="14" t="n"/>
      <c r="H112" s="14" t="n"/>
      <c r="I112" s="8">
        <f>G112+H112</f>
        <v/>
      </c>
      <c r="J112" s="8">
        <f>D112+G112</f>
        <v/>
      </c>
      <c r="K112" s="8">
        <f>E112+H112</f>
        <v/>
      </c>
      <c r="L112" s="8">
        <f>J112+K112</f>
        <v/>
      </c>
      <c r="M112" s="9">
        <f>IF(C112=0,0,L112/C112*100)</f>
        <v/>
      </c>
    </row>
    <row r="113">
      <c r="A113" s="7" t="n">
        <v>5</v>
      </c>
      <c r="B113" s="8">
        <f>B9</f>
        <v/>
      </c>
      <c r="C113" s="8">
        <f>C9</f>
        <v/>
      </c>
      <c r="D113" s="14" t="n"/>
      <c r="E113" s="14" t="n"/>
      <c r="F113" s="8">
        <f>D113+E113</f>
        <v/>
      </c>
      <c r="G113" s="14" t="n"/>
      <c r="H113" s="14" t="n"/>
      <c r="I113" s="8">
        <f>G113+H113</f>
        <v/>
      </c>
      <c r="J113" s="8">
        <f>D113+G113</f>
        <v/>
      </c>
      <c r="K113" s="8">
        <f>E113+H113</f>
        <v/>
      </c>
      <c r="L113" s="8">
        <f>J113+K113</f>
        <v/>
      </c>
      <c r="M113" s="9">
        <f>IF(C113=0,0,L113/C113*100)</f>
        <v/>
      </c>
    </row>
    <row r="114">
      <c r="A114" s="7" t="n">
        <v>6</v>
      </c>
      <c r="B114" s="8">
        <f>B10</f>
        <v/>
      </c>
      <c r="C114" s="8">
        <f>C10</f>
        <v/>
      </c>
      <c r="D114" s="14" t="n"/>
      <c r="E114" s="14" t="n"/>
      <c r="F114" s="8">
        <f>D114+E114</f>
        <v/>
      </c>
      <c r="G114" s="14" t="n"/>
      <c r="H114" s="14" t="n"/>
      <c r="I114" s="8">
        <f>G114+H114</f>
        <v/>
      </c>
      <c r="J114" s="8">
        <f>D114+G114</f>
        <v/>
      </c>
      <c r="K114" s="8">
        <f>E114+H114</f>
        <v/>
      </c>
      <c r="L114" s="8">
        <f>J114+K114</f>
        <v/>
      </c>
      <c r="M114" s="9">
        <f>IF(C114=0,0,L114/C114*100)</f>
        <v/>
      </c>
    </row>
    <row r="115">
      <c r="A115" s="7" t="n">
        <v>7</v>
      </c>
      <c r="B115" s="8">
        <f>B11</f>
        <v/>
      </c>
      <c r="C115" s="8">
        <f>C11</f>
        <v/>
      </c>
      <c r="D115" s="14" t="n"/>
      <c r="E115" s="14" t="n"/>
      <c r="F115" s="8">
        <f>D115+E115</f>
        <v/>
      </c>
      <c r="G115" s="14" t="n"/>
      <c r="H115" s="14" t="n"/>
      <c r="I115" s="8">
        <f>G115+H115</f>
        <v/>
      </c>
      <c r="J115" s="8">
        <f>D115+G115</f>
        <v/>
      </c>
      <c r="K115" s="8">
        <f>E115+H115</f>
        <v/>
      </c>
      <c r="L115" s="8">
        <f>J115+K115</f>
        <v/>
      </c>
      <c r="M115" s="9">
        <f>IF(C115=0,0,L115/C115*100)</f>
        <v/>
      </c>
    </row>
    <row r="116">
      <c r="A116" s="10" t="inlineStr">
        <is>
          <t>Total</t>
        </is>
      </c>
      <c r="B116" s="11">
        <f>SUM(B109:B115)</f>
        <v/>
      </c>
      <c r="C116" s="11">
        <f>SUM(C109:C115)</f>
        <v/>
      </c>
      <c r="D116" s="11">
        <f>SUM(D109:D115)</f>
        <v/>
      </c>
      <c r="E116" s="11">
        <f>SUM(E109:E115)</f>
        <v/>
      </c>
      <c r="F116" s="11">
        <f>D116+E116</f>
        <v/>
      </c>
      <c r="G116" s="11">
        <f>SUM(G109:G115)</f>
        <v/>
      </c>
      <c r="H116" s="11">
        <f>SUM(H109:H115)</f>
        <v/>
      </c>
      <c r="I116" s="11">
        <f>G116+H116</f>
        <v/>
      </c>
      <c r="J116" s="11">
        <f>D116+G116</f>
        <v/>
      </c>
      <c r="K116" s="11">
        <f>E116+H116</f>
        <v/>
      </c>
      <c r="L116" s="11">
        <f>J116+K116</f>
        <v/>
      </c>
      <c r="M116" s="12">
        <f>IF(C116=0,0,L116/C116*100)</f>
        <v/>
      </c>
    </row>
    <row r="118">
      <c r="A118" s="13" t="inlineStr">
        <is>
          <t>Day 9 - 2026-10-13 (Tue 27 Aswin 2083)</t>
        </is>
      </c>
    </row>
    <row r="119">
      <c r="A119" s="6" t="inlineStr">
        <is>
          <t>Ward no.</t>
        </is>
      </c>
      <c r="B119" s="6" t="inlineStr">
        <is>
          <t>Total population</t>
        </is>
      </c>
      <c r="C119" s="6" t="inlineStr">
        <is>
          <t>JE target population</t>
        </is>
      </c>
      <c r="D119" s="6" t="inlineStr">
        <is>
          <t>Vaccinated</t>
        </is>
      </c>
      <c r="E119" s="6" t="n"/>
      <c r="F119" s="6" t="n"/>
      <c r="G119" s="6" t="n"/>
      <c r="H119" s="6" t="n"/>
      <c r="I119" s="6" t="n"/>
      <c r="J119" s="6" t="n"/>
      <c r="K119" s="6" t="n"/>
      <c r="L119" s="6" t="n"/>
      <c r="M119" s="6" t="inlineStr">
        <is>
          <t>Progress %</t>
        </is>
      </c>
    </row>
    <row r="120">
      <c r="A120" s="6" t="n"/>
      <c r="B120" s="6" t="n"/>
      <c r="C120" s="6" t="n"/>
      <c r="D120" s="6" t="inlineStr">
        <is>
          <t>Age 30-60 yrs</t>
        </is>
      </c>
      <c r="E120" s="6" t="n"/>
      <c r="F120" s="6" t="n"/>
      <c r="G120" s="6" t="inlineStr">
        <is>
          <t>Age 60 above</t>
        </is>
      </c>
      <c r="H120" s="6" t="n"/>
      <c r="I120" s="6" t="n"/>
      <c r="J120" s="6" t="inlineStr">
        <is>
          <t>Total</t>
        </is>
      </c>
      <c r="K120" s="6" t="n"/>
      <c r="L120" s="6" t="inlineStr">
        <is>
          <t>Grand Total</t>
        </is>
      </c>
      <c r="M120" s="6" t="n"/>
    </row>
    <row r="121">
      <c r="A121" s="6" t="n"/>
      <c r="B121" s="6" t="n"/>
      <c r="C121" s="6" t="n"/>
      <c r="D121" s="6" t="inlineStr">
        <is>
          <t>F</t>
        </is>
      </c>
      <c r="E121" s="6" t="inlineStr">
        <is>
          <t>M</t>
        </is>
      </c>
      <c r="F121" s="6" t="inlineStr">
        <is>
          <t>Total</t>
        </is>
      </c>
      <c r="G121" s="6" t="inlineStr">
        <is>
          <t>F</t>
        </is>
      </c>
      <c r="H121" s="6" t="inlineStr">
        <is>
          <t>M</t>
        </is>
      </c>
      <c r="I121" s="6" t="inlineStr">
        <is>
          <t>Total</t>
        </is>
      </c>
      <c r="J121" s="6" t="inlineStr">
        <is>
          <t>F</t>
        </is>
      </c>
      <c r="K121" s="6" t="inlineStr">
        <is>
          <t>M</t>
        </is>
      </c>
      <c r="L121" s="6" t="n"/>
      <c r="M121" s="6" t="n"/>
    </row>
    <row r="122">
      <c r="A122" s="7" t="n">
        <v>1</v>
      </c>
      <c r="B122" s="8">
        <f>B5</f>
        <v/>
      </c>
      <c r="C122" s="8">
        <f>C5</f>
        <v/>
      </c>
      <c r="D122" s="14" t="n"/>
      <c r="E122" s="14" t="n"/>
      <c r="F122" s="8">
        <f>D122+E122</f>
        <v/>
      </c>
      <c r="G122" s="14" t="n"/>
      <c r="H122" s="14" t="n"/>
      <c r="I122" s="8">
        <f>G122+H122</f>
        <v/>
      </c>
      <c r="J122" s="8">
        <f>D122+G122</f>
        <v/>
      </c>
      <c r="K122" s="8">
        <f>E122+H122</f>
        <v/>
      </c>
      <c r="L122" s="8">
        <f>J122+K122</f>
        <v/>
      </c>
      <c r="M122" s="9">
        <f>IF(C122=0,0,L122/C122*100)</f>
        <v/>
      </c>
    </row>
    <row r="123">
      <c r="A123" s="7" t="n">
        <v>2</v>
      </c>
      <c r="B123" s="8">
        <f>B6</f>
        <v/>
      </c>
      <c r="C123" s="8">
        <f>C6</f>
        <v/>
      </c>
      <c r="D123" s="14" t="n"/>
      <c r="E123" s="14" t="n"/>
      <c r="F123" s="8">
        <f>D123+E123</f>
        <v/>
      </c>
      <c r="G123" s="14" t="n"/>
      <c r="H123" s="14" t="n"/>
      <c r="I123" s="8">
        <f>G123+H123</f>
        <v/>
      </c>
      <c r="J123" s="8">
        <f>D123+G123</f>
        <v/>
      </c>
      <c r="K123" s="8">
        <f>E123+H123</f>
        <v/>
      </c>
      <c r="L123" s="8">
        <f>J123+K123</f>
        <v/>
      </c>
      <c r="M123" s="9">
        <f>IF(C123=0,0,L123/C123*100)</f>
        <v/>
      </c>
    </row>
    <row r="124">
      <c r="A124" s="7" t="n">
        <v>3</v>
      </c>
      <c r="B124" s="8">
        <f>B7</f>
        <v/>
      </c>
      <c r="C124" s="8">
        <f>C7</f>
        <v/>
      </c>
      <c r="D124" s="14" t="n"/>
      <c r="E124" s="14" t="n"/>
      <c r="F124" s="8">
        <f>D124+E124</f>
        <v/>
      </c>
      <c r="G124" s="14" t="n"/>
      <c r="H124" s="14" t="n"/>
      <c r="I124" s="8">
        <f>G124+H124</f>
        <v/>
      </c>
      <c r="J124" s="8">
        <f>D124+G124</f>
        <v/>
      </c>
      <c r="K124" s="8">
        <f>E124+H124</f>
        <v/>
      </c>
      <c r="L124" s="8">
        <f>J124+K124</f>
        <v/>
      </c>
      <c r="M124" s="9">
        <f>IF(C124=0,0,L124/C124*100)</f>
        <v/>
      </c>
    </row>
    <row r="125">
      <c r="A125" s="7" t="n">
        <v>4</v>
      </c>
      <c r="B125" s="8">
        <f>B8</f>
        <v/>
      </c>
      <c r="C125" s="8">
        <f>C8</f>
        <v/>
      </c>
      <c r="D125" s="14" t="n"/>
      <c r="E125" s="14" t="n"/>
      <c r="F125" s="8">
        <f>D125+E125</f>
        <v/>
      </c>
      <c r="G125" s="14" t="n"/>
      <c r="H125" s="14" t="n"/>
      <c r="I125" s="8">
        <f>G125+H125</f>
        <v/>
      </c>
      <c r="J125" s="8">
        <f>D125+G125</f>
        <v/>
      </c>
      <c r="K125" s="8">
        <f>E125+H125</f>
        <v/>
      </c>
      <c r="L125" s="8">
        <f>J125+K125</f>
        <v/>
      </c>
      <c r="M125" s="9">
        <f>IF(C125=0,0,L125/C125*100)</f>
        <v/>
      </c>
    </row>
    <row r="126">
      <c r="A126" s="7" t="n">
        <v>5</v>
      </c>
      <c r="B126" s="8">
        <f>B9</f>
        <v/>
      </c>
      <c r="C126" s="8">
        <f>C9</f>
        <v/>
      </c>
      <c r="D126" s="14" t="n"/>
      <c r="E126" s="14" t="n"/>
      <c r="F126" s="8">
        <f>D126+E126</f>
        <v/>
      </c>
      <c r="G126" s="14" t="n"/>
      <c r="H126" s="14" t="n"/>
      <c r="I126" s="8">
        <f>G126+H126</f>
        <v/>
      </c>
      <c r="J126" s="8">
        <f>D126+G126</f>
        <v/>
      </c>
      <c r="K126" s="8">
        <f>E126+H126</f>
        <v/>
      </c>
      <c r="L126" s="8">
        <f>J126+K126</f>
        <v/>
      </c>
      <c r="M126" s="9">
        <f>IF(C126=0,0,L126/C126*100)</f>
        <v/>
      </c>
    </row>
    <row r="127">
      <c r="A127" s="7" t="n">
        <v>6</v>
      </c>
      <c r="B127" s="8">
        <f>B10</f>
        <v/>
      </c>
      <c r="C127" s="8">
        <f>C10</f>
        <v/>
      </c>
      <c r="D127" s="14" t="n"/>
      <c r="E127" s="14" t="n"/>
      <c r="F127" s="8">
        <f>D127+E127</f>
        <v/>
      </c>
      <c r="G127" s="14" t="n"/>
      <c r="H127" s="14" t="n"/>
      <c r="I127" s="8">
        <f>G127+H127</f>
        <v/>
      </c>
      <c r="J127" s="8">
        <f>D127+G127</f>
        <v/>
      </c>
      <c r="K127" s="8">
        <f>E127+H127</f>
        <v/>
      </c>
      <c r="L127" s="8">
        <f>J127+K127</f>
        <v/>
      </c>
      <c r="M127" s="9">
        <f>IF(C127=0,0,L127/C127*100)</f>
        <v/>
      </c>
    </row>
    <row r="128">
      <c r="A128" s="7" t="n">
        <v>7</v>
      </c>
      <c r="B128" s="8">
        <f>B11</f>
        <v/>
      </c>
      <c r="C128" s="8">
        <f>C11</f>
        <v/>
      </c>
      <c r="D128" s="14" t="n"/>
      <c r="E128" s="14" t="n"/>
      <c r="F128" s="8">
        <f>D128+E128</f>
        <v/>
      </c>
      <c r="G128" s="14" t="n"/>
      <c r="H128" s="14" t="n"/>
      <c r="I128" s="8">
        <f>G128+H128</f>
        <v/>
      </c>
      <c r="J128" s="8">
        <f>D128+G128</f>
        <v/>
      </c>
      <c r="K128" s="8">
        <f>E128+H128</f>
        <v/>
      </c>
      <c r="L128" s="8">
        <f>J128+K128</f>
        <v/>
      </c>
      <c r="M128" s="9">
        <f>IF(C128=0,0,L128/C128*100)</f>
        <v/>
      </c>
    </row>
    <row r="129">
      <c r="A129" s="10" t="inlineStr">
        <is>
          <t>Total</t>
        </is>
      </c>
      <c r="B129" s="11">
        <f>SUM(B122:B128)</f>
        <v/>
      </c>
      <c r="C129" s="11">
        <f>SUM(C122:C128)</f>
        <v/>
      </c>
      <c r="D129" s="11">
        <f>SUM(D122:D128)</f>
        <v/>
      </c>
      <c r="E129" s="11">
        <f>SUM(E122:E128)</f>
        <v/>
      </c>
      <c r="F129" s="11">
        <f>D129+E129</f>
        <v/>
      </c>
      <c r="G129" s="11">
        <f>SUM(G122:G128)</f>
        <v/>
      </c>
      <c r="H129" s="11">
        <f>SUM(H122:H128)</f>
        <v/>
      </c>
      <c r="I129" s="11">
        <f>G129+H129</f>
        <v/>
      </c>
      <c r="J129" s="11">
        <f>D129+G129</f>
        <v/>
      </c>
      <c r="K129" s="11">
        <f>E129+H129</f>
        <v/>
      </c>
      <c r="L129" s="11">
        <f>J129+K129</f>
        <v/>
      </c>
      <c r="M129" s="12">
        <f>IF(C129=0,0,L129/C129*100)</f>
        <v/>
      </c>
    </row>
    <row r="131">
      <c r="A131" s="13" t="inlineStr">
        <is>
          <t>Day 10 - 2026-10-14 (Wed 28 Aswin 2083)</t>
        </is>
      </c>
    </row>
    <row r="132">
      <c r="A132" s="6" t="inlineStr">
        <is>
          <t>Ward no.</t>
        </is>
      </c>
      <c r="B132" s="6" t="inlineStr">
        <is>
          <t>Total population</t>
        </is>
      </c>
      <c r="C132" s="6" t="inlineStr">
        <is>
          <t>JE target population</t>
        </is>
      </c>
      <c r="D132" s="6" t="inlineStr">
        <is>
          <t>Vaccinated</t>
        </is>
      </c>
      <c r="E132" s="6" t="n"/>
      <c r="F132" s="6" t="n"/>
      <c r="G132" s="6" t="n"/>
      <c r="H132" s="6" t="n"/>
      <c r="I132" s="6" t="n"/>
      <c r="J132" s="6" t="n"/>
      <c r="K132" s="6" t="n"/>
      <c r="L132" s="6" t="n"/>
      <c r="M132" s="6" t="inlineStr">
        <is>
          <t>Progress %</t>
        </is>
      </c>
    </row>
    <row r="133">
      <c r="A133" s="6" t="n"/>
      <c r="B133" s="6" t="n"/>
      <c r="C133" s="6" t="n"/>
      <c r="D133" s="6" t="inlineStr">
        <is>
          <t>Age 30-60 yrs</t>
        </is>
      </c>
      <c r="E133" s="6" t="n"/>
      <c r="F133" s="6" t="n"/>
      <c r="G133" s="6" t="inlineStr">
        <is>
          <t>Age 60 above</t>
        </is>
      </c>
      <c r="H133" s="6" t="n"/>
      <c r="I133" s="6" t="n"/>
      <c r="J133" s="6" t="inlineStr">
        <is>
          <t>Total</t>
        </is>
      </c>
      <c r="K133" s="6" t="n"/>
      <c r="L133" s="6" t="inlineStr">
        <is>
          <t>Grand Total</t>
        </is>
      </c>
      <c r="M133" s="6" t="n"/>
    </row>
    <row r="134">
      <c r="A134" s="6" t="n"/>
      <c r="B134" s="6" t="n"/>
      <c r="C134" s="6" t="n"/>
      <c r="D134" s="6" t="inlineStr">
        <is>
          <t>F</t>
        </is>
      </c>
      <c r="E134" s="6" t="inlineStr">
        <is>
          <t>M</t>
        </is>
      </c>
      <c r="F134" s="6" t="inlineStr">
        <is>
          <t>Total</t>
        </is>
      </c>
      <c r="G134" s="6" t="inlineStr">
        <is>
          <t>F</t>
        </is>
      </c>
      <c r="H134" s="6" t="inlineStr">
        <is>
          <t>M</t>
        </is>
      </c>
      <c r="I134" s="6" t="inlineStr">
        <is>
          <t>Total</t>
        </is>
      </c>
      <c r="J134" s="6" t="inlineStr">
        <is>
          <t>F</t>
        </is>
      </c>
      <c r="K134" s="6" t="inlineStr">
        <is>
          <t>M</t>
        </is>
      </c>
      <c r="L134" s="6" t="n"/>
      <c r="M134" s="6" t="n"/>
    </row>
    <row r="135">
      <c r="A135" s="7" t="n">
        <v>1</v>
      </c>
      <c r="B135" s="8">
        <f>B5</f>
        <v/>
      </c>
      <c r="C135" s="8">
        <f>C5</f>
        <v/>
      </c>
      <c r="D135" s="14" t="n"/>
      <c r="E135" s="14" t="n"/>
      <c r="F135" s="8">
        <f>D135+E135</f>
        <v/>
      </c>
      <c r="G135" s="14" t="n"/>
      <c r="H135" s="14" t="n"/>
      <c r="I135" s="8">
        <f>G135+H135</f>
        <v/>
      </c>
      <c r="J135" s="8">
        <f>D135+G135</f>
        <v/>
      </c>
      <c r="K135" s="8">
        <f>E135+H135</f>
        <v/>
      </c>
      <c r="L135" s="8">
        <f>J135+K135</f>
        <v/>
      </c>
      <c r="M135" s="9">
        <f>IF(C135=0,0,L135/C135*100)</f>
        <v/>
      </c>
    </row>
    <row r="136">
      <c r="A136" s="7" t="n">
        <v>2</v>
      </c>
      <c r="B136" s="8">
        <f>B6</f>
        <v/>
      </c>
      <c r="C136" s="8">
        <f>C6</f>
        <v/>
      </c>
      <c r="D136" s="14" t="n"/>
      <c r="E136" s="14" t="n"/>
      <c r="F136" s="8">
        <f>D136+E136</f>
        <v/>
      </c>
      <c r="G136" s="14" t="n"/>
      <c r="H136" s="14" t="n"/>
      <c r="I136" s="8">
        <f>G136+H136</f>
        <v/>
      </c>
      <c r="J136" s="8">
        <f>D136+G136</f>
        <v/>
      </c>
      <c r="K136" s="8">
        <f>E136+H136</f>
        <v/>
      </c>
      <c r="L136" s="8">
        <f>J136+K136</f>
        <v/>
      </c>
      <c r="M136" s="9">
        <f>IF(C136=0,0,L136/C136*100)</f>
        <v/>
      </c>
    </row>
    <row r="137">
      <c r="A137" s="7" t="n">
        <v>3</v>
      </c>
      <c r="B137" s="8">
        <f>B7</f>
        <v/>
      </c>
      <c r="C137" s="8">
        <f>C7</f>
        <v/>
      </c>
      <c r="D137" s="14" t="n"/>
      <c r="E137" s="14" t="n"/>
      <c r="F137" s="8">
        <f>D137+E137</f>
        <v/>
      </c>
      <c r="G137" s="14" t="n"/>
      <c r="H137" s="14" t="n"/>
      <c r="I137" s="8">
        <f>G137+H137</f>
        <v/>
      </c>
      <c r="J137" s="8">
        <f>D137+G137</f>
        <v/>
      </c>
      <c r="K137" s="8">
        <f>E137+H137</f>
        <v/>
      </c>
      <c r="L137" s="8">
        <f>J137+K137</f>
        <v/>
      </c>
      <c r="M137" s="9">
        <f>IF(C137=0,0,L137/C137*100)</f>
        <v/>
      </c>
    </row>
    <row r="138">
      <c r="A138" s="7" t="n">
        <v>4</v>
      </c>
      <c r="B138" s="8">
        <f>B8</f>
        <v/>
      </c>
      <c r="C138" s="8">
        <f>C8</f>
        <v/>
      </c>
      <c r="D138" s="14" t="n"/>
      <c r="E138" s="14" t="n"/>
      <c r="F138" s="8">
        <f>D138+E138</f>
        <v/>
      </c>
      <c r="G138" s="14" t="n"/>
      <c r="H138" s="14" t="n"/>
      <c r="I138" s="8">
        <f>G138+H138</f>
        <v/>
      </c>
      <c r="J138" s="8">
        <f>D138+G138</f>
        <v/>
      </c>
      <c r="K138" s="8">
        <f>E138+H138</f>
        <v/>
      </c>
      <c r="L138" s="8">
        <f>J138+K138</f>
        <v/>
      </c>
      <c r="M138" s="9">
        <f>IF(C138=0,0,L138/C138*100)</f>
        <v/>
      </c>
    </row>
    <row r="139">
      <c r="A139" s="7" t="n">
        <v>5</v>
      </c>
      <c r="B139" s="8">
        <f>B9</f>
        <v/>
      </c>
      <c r="C139" s="8">
        <f>C9</f>
        <v/>
      </c>
      <c r="D139" s="14" t="n"/>
      <c r="E139" s="14" t="n"/>
      <c r="F139" s="8">
        <f>D139+E139</f>
        <v/>
      </c>
      <c r="G139" s="14" t="n"/>
      <c r="H139" s="14" t="n"/>
      <c r="I139" s="8">
        <f>G139+H139</f>
        <v/>
      </c>
      <c r="J139" s="8">
        <f>D139+G139</f>
        <v/>
      </c>
      <c r="K139" s="8">
        <f>E139+H139</f>
        <v/>
      </c>
      <c r="L139" s="8">
        <f>J139+K139</f>
        <v/>
      </c>
      <c r="M139" s="9">
        <f>IF(C139=0,0,L139/C139*100)</f>
        <v/>
      </c>
    </row>
    <row r="140">
      <c r="A140" s="7" t="n">
        <v>6</v>
      </c>
      <c r="B140" s="8">
        <f>B10</f>
        <v/>
      </c>
      <c r="C140" s="8">
        <f>C10</f>
        <v/>
      </c>
      <c r="D140" s="14" t="n"/>
      <c r="E140" s="14" t="n"/>
      <c r="F140" s="8">
        <f>D140+E140</f>
        <v/>
      </c>
      <c r="G140" s="14" t="n"/>
      <c r="H140" s="14" t="n"/>
      <c r="I140" s="8">
        <f>G140+H140</f>
        <v/>
      </c>
      <c r="J140" s="8">
        <f>D140+G140</f>
        <v/>
      </c>
      <c r="K140" s="8">
        <f>E140+H140</f>
        <v/>
      </c>
      <c r="L140" s="8">
        <f>J140+K140</f>
        <v/>
      </c>
      <c r="M140" s="9">
        <f>IF(C140=0,0,L140/C140*100)</f>
        <v/>
      </c>
    </row>
    <row r="141">
      <c r="A141" s="7" t="n">
        <v>7</v>
      </c>
      <c r="B141" s="8">
        <f>B11</f>
        <v/>
      </c>
      <c r="C141" s="8">
        <f>C11</f>
        <v/>
      </c>
      <c r="D141" s="14" t="n"/>
      <c r="E141" s="14" t="n"/>
      <c r="F141" s="8">
        <f>D141+E141</f>
        <v/>
      </c>
      <c r="G141" s="14" t="n"/>
      <c r="H141" s="14" t="n"/>
      <c r="I141" s="8">
        <f>G141+H141</f>
        <v/>
      </c>
      <c r="J141" s="8">
        <f>D141+G141</f>
        <v/>
      </c>
      <c r="K141" s="8">
        <f>E141+H141</f>
        <v/>
      </c>
      <c r="L141" s="8">
        <f>J141+K141</f>
        <v/>
      </c>
      <c r="M141" s="9">
        <f>IF(C141=0,0,L141/C141*100)</f>
        <v/>
      </c>
    </row>
    <row r="142">
      <c r="A142" s="10" t="inlineStr">
        <is>
          <t>Total</t>
        </is>
      </c>
      <c r="B142" s="11">
        <f>SUM(B135:B141)</f>
        <v/>
      </c>
      <c r="C142" s="11">
        <f>SUM(C135:C141)</f>
        <v/>
      </c>
      <c r="D142" s="11">
        <f>SUM(D135:D141)</f>
        <v/>
      </c>
      <c r="E142" s="11">
        <f>SUM(E135:E141)</f>
        <v/>
      </c>
      <c r="F142" s="11">
        <f>D142+E142</f>
        <v/>
      </c>
      <c r="G142" s="11">
        <f>SUM(G135:G141)</f>
        <v/>
      </c>
      <c r="H142" s="11">
        <f>SUM(H135:H141)</f>
        <v/>
      </c>
      <c r="I142" s="11">
        <f>G142+H142</f>
        <v/>
      </c>
      <c r="J142" s="11">
        <f>D142+G142</f>
        <v/>
      </c>
      <c r="K142" s="11">
        <f>E142+H142</f>
        <v/>
      </c>
      <c r="L142" s="11">
        <f>J142+K142</f>
        <v/>
      </c>
      <c r="M142" s="12">
        <f>IF(C142=0,0,L142/C142*100)</f>
        <v/>
      </c>
    </row>
    <row r="144">
      <c r="A144" s="13" t="inlineStr">
        <is>
          <t>Day 11 - 2026-10-15 (Thu 29 Aswin 2083)</t>
        </is>
      </c>
    </row>
    <row r="145">
      <c r="A145" s="6" t="inlineStr">
        <is>
          <t>Ward no.</t>
        </is>
      </c>
      <c r="B145" s="6" t="inlineStr">
        <is>
          <t>Total population</t>
        </is>
      </c>
      <c r="C145" s="6" t="inlineStr">
        <is>
          <t>JE target population</t>
        </is>
      </c>
      <c r="D145" s="6" t="inlineStr">
        <is>
          <t>Vaccinated</t>
        </is>
      </c>
      <c r="E145" s="6" t="n"/>
      <c r="F145" s="6" t="n"/>
      <c r="G145" s="6" t="n"/>
      <c r="H145" s="6" t="n"/>
      <c r="I145" s="6" t="n"/>
      <c r="J145" s="6" t="n"/>
      <c r="K145" s="6" t="n"/>
      <c r="L145" s="6" t="n"/>
      <c r="M145" s="6" t="inlineStr">
        <is>
          <t>Progress %</t>
        </is>
      </c>
    </row>
    <row r="146">
      <c r="A146" s="6" t="n"/>
      <c r="B146" s="6" t="n"/>
      <c r="C146" s="6" t="n"/>
      <c r="D146" s="6" t="inlineStr">
        <is>
          <t>Age 30-60 yrs</t>
        </is>
      </c>
      <c r="E146" s="6" t="n"/>
      <c r="F146" s="6" t="n"/>
      <c r="G146" s="6" t="inlineStr">
        <is>
          <t>Age 60 above</t>
        </is>
      </c>
      <c r="H146" s="6" t="n"/>
      <c r="I146" s="6" t="n"/>
      <c r="J146" s="6" t="inlineStr">
        <is>
          <t>Total</t>
        </is>
      </c>
      <c r="K146" s="6" t="n"/>
      <c r="L146" s="6" t="inlineStr">
        <is>
          <t>Grand Total</t>
        </is>
      </c>
      <c r="M146" s="6" t="n"/>
    </row>
    <row r="147">
      <c r="A147" s="6" t="n"/>
      <c r="B147" s="6" t="n"/>
      <c r="C147" s="6" t="n"/>
      <c r="D147" s="6" t="inlineStr">
        <is>
          <t>F</t>
        </is>
      </c>
      <c r="E147" s="6" t="inlineStr">
        <is>
          <t>M</t>
        </is>
      </c>
      <c r="F147" s="6" t="inlineStr">
        <is>
          <t>Total</t>
        </is>
      </c>
      <c r="G147" s="6" t="inlineStr">
        <is>
          <t>F</t>
        </is>
      </c>
      <c r="H147" s="6" t="inlineStr">
        <is>
          <t>M</t>
        </is>
      </c>
      <c r="I147" s="6" t="inlineStr">
        <is>
          <t>Total</t>
        </is>
      </c>
      <c r="J147" s="6" t="inlineStr">
        <is>
          <t>F</t>
        </is>
      </c>
      <c r="K147" s="6" t="inlineStr">
        <is>
          <t>M</t>
        </is>
      </c>
      <c r="L147" s="6" t="n"/>
      <c r="M147" s="6" t="n"/>
    </row>
    <row r="148">
      <c r="A148" s="7" t="n">
        <v>1</v>
      </c>
      <c r="B148" s="8">
        <f>B5</f>
        <v/>
      </c>
      <c r="C148" s="8">
        <f>C5</f>
        <v/>
      </c>
      <c r="D148" s="14" t="n"/>
      <c r="E148" s="14" t="n"/>
      <c r="F148" s="8">
        <f>D148+E148</f>
        <v/>
      </c>
      <c r="G148" s="14" t="n"/>
      <c r="H148" s="14" t="n"/>
      <c r="I148" s="8">
        <f>G148+H148</f>
        <v/>
      </c>
      <c r="J148" s="8">
        <f>D148+G148</f>
        <v/>
      </c>
      <c r="K148" s="8">
        <f>E148+H148</f>
        <v/>
      </c>
      <c r="L148" s="8">
        <f>J148+K148</f>
        <v/>
      </c>
      <c r="M148" s="9">
        <f>IF(C148=0,0,L148/C148*100)</f>
        <v/>
      </c>
    </row>
    <row r="149">
      <c r="A149" s="7" t="n">
        <v>2</v>
      </c>
      <c r="B149" s="8">
        <f>B6</f>
        <v/>
      </c>
      <c r="C149" s="8">
        <f>C6</f>
        <v/>
      </c>
      <c r="D149" s="14" t="n"/>
      <c r="E149" s="14" t="n"/>
      <c r="F149" s="8">
        <f>D149+E149</f>
        <v/>
      </c>
      <c r="G149" s="14" t="n"/>
      <c r="H149" s="14" t="n"/>
      <c r="I149" s="8">
        <f>G149+H149</f>
        <v/>
      </c>
      <c r="J149" s="8">
        <f>D149+G149</f>
        <v/>
      </c>
      <c r="K149" s="8">
        <f>E149+H149</f>
        <v/>
      </c>
      <c r="L149" s="8">
        <f>J149+K149</f>
        <v/>
      </c>
      <c r="M149" s="9">
        <f>IF(C149=0,0,L149/C149*100)</f>
        <v/>
      </c>
    </row>
    <row r="150">
      <c r="A150" s="7" t="n">
        <v>3</v>
      </c>
      <c r="B150" s="8">
        <f>B7</f>
        <v/>
      </c>
      <c r="C150" s="8">
        <f>C7</f>
        <v/>
      </c>
      <c r="D150" s="14" t="n"/>
      <c r="E150" s="14" t="n"/>
      <c r="F150" s="8">
        <f>D150+E150</f>
        <v/>
      </c>
      <c r="G150" s="14" t="n"/>
      <c r="H150" s="14" t="n"/>
      <c r="I150" s="8">
        <f>G150+H150</f>
        <v/>
      </c>
      <c r="J150" s="8">
        <f>D150+G150</f>
        <v/>
      </c>
      <c r="K150" s="8">
        <f>E150+H150</f>
        <v/>
      </c>
      <c r="L150" s="8">
        <f>J150+K150</f>
        <v/>
      </c>
      <c r="M150" s="9">
        <f>IF(C150=0,0,L150/C150*100)</f>
        <v/>
      </c>
    </row>
    <row r="151">
      <c r="A151" s="7" t="n">
        <v>4</v>
      </c>
      <c r="B151" s="8">
        <f>B8</f>
        <v/>
      </c>
      <c r="C151" s="8">
        <f>C8</f>
        <v/>
      </c>
      <c r="D151" s="14" t="n"/>
      <c r="E151" s="14" t="n"/>
      <c r="F151" s="8">
        <f>D151+E151</f>
        <v/>
      </c>
      <c r="G151" s="14" t="n"/>
      <c r="H151" s="14" t="n"/>
      <c r="I151" s="8">
        <f>G151+H151</f>
        <v/>
      </c>
      <c r="J151" s="8">
        <f>D151+G151</f>
        <v/>
      </c>
      <c r="K151" s="8">
        <f>E151+H151</f>
        <v/>
      </c>
      <c r="L151" s="8">
        <f>J151+K151</f>
        <v/>
      </c>
      <c r="M151" s="9">
        <f>IF(C151=0,0,L151/C151*100)</f>
        <v/>
      </c>
    </row>
    <row r="152">
      <c r="A152" s="7" t="n">
        <v>5</v>
      </c>
      <c r="B152" s="8">
        <f>B9</f>
        <v/>
      </c>
      <c r="C152" s="8">
        <f>C9</f>
        <v/>
      </c>
      <c r="D152" s="14" t="n"/>
      <c r="E152" s="14" t="n"/>
      <c r="F152" s="8">
        <f>D152+E152</f>
        <v/>
      </c>
      <c r="G152" s="14" t="n"/>
      <c r="H152" s="14" t="n"/>
      <c r="I152" s="8">
        <f>G152+H152</f>
        <v/>
      </c>
      <c r="J152" s="8">
        <f>D152+G152</f>
        <v/>
      </c>
      <c r="K152" s="8">
        <f>E152+H152</f>
        <v/>
      </c>
      <c r="L152" s="8">
        <f>J152+K152</f>
        <v/>
      </c>
      <c r="M152" s="9">
        <f>IF(C152=0,0,L152/C152*100)</f>
        <v/>
      </c>
    </row>
    <row r="153">
      <c r="A153" s="7" t="n">
        <v>6</v>
      </c>
      <c r="B153" s="8">
        <f>B10</f>
        <v/>
      </c>
      <c r="C153" s="8">
        <f>C10</f>
        <v/>
      </c>
      <c r="D153" s="14" t="n"/>
      <c r="E153" s="14" t="n"/>
      <c r="F153" s="8">
        <f>D153+E153</f>
        <v/>
      </c>
      <c r="G153" s="14" t="n"/>
      <c r="H153" s="14" t="n"/>
      <c r="I153" s="8">
        <f>G153+H153</f>
        <v/>
      </c>
      <c r="J153" s="8">
        <f>D153+G153</f>
        <v/>
      </c>
      <c r="K153" s="8">
        <f>E153+H153</f>
        <v/>
      </c>
      <c r="L153" s="8">
        <f>J153+K153</f>
        <v/>
      </c>
      <c r="M153" s="9">
        <f>IF(C153=0,0,L153/C153*100)</f>
        <v/>
      </c>
    </row>
    <row r="154">
      <c r="A154" s="7" t="n">
        <v>7</v>
      </c>
      <c r="B154" s="8">
        <f>B11</f>
        <v/>
      </c>
      <c r="C154" s="8">
        <f>C11</f>
        <v/>
      </c>
      <c r="D154" s="14" t="n"/>
      <c r="E154" s="14" t="n"/>
      <c r="F154" s="8">
        <f>D154+E154</f>
        <v/>
      </c>
      <c r="G154" s="14" t="n"/>
      <c r="H154" s="14" t="n"/>
      <c r="I154" s="8">
        <f>G154+H154</f>
        <v/>
      </c>
      <c r="J154" s="8">
        <f>D154+G154</f>
        <v/>
      </c>
      <c r="K154" s="8">
        <f>E154+H154</f>
        <v/>
      </c>
      <c r="L154" s="8">
        <f>J154+K154</f>
        <v/>
      </c>
      <c r="M154" s="9">
        <f>IF(C154=0,0,L154/C154*100)</f>
        <v/>
      </c>
    </row>
    <row r="155">
      <c r="A155" s="10" t="inlineStr">
        <is>
          <t>Total</t>
        </is>
      </c>
      <c r="B155" s="11">
        <f>SUM(B148:B154)</f>
        <v/>
      </c>
      <c r="C155" s="11">
        <f>SUM(C148:C154)</f>
        <v/>
      </c>
      <c r="D155" s="11">
        <f>SUM(D148:D154)</f>
        <v/>
      </c>
      <c r="E155" s="11">
        <f>SUM(E148:E154)</f>
        <v/>
      </c>
      <c r="F155" s="11">
        <f>D155+E155</f>
        <v/>
      </c>
      <c r="G155" s="11">
        <f>SUM(G148:G154)</f>
        <v/>
      </c>
      <c r="H155" s="11">
        <f>SUM(H148:H154)</f>
        <v/>
      </c>
      <c r="I155" s="11">
        <f>G155+H155</f>
        <v/>
      </c>
      <c r="J155" s="11">
        <f>D155+G155</f>
        <v/>
      </c>
      <c r="K155" s="11">
        <f>E155+H155</f>
        <v/>
      </c>
      <c r="L155" s="11">
        <f>J155+K155</f>
        <v/>
      </c>
      <c r="M155" s="12">
        <f>IF(C155=0,0,L155/C155*100)</f>
        <v/>
      </c>
    </row>
    <row r="157">
      <c r="A157" s="13" t="inlineStr">
        <is>
          <t>Day 12 - 2026-10-16 (Fri 30 Aswin 2083)</t>
        </is>
      </c>
    </row>
    <row r="158">
      <c r="A158" s="6" t="inlineStr">
        <is>
          <t>Ward no.</t>
        </is>
      </c>
      <c r="B158" s="6" t="inlineStr">
        <is>
          <t>Total population</t>
        </is>
      </c>
      <c r="C158" s="6" t="inlineStr">
        <is>
          <t>JE target population</t>
        </is>
      </c>
      <c r="D158" s="6" t="inlineStr">
        <is>
          <t>Vaccinated</t>
        </is>
      </c>
      <c r="E158" s="6" t="n"/>
      <c r="F158" s="6" t="n"/>
      <c r="G158" s="6" t="n"/>
      <c r="H158" s="6" t="n"/>
      <c r="I158" s="6" t="n"/>
      <c r="J158" s="6" t="n"/>
      <c r="K158" s="6" t="n"/>
      <c r="L158" s="6" t="n"/>
      <c r="M158" s="6" t="inlineStr">
        <is>
          <t>Progress %</t>
        </is>
      </c>
    </row>
    <row r="159">
      <c r="A159" s="6" t="n"/>
      <c r="B159" s="6" t="n"/>
      <c r="C159" s="6" t="n"/>
      <c r="D159" s="6" t="inlineStr">
        <is>
          <t>Age 30-60 yrs</t>
        </is>
      </c>
      <c r="E159" s="6" t="n"/>
      <c r="F159" s="6" t="n"/>
      <c r="G159" s="6" t="inlineStr">
        <is>
          <t>Age 60 above</t>
        </is>
      </c>
      <c r="H159" s="6" t="n"/>
      <c r="I159" s="6" t="n"/>
      <c r="J159" s="6" t="inlineStr">
        <is>
          <t>Total</t>
        </is>
      </c>
      <c r="K159" s="6" t="n"/>
      <c r="L159" s="6" t="inlineStr">
        <is>
          <t>Grand Total</t>
        </is>
      </c>
      <c r="M159" s="6" t="n"/>
    </row>
    <row r="160">
      <c r="A160" s="6" t="n"/>
      <c r="B160" s="6" t="n"/>
      <c r="C160" s="6" t="n"/>
      <c r="D160" s="6" t="inlineStr">
        <is>
          <t>F</t>
        </is>
      </c>
      <c r="E160" s="6" t="inlineStr">
        <is>
          <t>M</t>
        </is>
      </c>
      <c r="F160" s="6" t="inlineStr">
        <is>
          <t>Total</t>
        </is>
      </c>
      <c r="G160" s="6" t="inlineStr">
        <is>
          <t>F</t>
        </is>
      </c>
      <c r="H160" s="6" t="inlineStr">
        <is>
          <t>M</t>
        </is>
      </c>
      <c r="I160" s="6" t="inlineStr">
        <is>
          <t>Total</t>
        </is>
      </c>
      <c r="J160" s="6" t="inlineStr">
        <is>
          <t>F</t>
        </is>
      </c>
      <c r="K160" s="6" t="inlineStr">
        <is>
          <t>M</t>
        </is>
      </c>
      <c r="L160" s="6" t="n"/>
      <c r="M160" s="6" t="n"/>
    </row>
    <row r="161">
      <c r="A161" s="7" t="n">
        <v>1</v>
      </c>
      <c r="B161" s="8">
        <f>B5</f>
        <v/>
      </c>
      <c r="C161" s="8">
        <f>C5</f>
        <v/>
      </c>
      <c r="D161" s="14" t="n"/>
      <c r="E161" s="14" t="n"/>
      <c r="F161" s="8">
        <f>D161+E161</f>
        <v/>
      </c>
      <c r="G161" s="14" t="n"/>
      <c r="H161" s="14" t="n"/>
      <c r="I161" s="8">
        <f>G161+H161</f>
        <v/>
      </c>
      <c r="J161" s="8">
        <f>D161+G161</f>
        <v/>
      </c>
      <c r="K161" s="8">
        <f>E161+H161</f>
        <v/>
      </c>
      <c r="L161" s="8">
        <f>J161+K161</f>
        <v/>
      </c>
      <c r="M161" s="9">
        <f>IF(C161=0,0,L161/C161*100)</f>
        <v/>
      </c>
    </row>
    <row r="162">
      <c r="A162" s="7" t="n">
        <v>2</v>
      </c>
      <c r="B162" s="8">
        <f>B6</f>
        <v/>
      </c>
      <c r="C162" s="8">
        <f>C6</f>
        <v/>
      </c>
      <c r="D162" s="14" t="n"/>
      <c r="E162" s="14" t="n"/>
      <c r="F162" s="8">
        <f>D162+E162</f>
        <v/>
      </c>
      <c r="G162" s="14" t="n"/>
      <c r="H162" s="14" t="n"/>
      <c r="I162" s="8">
        <f>G162+H162</f>
        <v/>
      </c>
      <c r="J162" s="8">
        <f>D162+G162</f>
        <v/>
      </c>
      <c r="K162" s="8">
        <f>E162+H162</f>
        <v/>
      </c>
      <c r="L162" s="8">
        <f>J162+K162</f>
        <v/>
      </c>
      <c r="M162" s="9">
        <f>IF(C162=0,0,L162/C162*100)</f>
        <v/>
      </c>
    </row>
    <row r="163">
      <c r="A163" s="7" t="n">
        <v>3</v>
      </c>
      <c r="B163" s="8">
        <f>B7</f>
        <v/>
      </c>
      <c r="C163" s="8">
        <f>C7</f>
        <v/>
      </c>
      <c r="D163" s="14" t="n"/>
      <c r="E163" s="14" t="n"/>
      <c r="F163" s="8">
        <f>D163+E163</f>
        <v/>
      </c>
      <c r="G163" s="14" t="n"/>
      <c r="H163" s="14" t="n"/>
      <c r="I163" s="8">
        <f>G163+H163</f>
        <v/>
      </c>
      <c r="J163" s="8">
        <f>D163+G163</f>
        <v/>
      </c>
      <c r="K163" s="8">
        <f>E163+H163</f>
        <v/>
      </c>
      <c r="L163" s="8">
        <f>J163+K163</f>
        <v/>
      </c>
      <c r="M163" s="9">
        <f>IF(C163=0,0,L163/C163*100)</f>
        <v/>
      </c>
    </row>
    <row r="164">
      <c r="A164" s="7" t="n">
        <v>4</v>
      </c>
      <c r="B164" s="8">
        <f>B8</f>
        <v/>
      </c>
      <c r="C164" s="8">
        <f>C8</f>
        <v/>
      </c>
      <c r="D164" s="14" t="n"/>
      <c r="E164" s="14" t="n"/>
      <c r="F164" s="8">
        <f>D164+E164</f>
        <v/>
      </c>
      <c r="G164" s="14" t="n"/>
      <c r="H164" s="14" t="n"/>
      <c r="I164" s="8">
        <f>G164+H164</f>
        <v/>
      </c>
      <c r="J164" s="8">
        <f>D164+G164</f>
        <v/>
      </c>
      <c r="K164" s="8">
        <f>E164+H164</f>
        <v/>
      </c>
      <c r="L164" s="8">
        <f>J164+K164</f>
        <v/>
      </c>
      <c r="M164" s="9">
        <f>IF(C164=0,0,L164/C164*100)</f>
        <v/>
      </c>
    </row>
    <row r="165">
      <c r="A165" s="7" t="n">
        <v>5</v>
      </c>
      <c r="B165" s="8">
        <f>B9</f>
        <v/>
      </c>
      <c r="C165" s="8">
        <f>C9</f>
        <v/>
      </c>
      <c r="D165" s="14" t="n"/>
      <c r="E165" s="14" t="n"/>
      <c r="F165" s="8">
        <f>D165+E165</f>
        <v/>
      </c>
      <c r="G165" s="14" t="n"/>
      <c r="H165" s="14" t="n"/>
      <c r="I165" s="8">
        <f>G165+H165</f>
        <v/>
      </c>
      <c r="J165" s="8">
        <f>D165+G165</f>
        <v/>
      </c>
      <c r="K165" s="8">
        <f>E165+H165</f>
        <v/>
      </c>
      <c r="L165" s="8">
        <f>J165+K165</f>
        <v/>
      </c>
      <c r="M165" s="9">
        <f>IF(C165=0,0,L165/C165*100)</f>
        <v/>
      </c>
    </row>
    <row r="166">
      <c r="A166" s="7" t="n">
        <v>6</v>
      </c>
      <c r="B166" s="8">
        <f>B10</f>
        <v/>
      </c>
      <c r="C166" s="8">
        <f>C10</f>
        <v/>
      </c>
      <c r="D166" s="14" t="n"/>
      <c r="E166" s="14" t="n"/>
      <c r="F166" s="8">
        <f>D166+E166</f>
        <v/>
      </c>
      <c r="G166" s="14" t="n"/>
      <c r="H166" s="14" t="n"/>
      <c r="I166" s="8">
        <f>G166+H166</f>
        <v/>
      </c>
      <c r="J166" s="8">
        <f>D166+G166</f>
        <v/>
      </c>
      <c r="K166" s="8">
        <f>E166+H166</f>
        <v/>
      </c>
      <c r="L166" s="8">
        <f>J166+K166</f>
        <v/>
      </c>
      <c r="M166" s="9">
        <f>IF(C166=0,0,L166/C166*100)</f>
        <v/>
      </c>
    </row>
    <row r="167">
      <c r="A167" s="7" t="n">
        <v>7</v>
      </c>
      <c r="B167" s="8">
        <f>B11</f>
        <v/>
      </c>
      <c r="C167" s="8">
        <f>C11</f>
        <v/>
      </c>
      <c r="D167" s="14" t="n"/>
      <c r="E167" s="14" t="n"/>
      <c r="F167" s="8">
        <f>D167+E167</f>
        <v/>
      </c>
      <c r="G167" s="14" t="n"/>
      <c r="H167" s="14" t="n"/>
      <c r="I167" s="8">
        <f>G167+H167</f>
        <v/>
      </c>
      <c r="J167" s="8">
        <f>D167+G167</f>
        <v/>
      </c>
      <c r="K167" s="8">
        <f>E167+H167</f>
        <v/>
      </c>
      <c r="L167" s="8">
        <f>J167+K167</f>
        <v/>
      </c>
      <c r="M167" s="9">
        <f>IF(C167=0,0,L167/C167*100)</f>
        <v/>
      </c>
    </row>
    <row r="168">
      <c r="A168" s="10" t="inlineStr">
        <is>
          <t>Total</t>
        </is>
      </c>
      <c r="B168" s="11">
        <f>SUM(B161:B167)</f>
        <v/>
      </c>
      <c r="C168" s="11">
        <f>SUM(C161:C167)</f>
        <v/>
      </c>
      <c r="D168" s="11">
        <f>SUM(D161:D167)</f>
        <v/>
      </c>
      <c r="E168" s="11">
        <f>SUM(E161:E167)</f>
        <v/>
      </c>
      <c r="F168" s="11">
        <f>D168+E168</f>
        <v/>
      </c>
      <c r="G168" s="11">
        <f>SUM(G161:G167)</f>
        <v/>
      </c>
      <c r="H168" s="11">
        <f>SUM(H161:H167)</f>
        <v/>
      </c>
      <c r="I168" s="11">
        <f>G168+H168</f>
        <v/>
      </c>
      <c r="J168" s="11">
        <f>D168+G168</f>
        <v/>
      </c>
      <c r="K168" s="11">
        <f>E168+H168</f>
        <v/>
      </c>
      <c r="L168" s="11">
        <f>J168+K168</f>
        <v/>
      </c>
      <c r="M168" s="12">
        <f>IF(C168=0,0,L168/C168*100)</f>
        <v/>
      </c>
    </row>
    <row r="170">
      <c r="A170" s="13" t="inlineStr">
        <is>
          <t>Day 13 - 2026-10-17 (Sat 31 Aswin 2083)</t>
        </is>
      </c>
    </row>
    <row r="171">
      <c r="A171" s="6" t="inlineStr">
        <is>
          <t>Ward no.</t>
        </is>
      </c>
      <c r="B171" s="6" t="inlineStr">
        <is>
          <t>Total population</t>
        </is>
      </c>
      <c r="C171" s="6" t="inlineStr">
        <is>
          <t>JE target population</t>
        </is>
      </c>
      <c r="D171" s="6" t="inlineStr">
        <is>
          <t>Vaccinated</t>
        </is>
      </c>
      <c r="E171" s="6" t="n"/>
      <c r="F171" s="6" t="n"/>
      <c r="G171" s="6" t="n"/>
      <c r="H171" s="6" t="n"/>
      <c r="I171" s="6" t="n"/>
      <c r="J171" s="6" t="n"/>
      <c r="K171" s="6" t="n"/>
      <c r="L171" s="6" t="n"/>
      <c r="M171" s="6" t="inlineStr">
        <is>
          <t>Progress %</t>
        </is>
      </c>
    </row>
    <row r="172">
      <c r="A172" s="6" t="n"/>
      <c r="B172" s="6" t="n"/>
      <c r="C172" s="6" t="n"/>
      <c r="D172" s="6" t="inlineStr">
        <is>
          <t>Age 30-60 yrs</t>
        </is>
      </c>
      <c r="E172" s="6" t="n"/>
      <c r="F172" s="6" t="n"/>
      <c r="G172" s="6" t="inlineStr">
        <is>
          <t>Age 60 above</t>
        </is>
      </c>
      <c r="H172" s="6" t="n"/>
      <c r="I172" s="6" t="n"/>
      <c r="J172" s="6" t="inlineStr">
        <is>
          <t>Total</t>
        </is>
      </c>
      <c r="K172" s="6" t="n"/>
      <c r="L172" s="6" t="inlineStr">
        <is>
          <t>Grand Total</t>
        </is>
      </c>
      <c r="M172" s="6" t="n"/>
    </row>
    <row r="173">
      <c r="A173" s="6" t="n"/>
      <c r="B173" s="6" t="n"/>
      <c r="C173" s="6" t="n"/>
      <c r="D173" s="6" t="inlineStr">
        <is>
          <t>F</t>
        </is>
      </c>
      <c r="E173" s="6" t="inlineStr">
        <is>
          <t>M</t>
        </is>
      </c>
      <c r="F173" s="6" t="inlineStr">
        <is>
          <t>Total</t>
        </is>
      </c>
      <c r="G173" s="6" t="inlineStr">
        <is>
          <t>F</t>
        </is>
      </c>
      <c r="H173" s="6" t="inlineStr">
        <is>
          <t>M</t>
        </is>
      </c>
      <c r="I173" s="6" t="inlineStr">
        <is>
          <t>Total</t>
        </is>
      </c>
      <c r="J173" s="6" t="inlineStr">
        <is>
          <t>F</t>
        </is>
      </c>
      <c r="K173" s="6" t="inlineStr">
        <is>
          <t>M</t>
        </is>
      </c>
      <c r="L173" s="6" t="n"/>
      <c r="M173" s="6" t="n"/>
    </row>
    <row r="174">
      <c r="A174" s="7" t="n">
        <v>1</v>
      </c>
      <c r="B174" s="8">
        <f>B5</f>
        <v/>
      </c>
      <c r="C174" s="8">
        <f>C5</f>
        <v/>
      </c>
      <c r="D174" s="14" t="n"/>
      <c r="E174" s="14" t="n"/>
      <c r="F174" s="8">
        <f>D174+E174</f>
        <v/>
      </c>
      <c r="G174" s="14" t="n"/>
      <c r="H174" s="14" t="n"/>
      <c r="I174" s="8">
        <f>G174+H174</f>
        <v/>
      </c>
      <c r="J174" s="8">
        <f>D174+G174</f>
        <v/>
      </c>
      <c r="K174" s="8">
        <f>E174+H174</f>
        <v/>
      </c>
      <c r="L174" s="8">
        <f>J174+K174</f>
        <v/>
      </c>
      <c r="M174" s="9">
        <f>IF(C174=0,0,L174/C174*100)</f>
        <v/>
      </c>
    </row>
    <row r="175">
      <c r="A175" s="7" t="n">
        <v>2</v>
      </c>
      <c r="B175" s="8">
        <f>B6</f>
        <v/>
      </c>
      <c r="C175" s="8">
        <f>C6</f>
        <v/>
      </c>
      <c r="D175" s="14" t="n"/>
      <c r="E175" s="14" t="n"/>
      <c r="F175" s="8">
        <f>D175+E175</f>
        <v/>
      </c>
      <c r="G175" s="14" t="n"/>
      <c r="H175" s="14" t="n"/>
      <c r="I175" s="8">
        <f>G175+H175</f>
        <v/>
      </c>
      <c r="J175" s="8">
        <f>D175+G175</f>
        <v/>
      </c>
      <c r="K175" s="8">
        <f>E175+H175</f>
        <v/>
      </c>
      <c r="L175" s="8">
        <f>J175+K175</f>
        <v/>
      </c>
      <c r="M175" s="9">
        <f>IF(C175=0,0,L175/C175*100)</f>
        <v/>
      </c>
    </row>
    <row r="176">
      <c r="A176" s="7" t="n">
        <v>3</v>
      </c>
      <c r="B176" s="8">
        <f>B7</f>
        <v/>
      </c>
      <c r="C176" s="8">
        <f>C7</f>
        <v/>
      </c>
      <c r="D176" s="14" t="n"/>
      <c r="E176" s="14" t="n"/>
      <c r="F176" s="8">
        <f>D176+E176</f>
        <v/>
      </c>
      <c r="G176" s="14" t="n"/>
      <c r="H176" s="14" t="n"/>
      <c r="I176" s="8">
        <f>G176+H176</f>
        <v/>
      </c>
      <c r="J176" s="8">
        <f>D176+G176</f>
        <v/>
      </c>
      <c r="K176" s="8">
        <f>E176+H176</f>
        <v/>
      </c>
      <c r="L176" s="8">
        <f>J176+K176</f>
        <v/>
      </c>
      <c r="M176" s="9">
        <f>IF(C176=0,0,L176/C176*100)</f>
        <v/>
      </c>
    </row>
    <row r="177">
      <c r="A177" s="7" t="n">
        <v>4</v>
      </c>
      <c r="B177" s="8">
        <f>B8</f>
        <v/>
      </c>
      <c r="C177" s="8">
        <f>C8</f>
        <v/>
      </c>
      <c r="D177" s="14" t="n"/>
      <c r="E177" s="14" t="n"/>
      <c r="F177" s="8">
        <f>D177+E177</f>
        <v/>
      </c>
      <c r="G177" s="14" t="n"/>
      <c r="H177" s="14" t="n"/>
      <c r="I177" s="8">
        <f>G177+H177</f>
        <v/>
      </c>
      <c r="J177" s="8">
        <f>D177+G177</f>
        <v/>
      </c>
      <c r="K177" s="8">
        <f>E177+H177</f>
        <v/>
      </c>
      <c r="L177" s="8">
        <f>J177+K177</f>
        <v/>
      </c>
      <c r="M177" s="9">
        <f>IF(C177=0,0,L177/C177*100)</f>
        <v/>
      </c>
    </row>
    <row r="178">
      <c r="A178" s="7" t="n">
        <v>5</v>
      </c>
      <c r="B178" s="8">
        <f>B9</f>
        <v/>
      </c>
      <c r="C178" s="8">
        <f>C9</f>
        <v/>
      </c>
      <c r="D178" s="14" t="n"/>
      <c r="E178" s="14" t="n"/>
      <c r="F178" s="8">
        <f>D178+E178</f>
        <v/>
      </c>
      <c r="G178" s="14" t="n"/>
      <c r="H178" s="14" t="n"/>
      <c r="I178" s="8">
        <f>G178+H178</f>
        <v/>
      </c>
      <c r="J178" s="8">
        <f>D178+G178</f>
        <v/>
      </c>
      <c r="K178" s="8">
        <f>E178+H178</f>
        <v/>
      </c>
      <c r="L178" s="8">
        <f>J178+K178</f>
        <v/>
      </c>
      <c r="M178" s="9">
        <f>IF(C178=0,0,L178/C178*100)</f>
        <v/>
      </c>
    </row>
    <row r="179">
      <c r="A179" s="7" t="n">
        <v>6</v>
      </c>
      <c r="B179" s="8">
        <f>B10</f>
        <v/>
      </c>
      <c r="C179" s="8">
        <f>C10</f>
        <v/>
      </c>
      <c r="D179" s="14" t="n"/>
      <c r="E179" s="14" t="n"/>
      <c r="F179" s="8">
        <f>D179+E179</f>
        <v/>
      </c>
      <c r="G179" s="14" t="n"/>
      <c r="H179" s="14" t="n"/>
      <c r="I179" s="8">
        <f>G179+H179</f>
        <v/>
      </c>
      <c r="J179" s="8">
        <f>D179+G179</f>
        <v/>
      </c>
      <c r="K179" s="8">
        <f>E179+H179</f>
        <v/>
      </c>
      <c r="L179" s="8">
        <f>J179+K179</f>
        <v/>
      </c>
      <c r="M179" s="9">
        <f>IF(C179=0,0,L179/C179*100)</f>
        <v/>
      </c>
    </row>
    <row r="180">
      <c r="A180" s="7" t="n">
        <v>7</v>
      </c>
      <c r="B180" s="8">
        <f>B11</f>
        <v/>
      </c>
      <c r="C180" s="8">
        <f>C11</f>
        <v/>
      </c>
      <c r="D180" s="14" t="n"/>
      <c r="E180" s="14" t="n"/>
      <c r="F180" s="8">
        <f>D180+E180</f>
        <v/>
      </c>
      <c r="G180" s="14" t="n"/>
      <c r="H180" s="14" t="n"/>
      <c r="I180" s="8">
        <f>G180+H180</f>
        <v/>
      </c>
      <c r="J180" s="8">
        <f>D180+G180</f>
        <v/>
      </c>
      <c r="K180" s="8">
        <f>E180+H180</f>
        <v/>
      </c>
      <c r="L180" s="8">
        <f>J180+K180</f>
        <v/>
      </c>
      <c r="M180" s="9">
        <f>IF(C180=0,0,L180/C180*100)</f>
        <v/>
      </c>
    </row>
    <row r="181">
      <c r="A181" s="10" t="inlineStr">
        <is>
          <t>Total</t>
        </is>
      </c>
      <c r="B181" s="11">
        <f>SUM(B174:B180)</f>
        <v/>
      </c>
      <c r="C181" s="11">
        <f>SUM(C174:C180)</f>
        <v/>
      </c>
      <c r="D181" s="11">
        <f>SUM(D174:D180)</f>
        <v/>
      </c>
      <c r="E181" s="11">
        <f>SUM(E174:E180)</f>
        <v/>
      </c>
      <c r="F181" s="11">
        <f>D181+E181</f>
        <v/>
      </c>
      <c r="G181" s="11">
        <f>SUM(G174:G180)</f>
        <v/>
      </c>
      <c r="H181" s="11">
        <f>SUM(H174:H180)</f>
        <v/>
      </c>
      <c r="I181" s="11">
        <f>G181+H181</f>
        <v/>
      </c>
      <c r="J181" s="11">
        <f>D181+G181</f>
        <v/>
      </c>
      <c r="K181" s="11">
        <f>E181+H181</f>
        <v/>
      </c>
      <c r="L181" s="11">
        <f>J181+K181</f>
        <v/>
      </c>
      <c r="M181" s="12">
        <f>IF(C181=0,0,L181/C181*100)</f>
        <v/>
      </c>
    </row>
    <row r="183">
      <c r="A183" s="13" t="inlineStr">
        <is>
          <t>Day 14 - 2026-10-18 (Sun 01 Kartik 2083)</t>
        </is>
      </c>
    </row>
    <row r="184">
      <c r="A184" s="6" t="inlineStr">
        <is>
          <t>Ward no.</t>
        </is>
      </c>
      <c r="B184" s="6" t="inlineStr">
        <is>
          <t>Total population</t>
        </is>
      </c>
      <c r="C184" s="6" t="inlineStr">
        <is>
          <t>JE target population</t>
        </is>
      </c>
      <c r="D184" s="6" t="inlineStr">
        <is>
          <t>Vaccinated</t>
        </is>
      </c>
      <c r="E184" s="6" t="n"/>
      <c r="F184" s="6" t="n"/>
      <c r="G184" s="6" t="n"/>
      <c r="H184" s="6" t="n"/>
      <c r="I184" s="6" t="n"/>
      <c r="J184" s="6" t="n"/>
      <c r="K184" s="6" t="n"/>
      <c r="L184" s="6" t="n"/>
      <c r="M184" s="6" t="inlineStr">
        <is>
          <t>Progress %</t>
        </is>
      </c>
    </row>
    <row r="185">
      <c r="A185" s="6" t="n"/>
      <c r="B185" s="6" t="n"/>
      <c r="C185" s="6" t="n"/>
      <c r="D185" s="6" t="inlineStr">
        <is>
          <t>Age 30-60 yrs</t>
        </is>
      </c>
      <c r="E185" s="6" t="n"/>
      <c r="F185" s="6" t="n"/>
      <c r="G185" s="6" t="inlineStr">
        <is>
          <t>Age 60 above</t>
        </is>
      </c>
      <c r="H185" s="6" t="n"/>
      <c r="I185" s="6" t="n"/>
      <c r="J185" s="6" t="inlineStr">
        <is>
          <t>Total</t>
        </is>
      </c>
      <c r="K185" s="6" t="n"/>
      <c r="L185" s="6" t="inlineStr">
        <is>
          <t>Grand Total</t>
        </is>
      </c>
      <c r="M185" s="6" t="n"/>
    </row>
    <row r="186">
      <c r="A186" s="6" t="n"/>
      <c r="B186" s="6" t="n"/>
      <c r="C186" s="6" t="n"/>
      <c r="D186" s="6" t="inlineStr">
        <is>
          <t>F</t>
        </is>
      </c>
      <c r="E186" s="6" t="inlineStr">
        <is>
          <t>M</t>
        </is>
      </c>
      <c r="F186" s="6" t="inlineStr">
        <is>
          <t>Total</t>
        </is>
      </c>
      <c r="G186" s="6" t="inlineStr">
        <is>
          <t>F</t>
        </is>
      </c>
      <c r="H186" s="6" t="inlineStr">
        <is>
          <t>M</t>
        </is>
      </c>
      <c r="I186" s="6" t="inlineStr">
        <is>
          <t>Total</t>
        </is>
      </c>
      <c r="J186" s="6" t="inlineStr">
        <is>
          <t>F</t>
        </is>
      </c>
      <c r="K186" s="6" t="inlineStr">
        <is>
          <t>M</t>
        </is>
      </c>
      <c r="L186" s="6" t="n"/>
      <c r="M186" s="6" t="n"/>
    </row>
    <row r="187">
      <c r="A187" s="7" t="n">
        <v>1</v>
      </c>
      <c r="B187" s="8">
        <f>B5</f>
        <v/>
      </c>
      <c r="C187" s="8">
        <f>C5</f>
        <v/>
      </c>
      <c r="D187" s="14" t="n"/>
      <c r="E187" s="14" t="n"/>
      <c r="F187" s="8">
        <f>D187+E187</f>
        <v/>
      </c>
      <c r="G187" s="14" t="n"/>
      <c r="H187" s="14" t="n"/>
      <c r="I187" s="8">
        <f>G187+H187</f>
        <v/>
      </c>
      <c r="J187" s="8">
        <f>D187+G187</f>
        <v/>
      </c>
      <c r="K187" s="8">
        <f>E187+H187</f>
        <v/>
      </c>
      <c r="L187" s="8">
        <f>J187+K187</f>
        <v/>
      </c>
      <c r="M187" s="9">
        <f>IF(C187=0,0,L187/C187*100)</f>
        <v/>
      </c>
    </row>
    <row r="188">
      <c r="A188" s="7" t="n">
        <v>2</v>
      </c>
      <c r="B188" s="8">
        <f>B6</f>
        <v/>
      </c>
      <c r="C188" s="8">
        <f>C6</f>
        <v/>
      </c>
      <c r="D188" s="14" t="n"/>
      <c r="E188" s="14" t="n"/>
      <c r="F188" s="8">
        <f>D188+E188</f>
        <v/>
      </c>
      <c r="G188" s="14" t="n"/>
      <c r="H188" s="14" t="n"/>
      <c r="I188" s="8">
        <f>G188+H188</f>
        <v/>
      </c>
      <c r="J188" s="8">
        <f>D188+G188</f>
        <v/>
      </c>
      <c r="K188" s="8">
        <f>E188+H188</f>
        <v/>
      </c>
      <c r="L188" s="8">
        <f>J188+K188</f>
        <v/>
      </c>
      <c r="M188" s="9">
        <f>IF(C188=0,0,L188/C188*100)</f>
        <v/>
      </c>
    </row>
    <row r="189">
      <c r="A189" s="7" t="n">
        <v>3</v>
      </c>
      <c r="B189" s="8">
        <f>B7</f>
        <v/>
      </c>
      <c r="C189" s="8">
        <f>C7</f>
        <v/>
      </c>
      <c r="D189" s="14" t="n"/>
      <c r="E189" s="14" t="n"/>
      <c r="F189" s="8">
        <f>D189+E189</f>
        <v/>
      </c>
      <c r="G189" s="14" t="n"/>
      <c r="H189" s="14" t="n"/>
      <c r="I189" s="8">
        <f>G189+H189</f>
        <v/>
      </c>
      <c r="J189" s="8">
        <f>D189+G189</f>
        <v/>
      </c>
      <c r="K189" s="8">
        <f>E189+H189</f>
        <v/>
      </c>
      <c r="L189" s="8">
        <f>J189+K189</f>
        <v/>
      </c>
      <c r="M189" s="9">
        <f>IF(C189=0,0,L189/C189*100)</f>
        <v/>
      </c>
    </row>
    <row r="190">
      <c r="A190" s="7" t="n">
        <v>4</v>
      </c>
      <c r="B190" s="8">
        <f>B8</f>
        <v/>
      </c>
      <c r="C190" s="8">
        <f>C8</f>
        <v/>
      </c>
      <c r="D190" s="14" t="n"/>
      <c r="E190" s="14" t="n"/>
      <c r="F190" s="8">
        <f>D190+E190</f>
        <v/>
      </c>
      <c r="G190" s="14" t="n"/>
      <c r="H190" s="14" t="n"/>
      <c r="I190" s="8">
        <f>G190+H190</f>
        <v/>
      </c>
      <c r="J190" s="8">
        <f>D190+G190</f>
        <v/>
      </c>
      <c r="K190" s="8">
        <f>E190+H190</f>
        <v/>
      </c>
      <c r="L190" s="8">
        <f>J190+K190</f>
        <v/>
      </c>
      <c r="M190" s="9">
        <f>IF(C190=0,0,L190/C190*100)</f>
        <v/>
      </c>
    </row>
    <row r="191">
      <c r="A191" s="7" t="n">
        <v>5</v>
      </c>
      <c r="B191" s="8">
        <f>B9</f>
        <v/>
      </c>
      <c r="C191" s="8">
        <f>C9</f>
        <v/>
      </c>
      <c r="D191" s="14" t="n"/>
      <c r="E191" s="14" t="n"/>
      <c r="F191" s="8">
        <f>D191+E191</f>
        <v/>
      </c>
      <c r="G191" s="14" t="n"/>
      <c r="H191" s="14" t="n"/>
      <c r="I191" s="8">
        <f>G191+H191</f>
        <v/>
      </c>
      <c r="J191" s="8">
        <f>D191+G191</f>
        <v/>
      </c>
      <c r="K191" s="8">
        <f>E191+H191</f>
        <v/>
      </c>
      <c r="L191" s="8">
        <f>J191+K191</f>
        <v/>
      </c>
      <c r="M191" s="9">
        <f>IF(C191=0,0,L191/C191*100)</f>
        <v/>
      </c>
    </row>
    <row r="192">
      <c r="A192" s="7" t="n">
        <v>6</v>
      </c>
      <c r="B192" s="8">
        <f>B10</f>
        <v/>
      </c>
      <c r="C192" s="8">
        <f>C10</f>
        <v/>
      </c>
      <c r="D192" s="14" t="n"/>
      <c r="E192" s="14" t="n"/>
      <c r="F192" s="8">
        <f>D192+E192</f>
        <v/>
      </c>
      <c r="G192" s="14" t="n"/>
      <c r="H192" s="14" t="n"/>
      <c r="I192" s="8">
        <f>G192+H192</f>
        <v/>
      </c>
      <c r="J192" s="8">
        <f>D192+G192</f>
        <v/>
      </c>
      <c r="K192" s="8">
        <f>E192+H192</f>
        <v/>
      </c>
      <c r="L192" s="8">
        <f>J192+K192</f>
        <v/>
      </c>
      <c r="M192" s="9">
        <f>IF(C192=0,0,L192/C192*100)</f>
        <v/>
      </c>
    </row>
    <row r="193">
      <c r="A193" s="7" t="n">
        <v>7</v>
      </c>
      <c r="B193" s="8">
        <f>B11</f>
        <v/>
      </c>
      <c r="C193" s="8">
        <f>C11</f>
        <v/>
      </c>
      <c r="D193" s="14" t="n"/>
      <c r="E193" s="14" t="n"/>
      <c r="F193" s="8">
        <f>D193+E193</f>
        <v/>
      </c>
      <c r="G193" s="14" t="n"/>
      <c r="H193" s="14" t="n"/>
      <c r="I193" s="8">
        <f>G193+H193</f>
        <v/>
      </c>
      <c r="J193" s="8">
        <f>D193+G193</f>
        <v/>
      </c>
      <c r="K193" s="8">
        <f>E193+H193</f>
        <v/>
      </c>
      <c r="L193" s="8">
        <f>J193+K193</f>
        <v/>
      </c>
      <c r="M193" s="9">
        <f>IF(C193=0,0,L193/C193*100)</f>
        <v/>
      </c>
    </row>
    <row r="194">
      <c r="A194" s="10" t="inlineStr">
        <is>
          <t>Total</t>
        </is>
      </c>
      <c r="B194" s="11">
        <f>SUM(B187:B193)</f>
        <v/>
      </c>
      <c r="C194" s="11">
        <f>SUM(C187:C193)</f>
        <v/>
      </c>
      <c r="D194" s="11">
        <f>SUM(D187:D193)</f>
        <v/>
      </c>
      <c r="E194" s="11">
        <f>SUM(E187:E193)</f>
        <v/>
      </c>
      <c r="F194" s="11">
        <f>D194+E194</f>
        <v/>
      </c>
      <c r="G194" s="11">
        <f>SUM(G187:G193)</f>
        <v/>
      </c>
      <c r="H194" s="11">
        <f>SUM(H187:H193)</f>
        <v/>
      </c>
      <c r="I194" s="11">
        <f>G194+H194</f>
        <v/>
      </c>
      <c r="J194" s="11">
        <f>D194+G194</f>
        <v/>
      </c>
      <c r="K194" s="11">
        <f>E194+H194</f>
        <v/>
      </c>
      <c r="L194" s="11">
        <f>J194+K194</f>
        <v/>
      </c>
      <c r="M194" s="12">
        <f>IF(C194=0,0,L194/C194*100)</f>
        <v/>
      </c>
    </row>
    <row r="196">
      <c r="A196" s="13" t="inlineStr">
        <is>
          <t>Day 15 - 2026-10-19 (Mon 02 Kartik 2083)</t>
        </is>
      </c>
    </row>
    <row r="197">
      <c r="A197" s="6" t="inlineStr">
        <is>
          <t>Ward no.</t>
        </is>
      </c>
      <c r="B197" s="6" t="inlineStr">
        <is>
          <t>Total population</t>
        </is>
      </c>
      <c r="C197" s="6" t="inlineStr">
        <is>
          <t>JE target population</t>
        </is>
      </c>
      <c r="D197" s="6" t="inlineStr">
        <is>
          <t>Vaccinated</t>
        </is>
      </c>
      <c r="E197" s="6" t="n"/>
      <c r="F197" s="6" t="n"/>
      <c r="G197" s="6" t="n"/>
      <c r="H197" s="6" t="n"/>
      <c r="I197" s="6" t="n"/>
      <c r="J197" s="6" t="n"/>
      <c r="K197" s="6" t="n"/>
      <c r="L197" s="6" t="n"/>
      <c r="M197" s="6" t="inlineStr">
        <is>
          <t>Progress %</t>
        </is>
      </c>
    </row>
    <row r="198">
      <c r="A198" s="6" t="n"/>
      <c r="B198" s="6" t="n"/>
      <c r="C198" s="6" t="n"/>
      <c r="D198" s="6" t="inlineStr">
        <is>
          <t>Age 30-60 yrs</t>
        </is>
      </c>
      <c r="E198" s="6" t="n"/>
      <c r="F198" s="6" t="n"/>
      <c r="G198" s="6" t="inlineStr">
        <is>
          <t>Age 60 above</t>
        </is>
      </c>
      <c r="H198" s="6" t="n"/>
      <c r="I198" s="6" t="n"/>
      <c r="J198" s="6" t="inlineStr">
        <is>
          <t>Total</t>
        </is>
      </c>
      <c r="K198" s="6" t="n"/>
      <c r="L198" s="6" t="inlineStr">
        <is>
          <t>Grand Total</t>
        </is>
      </c>
      <c r="M198" s="6" t="n"/>
    </row>
    <row r="199">
      <c r="A199" s="6" t="n"/>
      <c r="B199" s="6" t="n"/>
      <c r="C199" s="6" t="n"/>
      <c r="D199" s="6" t="inlineStr">
        <is>
          <t>F</t>
        </is>
      </c>
      <c r="E199" s="6" t="inlineStr">
        <is>
          <t>M</t>
        </is>
      </c>
      <c r="F199" s="6" t="inlineStr">
        <is>
          <t>Total</t>
        </is>
      </c>
      <c r="G199" s="6" t="inlineStr">
        <is>
          <t>F</t>
        </is>
      </c>
      <c r="H199" s="6" t="inlineStr">
        <is>
          <t>M</t>
        </is>
      </c>
      <c r="I199" s="6" t="inlineStr">
        <is>
          <t>Total</t>
        </is>
      </c>
      <c r="J199" s="6" t="inlineStr">
        <is>
          <t>F</t>
        </is>
      </c>
      <c r="K199" s="6" t="inlineStr">
        <is>
          <t>M</t>
        </is>
      </c>
      <c r="L199" s="6" t="n"/>
      <c r="M199" s="6" t="n"/>
    </row>
    <row r="200">
      <c r="A200" s="7" t="n">
        <v>1</v>
      </c>
      <c r="B200" s="8">
        <f>B5</f>
        <v/>
      </c>
      <c r="C200" s="8">
        <f>C5</f>
        <v/>
      </c>
      <c r="D200" s="14" t="n"/>
      <c r="E200" s="14" t="n"/>
      <c r="F200" s="8">
        <f>D200+E200</f>
        <v/>
      </c>
      <c r="G200" s="14" t="n"/>
      <c r="H200" s="14" t="n"/>
      <c r="I200" s="8">
        <f>G200+H200</f>
        <v/>
      </c>
      <c r="J200" s="8">
        <f>D200+G200</f>
        <v/>
      </c>
      <c r="K200" s="8">
        <f>E200+H200</f>
        <v/>
      </c>
      <c r="L200" s="8">
        <f>J200+K200</f>
        <v/>
      </c>
      <c r="M200" s="9">
        <f>IF(C200=0,0,L200/C200*100)</f>
        <v/>
      </c>
    </row>
    <row r="201">
      <c r="A201" s="7" t="n">
        <v>2</v>
      </c>
      <c r="B201" s="8">
        <f>B6</f>
        <v/>
      </c>
      <c r="C201" s="8">
        <f>C6</f>
        <v/>
      </c>
      <c r="D201" s="14" t="n"/>
      <c r="E201" s="14" t="n"/>
      <c r="F201" s="8">
        <f>D201+E201</f>
        <v/>
      </c>
      <c r="G201" s="14" t="n"/>
      <c r="H201" s="14" t="n"/>
      <c r="I201" s="8">
        <f>G201+H201</f>
        <v/>
      </c>
      <c r="J201" s="8">
        <f>D201+G201</f>
        <v/>
      </c>
      <c r="K201" s="8">
        <f>E201+H201</f>
        <v/>
      </c>
      <c r="L201" s="8">
        <f>J201+K201</f>
        <v/>
      </c>
      <c r="M201" s="9">
        <f>IF(C201=0,0,L201/C201*100)</f>
        <v/>
      </c>
    </row>
    <row r="202">
      <c r="A202" s="7" t="n">
        <v>3</v>
      </c>
      <c r="B202" s="8">
        <f>B7</f>
        <v/>
      </c>
      <c r="C202" s="8">
        <f>C7</f>
        <v/>
      </c>
      <c r="D202" s="14" t="n"/>
      <c r="E202" s="14" t="n"/>
      <c r="F202" s="8">
        <f>D202+E202</f>
        <v/>
      </c>
      <c r="G202" s="14" t="n"/>
      <c r="H202" s="14" t="n"/>
      <c r="I202" s="8">
        <f>G202+H202</f>
        <v/>
      </c>
      <c r="J202" s="8">
        <f>D202+G202</f>
        <v/>
      </c>
      <c r="K202" s="8">
        <f>E202+H202</f>
        <v/>
      </c>
      <c r="L202" s="8">
        <f>J202+K202</f>
        <v/>
      </c>
      <c r="M202" s="9">
        <f>IF(C202=0,0,L202/C202*100)</f>
        <v/>
      </c>
    </row>
    <row r="203">
      <c r="A203" s="7" t="n">
        <v>4</v>
      </c>
      <c r="B203" s="8">
        <f>B8</f>
        <v/>
      </c>
      <c r="C203" s="8">
        <f>C8</f>
        <v/>
      </c>
      <c r="D203" s="14" t="n"/>
      <c r="E203" s="14" t="n"/>
      <c r="F203" s="8">
        <f>D203+E203</f>
        <v/>
      </c>
      <c r="G203" s="14" t="n"/>
      <c r="H203" s="14" t="n"/>
      <c r="I203" s="8">
        <f>G203+H203</f>
        <v/>
      </c>
      <c r="J203" s="8">
        <f>D203+G203</f>
        <v/>
      </c>
      <c r="K203" s="8">
        <f>E203+H203</f>
        <v/>
      </c>
      <c r="L203" s="8">
        <f>J203+K203</f>
        <v/>
      </c>
      <c r="M203" s="9">
        <f>IF(C203=0,0,L203/C203*100)</f>
        <v/>
      </c>
    </row>
    <row r="204">
      <c r="A204" s="7" t="n">
        <v>5</v>
      </c>
      <c r="B204" s="8">
        <f>B9</f>
        <v/>
      </c>
      <c r="C204" s="8">
        <f>C9</f>
        <v/>
      </c>
      <c r="D204" s="14" t="n"/>
      <c r="E204" s="14" t="n"/>
      <c r="F204" s="8">
        <f>D204+E204</f>
        <v/>
      </c>
      <c r="G204" s="14" t="n"/>
      <c r="H204" s="14" t="n"/>
      <c r="I204" s="8">
        <f>G204+H204</f>
        <v/>
      </c>
      <c r="J204" s="8">
        <f>D204+G204</f>
        <v/>
      </c>
      <c r="K204" s="8">
        <f>E204+H204</f>
        <v/>
      </c>
      <c r="L204" s="8">
        <f>J204+K204</f>
        <v/>
      </c>
      <c r="M204" s="9">
        <f>IF(C204=0,0,L204/C204*100)</f>
        <v/>
      </c>
    </row>
    <row r="205">
      <c r="A205" s="7" t="n">
        <v>6</v>
      </c>
      <c r="B205" s="8">
        <f>B10</f>
        <v/>
      </c>
      <c r="C205" s="8">
        <f>C10</f>
        <v/>
      </c>
      <c r="D205" s="14" t="n"/>
      <c r="E205" s="14" t="n"/>
      <c r="F205" s="8">
        <f>D205+E205</f>
        <v/>
      </c>
      <c r="G205" s="14" t="n"/>
      <c r="H205" s="14" t="n"/>
      <c r="I205" s="8">
        <f>G205+H205</f>
        <v/>
      </c>
      <c r="J205" s="8">
        <f>D205+G205</f>
        <v/>
      </c>
      <c r="K205" s="8">
        <f>E205+H205</f>
        <v/>
      </c>
      <c r="L205" s="8">
        <f>J205+K205</f>
        <v/>
      </c>
      <c r="M205" s="9">
        <f>IF(C205=0,0,L205/C205*100)</f>
        <v/>
      </c>
    </row>
    <row r="206">
      <c r="A206" s="7" t="n">
        <v>7</v>
      </c>
      <c r="B206" s="8">
        <f>B11</f>
        <v/>
      </c>
      <c r="C206" s="8">
        <f>C11</f>
        <v/>
      </c>
      <c r="D206" s="14" t="n"/>
      <c r="E206" s="14" t="n"/>
      <c r="F206" s="8">
        <f>D206+E206</f>
        <v/>
      </c>
      <c r="G206" s="14" t="n"/>
      <c r="H206" s="14" t="n"/>
      <c r="I206" s="8">
        <f>G206+H206</f>
        <v/>
      </c>
      <c r="J206" s="8">
        <f>D206+G206</f>
        <v/>
      </c>
      <c r="K206" s="8">
        <f>E206+H206</f>
        <v/>
      </c>
      <c r="L206" s="8">
        <f>J206+K206</f>
        <v/>
      </c>
      <c r="M206" s="9">
        <f>IF(C206=0,0,L206/C206*100)</f>
        <v/>
      </c>
    </row>
    <row r="207">
      <c r="A207" s="10" t="inlineStr">
        <is>
          <t>Total</t>
        </is>
      </c>
      <c r="B207" s="11">
        <f>SUM(B200:B206)</f>
        <v/>
      </c>
      <c r="C207" s="11">
        <f>SUM(C200:C206)</f>
        <v/>
      </c>
      <c r="D207" s="11">
        <f>SUM(D200:D206)</f>
        <v/>
      </c>
      <c r="E207" s="11">
        <f>SUM(E200:E206)</f>
        <v/>
      </c>
      <c r="F207" s="11">
        <f>D207+E207</f>
        <v/>
      </c>
      <c r="G207" s="11">
        <f>SUM(G200:G206)</f>
        <v/>
      </c>
      <c r="H207" s="11">
        <f>SUM(H200:H206)</f>
        <v/>
      </c>
      <c r="I207" s="11">
        <f>G207+H207</f>
        <v/>
      </c>
      <c r="J207" s="11">
        <f>D207+G207</f>
        <v/>
      </c>
      <c r="K207" s="11">
        <f>E207+H207</f>
        <v/>
      </c>
      <c r="L207" s="11">
        <f>J207+K207</f>
        <v/>
      </c>
      <c r="M207" s="12">
        <f>IF(C207=0,0,L207/C207*100)</f>
        <v/>
      </c>
    </row>
  </sheetData>
  <sheetProtection selectLockedCells="0" selectUnlockedCells="0" sheet="1" objects="0" insertRows="1" insertHyperlinks="1" autoFilter="1" scenarios="0" formatColumns="0" deleteColumns="1" insertColumns="1" pivotTables="1" deleteRows="1" formatCells="0" formatRows="0" sort="1"/>
  <mergeCells count="160">
    <mergeCell ref="A144:M144"/>
    <mergeCell ref="L3:L4"/>
    <mergeCell ref="M184:M186"/>
    <mergeCell ref="J146:K146"/>
    <mergeCell ref="L146:L147"/>
    <mergeCell ref="M41:M43"/>
    <mergeCell ref="L133:L134"/>
    <mergeCell ref="M106:M108"/>
    <mergeCell ref="J68:K68"/>
    <mergeCell ref="L185:L186"/>
    <mergeCell ref="A171:A173"/>
    <mergeCell ref="A40:M40"/>
    <mergeCell ref="L55:L56"/>
    <mergeCell ref="A15:A17"/>
    <mergeCell ref="M67:M69"/>
    <mergeCell ref="D133:F133"/>
    <mergeCell ref="G16:I16"/>
    <mergeCell ref="D29:F29"/>
    <mergeCell ref="D94:F94"/>
    <mergeCell ref="L94:L95"/>
    <mergeCell ref="L81:L82"/>
    <mergeCell ref="A41:A43"/>
    <mergeCell ref="C41:C43"/>
    <mergeCell ref="C93:C95"/>
    <mergeCell ref="M132:M134"/>
    <mergeCell ref="M119:M121"/>
    <mergeCell ref="D159:F159"/>
    <mergeCell ref="G42:I42"/>
    <mergeCell ref="G107:I107"/>
    <mergeCell ref="A27:M27"/>
    <mergeCell ref="J185:K185"/>
    <mergeCell ref="L16:L17"/>
    <mergeCell ref="D2:L2"/>
    <mergeCell ref="J120:K120"/>
    <mergeCell ref="G172:I172"/>
    <mergeCell ref="D120:F120"/>
    <mergeCell ref="B171:B173"/>
    <mergeCell ref="D185:F185"/>
    <mergeCell ref="D107:F107"/>
    <mergeCell ref="L198:L199"/>
    <mergeCell ref="A184:A186"/>
    <mergeCell ref="L68:L69"/>
    <mergeCell ref="D197:L197"/>
    <mergeCell ref="A106:A108"/>
    <mergeCell ref="C106:C108"/>
    <mergeCell ref="G133:I133"/>
    <mergeCell ref="B197:B199"/>
    <mergeCell ref="D146:F146"/>
    <mergeCell ref="L42:L43"/>
    <mergeCell ref="G55:I55"/>
    <mergeCell ref="D3:F3"/>
    <mergeCell ref="L29:L30"/>
    <mergeCell ref="D68:F68"/>
    <mergeCell ref="C145:C147"/>
    <mergeCell ref="D55:F55"/>
    <mergeCell ref="C54:C56"/>
    <mergeCell ref="D15:L15"/>
    <mergeCell ref="C15:C17"/>
    <mergeCell ref="G159:I159"/>
    <mergeCell ref="A79:M79"/>
    <mergeCell ref="J94:K94"/>
    <mergeCell ref="G81:I81"/>
    <mergeCell ref="A54:A56"/>
    <mergeCell ref="A197:A199"/>
    <mergeCell ref="C197:C199"/>
    <mergeCell ref="J3:K3"/>
    <mergeCell ref="G120:I120"/>
    <mergeCell ref="A105:M105"/>
    <mergeCell ref="J159:K159"/>
    <mergeCell ref="C132:C134"/>
    <mergeCell ref="C67:C69"/>
    <mergeCell ref="J29:K29"/>
    <mergeCell ref="C119:C121"/>
    <mergeCell ref="A2:A4"/>
    <mergeCell ref="J81:K81"/>
    <mergeCell ref="B158:B160"/>
    <mergeCell ref="C2:C4"/>
    <mergeCell ref="G146:I146"/>
    <mergeCell ref="A131:M131"/>
    <mergeCell ref="B15:B17"/>
    <mergeCell ref="A53:M53"/>
    <mergeCell ref="G3:I3"/>
    <mergeCell ref="B80:B82"/>
    <mergeCell ref="G68:I68"/>
    <mergeCell ref="D16:F16"/>
    <mergeCell ref="A93:A95"/>
    <mergeCell ref="D171:L171"/>
    <mergeCell ref="M197:M199"/>
    <mergeCell ref="C158:C160"/>
    <mergeCell ref="D106:L106"/>
    <mergeCell ref="D28:L28"/>
    <mergeCell ref="A28:A30"/>
    <mergeCell ref="D93:L93"/>
    <mergeCell ref="C28:C30"/>
    <mergeCell ref="A92:M92"/>
    <mergeCell ref="B41:B43"/>
    <mergeCell ref="G29:I29"/>
    <mergeCell ref="G94:I94"/>
    <mergeCell ref="D42:F42"/>
    <mergeCell ref="A1:M1"/>
    <mergeCell ref="D67:L67"/>
    <mergeCell ref="J172:K172"/>
    <mergeCell ref="J16:K16"/>
    <mergeCell ref="D54:L54"/>
    <mergeCell ref="B2:B4"/>
    <mergeCell ref="B93:B95"/>
    <mergeCell ref="D172:F172"/>
    <mergeCell ref="C184:C186"/>
    <mergeCell ref="C171:C173"/>
    <mergeCell ref="D119:L119"/>
    <mergeCell ref="J133:K133"/>
    <mergeCell ref="J42:K42"/>
    <mergeCell ref="M54:M56"/>
    <mergeCell ref="D80:L80"/>
    <mergeCell ref="L107:L108"/>
    <mergeCell ref="B132:B134"/>
    <mergeCell ref="B28:B30"/>
    <mergeCell ref="B119:B121"/>
    <mergeCell ref="A145:A147"/>
    <mergeCell ref="D198:F198"/>
    <mergeCell ref="A14:M14"/>
    <mergeCell ref="M145:M147"/>
    <mergeCell ref="D145:L145"/>
    <mergeCell ref="D41:L41"/>
    <mergeCell ref="A170:M170"/>
    <mergeCell ref="B54:B56"/>
    <mergeCell ref="A67:A69"/>
    <mergeCell ref="M171:M173"/>
    <mergeCell ref="D184:L184"/>
    <mergeCell ref="J107:K107"/>
    <mergeCell ref="B184:B186"/>
    <mergeCell ref="M93:M95"/>
    <mergeCell ref="J55:K55"/>
    <mergeCell ref="A157:M157"/>
    <mergeCell ref="L172:L173"/>
    <mergeCell ref="B106:B108"/>
    <mergeCell ref="A132:A134"/>
    <mergeCell ref="A119:A121"/>
    <mergeCell ref="D132:L132"/>
    <mergeCell ref="G198:I198"/>
    <mergeCell ref="L159:L160"/>
    <mergeCell ref="M2:M4"/>
    <mergeCell ref="A196:M196"/>
    <mergeCell ref="G185:I185"/>
    <mergeCell ref="B145:B147"/>
    <mergeCell ref="L120:L121"/>
    <mergeCell ref="A183:M183"/>
    <mergeCell ref="B67:B69"/>
    <mergeCell ref="D81:F81"/>
    <mergeCell ref="A66:M66"/>
    <mergeCell ref="A118:M118"/>
    <mergeCell ref="A158:A160"/>
    <mergeCell ref="M158:M160"/>
    <mergeCell ref="A80:A82"/>
    <mergeCell ref="J198:K198"/>
    <mergeCell ref="D158:L158"/>
    <mergeCell ref="C80:C82"/>
    <mergeCell ref="M15:M17"/>
    <mergeCell ref="M28:M30"/>
    <mergeCell ref="M80:M82"/>
  </mergeCells>
  <dataValidations count="1">
    <dataValidation sqref="D18 D19 D20 D21 D22 D23 D24 D31 D32 D33 D34 D35 D36 D37 D44 D45 D46 D47 D48 D49 D50 D57 D58 D59 D60 D61 D62 D63 D70 D71 D72 D73 D74 D75 D76 D83 D84 D85 D86 D87 D88 D89 D96 D97 D98 D99 D100 D101 D102 D109 D110 D111 D112 D113 D114 D115 D122 D123 D124 D125 D126 D127 D128 D135 D136 D137 D138 D139 D140 D141 D148 D149 D150 D151 D152 D153 D154 D161 D162 D163 D164 D165 D166 D167 D174 D175 D176 D177 D178 D179 D180 D187 D188 D189 D190 D191 D192 D193 D200 D201 D202 D203 D204 D205 D206 E18 E19 E20 E21 E22 E23 E24 E31 E32 E33 E34 E35 E36 E37 E44 E45 E46 E47 E48 E49 E50 E57 E58 E59 E60 E61 E62 E63 E70 E71 E72 E73 E74 E75 E76 E83 E84 E85 E86 E87 E88 E89 E96 E97 E98 E99 E100 E101 E102 E109 E110 E111 E112 E113 E114 E115 E122 E123 E124 E125 E126 E127 E128 E135 E136 E137 E138 E139 E140 E141 E148 E149 E150 E151 E152 E153 E154 E161 E162 E163 E164 E165 E166 E167 E174 E175 E176 E177 E178 E179 E180 E187 E188 E189 E190 E191 E192 E193 E200 E201 E202 E203 E204 E205 E206 G18 G19 G20 G21 G22 G23 G24 G31 G32 G33 G34 G35 G36 G37 G44 G45 G46 G47 G48 G49 G50 G57 G58 G59 G60 G61 G62 G63 G70 G71 G72 G73 G74 G75 G76 G83 G84 G85 G86 G87 G88 G89 G96 G97 G98 G99 G100 G101 G102 G109 G110 G111 G112 G113 G114 G115 G122 G123 G124 G125 G126 G127 G128 G135 G136 G137 G138 G139 G140 G141 G148 G149 G150 G151 G152 G153 G154 G161 G162 G163 G164 G165 G166 G167 G174 G175 G176 G177 G178 G179 G180 G187 G188 G189 G190 G191 G192 G193 G200 G201 G202 G203 G204 G205 G206 H18 H19 H20 H21 H22 H23 H24 H31 H32 H33 H34 H35 H36 H37 H44 H45 H46 H47 H48 H49 H50 H57 H58 H59 H60 H61 H62 H63 H70 H71 H72 H73 H74 H75 H76 H83 H84 H85 H86 H87 H88 H89 H96 H97 H98 H99 H100 H101 H102 H109 H110 H111 H112 H113 H114 H115 H122 H123 H124 H125 H126 H127 H128 H135 H136 H137 H138 H139 H140 H141 H148 H149 H150 H151 H152 H153 H154 H161 H162 H163 H164 H165 H166 H167 H174 H175 H176 H177 H178 H179 H180 H187 H188 H189 H190 H191 H192 H193 H200 H201 H202 H203 H204 H205 H206" showDropDown="0" showInputMessage="0" showErrorMessage="1" allowBlank="0" errorTitle="Whole number only" error="Enter a whole number of 0 or more." type="whole" operator="greaterThanOrEqual">
      <formula1>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55"/>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13"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10" customWidth="1" min="12" max="12"/>
    <col width="9" customWidth="1" min="13" max="13"/>
  </cols>
  <sheetData>
    <row r="1">
      <c r="A1" s="5" t="inlineStr">
        <is>
          <t>Damak Municipality - Campaign Total (5-19 Oct 2026)</t>
        </is>
      </c>
    </row>
    <row r="2">
      <c r="A2" s="6" t="inlineStr">
        <is>
          <t>Ward no.</t>
        </is>
      </c>
      <c r="B2" s="6" t="inlineStr">
        <is>
          <t>Total population</t>
        </is>
      </c>
      <c r="C2" s="6" t="inlineStr">
        <is>
          <t>JE target population</t>
        </is>
      </c>
      <c r="D2" s="6" t="inlineStr">
        <is>
          <t>Vaccinated</t>
        </is>
      </c>
      <c r="E2" s="6" t="n"/>
      <c r="F2" s="6" t="n"/>
      <c r="G2" s="6" t="n"/>
      <c r="H2" s="6" t="n"/>
      <c r="I2" s="6" t="n"/>
      <c r="J2" s="6" t="n"/>
      <c r="K2" s="6" t="n"/>
      <c r="L2" s="6" t="n"/>
      <c r="M2" s="6" t="inlineStr">
        <is>
          <t>Progress %</t>
        </is>
      </c>
    </row>
    <row r="3">
      <c r="A3" s="6" t="n"/>
      <c r="B3" s="6" t="n"/>
      <c r="C3" s="6" t="n"/>
      <c r="D3" s="6" t="inlineStr">
        <is>
          <t>Age 30-60 yrs</t>
        </is>
      </c>
      <c r="E3" s="6" t="n"/>
      <c r="F3" s="6" t="n"/>
      <c r="G3" s="6" t="inlineStr">
        <is>
          <t>Age 60 above</t>
        </is>
      </c>
      <c r="H3" s="6" t="n"/>
      <c r="I3" s="6" t="n"/>
      <c r="J3" s="6" t="inlineStr">
        <is>
          <t>Total</t>
        </is>
      </c>
      <c r="K3" s="6" t="n"/>
      <c r="L3" s="6" t="inlineStr">
        <is>
          <t>Grand Total</t>
        </is>
      </c>
      <c r="M3" s="6" t="n"/>
    </row>
    <row r="4">
      <c r="A4" s="6" t="n"/>
      <c r="B4" s="6" t="n"/>
      <c r="C4" s="6" t="n"/>
      <c r="D4" s="6" t="inlineStr">
        <is>
          <t>F</t>
        </is>
      </c>
      <c r="E4" s="6" t="inlineStr">
        <is>
          <t>M</t>
        </is>
      </c>
      <c r="F4" s="6" t="inlineStr">
        <is>
          <t>Total</t>
        </is>
      </c>
      <c r="G4" s="6" t="inlineStr">
        <is>
          <t>F</t>
        </is>
      </c>
      <c r="H4" s="6" t="inlineStr">
        <is>
          <t>M</t>
        </is>
      </c>
      <c r="I4" s="6" t="inlineStr">
        <is>
          <t>Total</t>
        </is>
      </c>
      <c r="J4" s="6" t="inlineStr">
        <is>
          <t>F</t>
        </is>
      </c>
      <c r="K4" s="6" t="inlineStr">
        <is>
          <t>M</t>
        </is>
      </c>
      <c r="L4" s="6" t="n"/>
      <c r="M4" s="6" t="n"/>
    </row>
    <row r="5">
      <c r="A5" s="7" t="n">
        <v>1</v>
      </c>
      <c r="B5" s="8" t="n">
        <v>14924</v>
      </c>
      <c r="C5" s="8" t="n">
        <v>7163.52</v>
      </c>
      <c r="D5" s="8">
        <f>D21+D37+D53+D69+D85+D101+D117+D133+D149+D165+D181+D197+D213+D229+D245</f>
        <v/>
      </c>
      <c r="E5" s="8">
        <f>E21+E37+E53+E69+E85+E101+E117+E133+E149+E165+E181+E197+E213+E229+E245</f>
        <v/>
      </c>
      <c r="F5" s="8">
        <f>D5+E5</f>
        <v/>
      </c>
      <c r="G5" s="8">
        <f>G21+G37+G53+G69+G85+G101+G117+G133+G149+G165+G181+G197+G213+G229+G245</f>
        <v/>
      </c>
      <c r="H5" s="8">
        <f>H21+H37+H53+H69+H85+H101+H117+H133+H149+H165+H181+H197+H213+H229+H245</f>
        <v/>
      </c>
      <c r="I5" s="8">
        <f>G5+H5</f>
        <v/>
      </c>
      <c r="J5" s="8">
        <f>D5+G5</f>
        <v/>
      </c>
      <c r="K5" s="8">
        <f>E5+H5</f>
        <v/>
      </c>
      <c r="L5" s="8">
        <f>J5+K5</f>
        <v/>
      </c>
      <c r="M5" s="9">
        <f>IF(C5=0,0,L5/C5*100)</f>
        <v/>
      </c>
    </row>
    <row r="6">
      <c r="A6" s="7" t="n">
        <v>2</v>
      </c>
      <c r="B6" s="8" t="n">
        <v>12529</v>
      </c>
      <c r="C6" s="8" t="n">
        <v>6013.92</v>
      </c>
      <c r="D6" s="8">
        <f>D22+D38+D54+D70+D86+D102+D118+D134+D150+D166+D182+D198+D214+D230+D246</f>
        <v/>
      </c>
      <c r="E6" s="8">
        <f>E22+E38+E54+E70+E86+E102+E118+E134+E150+E166+E182+E198+E214+E230+E246</f>
        <v/>
      </c>
      <c r="F6" s="8">
        <f>D6+E6</f>
        <v/>
      </c>
      <c r="G6" s="8">
        <f>G22+G38+G54+G70+G86+G102+G118+G134+G150+G166+G182+G198+G214+G230+G246</f>
        <v/>
      </c>
      <c r="H6" s="8">
        <f>H22+H38+H54+H70+H86+H102+H118+H134+H150+H166+H182+H198+H214+H230+H246</f>
        <v/>
      </c>
      <c r="I6" s="8">
        <f>G6+H6</f>
        <v/>
      </c>
      <c r="J6" s="8">
        <f>D6+G6</f>
        <v/>
      </c>
      <c r="K6" s="8">
        <f>E6+H6</f>
        <v/>
      </c>
      <c r="L6" s="8">
        <f>J6+K6</f>
        <v/>
      </c>
      <c r="M6" s="9">
        <f>IF(C6=0,0,L6/C6*100)</f>
        <v/>
      </c>
    </row>
    <row r="7">
      <c r="A7" s="7" t="n">
        <v>3</v>
      </c>
      <c r="B7" s="8" t="n">
        <v>11756</v>
      </c>
      <c r="C7" s="8" t="n">
        <v>5642.88</v>
      </c>
      <c r="D7" s="8">
        <f>D23+D39+D55+D71+D87+D103+D119+D135+D151+D167+D183+D199+D215+D231+D247</f>
        <v/>
      </c>
      <c r="E7" s="8">
        <f>E23+E39+E55+E71+E87+E103+E119+E135+E151+E167+E183+E199+E215+E231+E247</f>
        <v/>
      </c>
      <c r="F7" s="8">
        <f>D7+E7</f>
        <v/>
      </c>
      <c r="G7" s="8">
        <f>G23+G39+G55+G71+G87+G103+G119+G135+G151+G167+G183+G199+G215+G231+G247</f>
        <v/>
      </c>
      <c r="H7" s="8">
        <f>H23+H39+H55+H71+H87+H103+H119+H135+H151+H167+H183+H199+H215+H231+H247</f>
        <v/>
      </c>
      <c r="I7" s="8">
        <f>G7+H7</f>
        <v/>
      </c>
      <c r="J7" s="8">
        <f>D7+G7</f>
        <v/>
      </c>
      <c r="K7" s="8">
        <f>E7+H7</f>
        <v/>
      </c>
      <c r="L7" s="8">
        <f>J7+K7</f>
        <v/>
      </c>
      <c r="M7" s="9">
        <f>IF(C7=0,0,L7/C7*100)</f>
        <v/>
      </c>
    </row>
    <row r="8">
      <c r="A8" s="7" t="n">
        <v>4</v>
      </c>
      <c r="B8" s="8" t="n">
        <v>12078</v>
      </c>
      <c r="C8" s="8" t="n">
        <v>5797.44</v>
      </c>
      <c r="D8" s="8">
        <f>D24+D40+D56+D72+D88+D104+D120+D136+D152+D168+D184+D200+D216+D232+D248</f>
        <v/>
      </c>
      <c r="E8" s="8">
        <f>E24+E40+E56+E72+E88+E104+E120+E136+E152+E168+E184+E200+E216+E232+E248</f>
        <v/>
      </c>
      <c r="F8" s="8">
        <f>D8+E8</f>
        <v/>
      </c>
      <c r="G8" s="8">
        <f>G24+G40+G56+G72+G88+G104+G120+G136+G152+G168+G184+G200+G216+G232+G248</f>
        <v/>
      </c>
      <c r="H8" s="8">
        <f>H24+H40+H56+H72+H88+H104+H120+H136+H152+H168+H184+H200+H216+H232+H248</f>
        <v/>
      </c>
      <c r="I8" s="8">
        <f>G8+H8</f>
        <v/>
      </c>
      <c r="J8" s="8">
        <f>D8+G8</f>
        <v/>
      </c>
      <c r="K8" s="8">
        <f>E8+H8</f>
        <v/>
      </c>
      <c r="L8" s="8">
        <f>J8+K8</f>
        <v/>
      </c>
      <c r="M8" s="9">
        <f>IF(C8=0,0,L8/C8*100)</f>
        <v/>
      </c>
    </row>
    <row r="9">
      <c r="A9" s="7" t="n">
        <v>5</v>
      </c>
      <c r="B9" s="8" t="n">
        <v>16384</v>
      </c>
      <c r="C9" s="8" t="n">
        <v>7864.32</v>
      </c>
      <c r="D9" s="8">
        <f>D25+D41+D57+D73+D89+D105+D121+D137+D153+D169+D185+D201+D217+D233+D249</f>
        <v/>
      </c>
      <c r="E9" s="8">
        <f>E25+E41+E57+E73+E89+E105+E121+E137+E153+E169+E185+E201+E217+E233+E249</f>
        <v/>
      </c>
      <c r="F9" s="8">
        <f>D9+E9</f>
        <v/>
      </c>
      <c r="G9" s="8">
        <f>G25+G41+G57+G73+G89+G105+G121+G137+G153+G169+G185+G201+G217+G233+G249</f>
        <v/>
      </c>
      <c r="H9" s="8">
        <f>H25+H41+H57+H73+H89+H105+H121+H137+H153+H169+H185+H201+H217+H233+H249</f>
        <v/>
      </c>
      <c r="I9" s="8">
        <f>G9+H9</f>
        <v/>
      </c>
      <c r="J9" s="8">
        <f>D9+G9</f>
        <v/>
      </c>
      <c r="K9" s="8">
        <f>E9+H9</f>
        <v/>
      </c>
      <c r="L9" s="8">
        <f>J9+K9</f>
        <v/>
      </c>
      <c r="M9" s="9">
        <f>IF(C9=0,0,L9/C9*100)</f>
        <v/>
      </c>
    </row>
    <row r="10">
      <c r="A10" s="7" t="n">
        <v>6</v>
      </c>
      <c r="B10" s="8" t="n">
        <v>6847</v>
      </c>
      <c r="C10" s="8" t="n">
        <v>3286.56</v>
      </c>
      <c r="D10" s="8">
        <f>D26+D42+D58+D74+D90+D106+D122+D138+D154+D170+D186+D202+D218+D234+D250</f>
        <v/>
      </c>
      <c r="E10" s="8">
        <f>E26+E42+E58+E74+E90+E106+E122+E138+E154+E170+E186+E202+E218+E234+E250</f>
        <v/>
      </c>
      <c r="F10" s="8">
        <f>D10+E10</f>
        <v/>
      </c>
      <c r="G10" s="8">
        <f>G26+G42+G58+G74+G90+G106+G122+G138+G154+G170+G186+G202+G218+G234+G250</f>
        <v/>
      </c>
      <c r="H10" s="8">
        <f>H26+H42+H58+H74+H90+H106+H122+H138+H154+H170+H186+H202+H218+H234+H250</f>
        <v/>
      </c>
      <c r="I10" s="8">
        <f>G10+H10</f>
        <v/>
      </c>
      <c r="J10" s="8">
        <f>D10+G10</f>
        <v/>
      </c>
      <c r="K10" s="8">
        <f>E10+H10</f>
        <v/>
      </c>
      <c r="L10" s="8">
        <f>J10+K10</f>
        <v/>
      </c>
      <c r="M10" s="9">
        <f>IF(C10=0,0,L10/C10*100)</f>
        <v/>
      </c>
    </row>
    <row r="11">
      <c r="A11" s="7" t="n">
        <v>7</v>
      </c>
      <c r="B11" s="8" t="n">
        <v>7961</v>
      </c>
      <c r="C11" s="8" t="n">
        <v>3821.28</v>
      </c>
      <c r="D11" s="8">
        <f>D27+D43+D59+D75+D91+D107+D123+D139+D155+D171+D187+D203+D219+D235+D251</f>
        <v/>
      </c>
      <c r="E11" s="8">
        <f>E27+E43+E59+E75+E91+E107+E123+E139+E155+E171+E187+E203+E219+E235+E251</f>
        <v/>
      </c>
      <c r="F11" s="8">
        <f>D11+E11</f>
        <v/>
      </c>
      <c r="G11" s="8">
        <f>G27+G43+G59+G75+G91+G107+G123+G139+G155+G171+G187+G203+G219+G235+G251</f>
        <v/>
      </c>
      <c r="H11" s="8">
        <f>H27+H43+H59+H75+H91+H107+H123+H139+H155+H171+H187+H203+H219+H235+H251</f>
        <v/>
      </c>
      <c r="I11" s="8">
        <f>G11+H11</f>
        <v/>
      </c>
      <c r="J11" s="8">
        <f>D11+G11</f>
        <v/>
      </c>
      <c r="K11" s="8">
        <f>E11+H11</f>
        <v/>
      </c>
      <c r="L11" s="8">
        <f>J11+K11</f>
        <v/>
      </c>
      <c r="M11" s="9">
        <f>IF(C11=0,0,L11/C11*100)</f>
        <v/>
      </c>
    </row>
    <row r="12">
      <c r="A12" s="7" t="n">
        <v>8</v>
      </c>
      <c r="B12" s="8" t="n">
        <v>11478</v>
      </c>
      <c r="C12" s="8" t="n">
        <v>5509.44</v>
      </c>
      <c r="D12" s="8">
        <f>D28+D44+D60+D76+D92+D108+D124+D140+D156+D172+D188+D204+D220+D236+D252</f>
        <v/>
      </c>
      <c r="E12" s="8">
        <f>E28+E44+E60+E76+E92+E108+E124+E140+E156+E172+E188+E204+E220+E236+E252</f>
        <v/>
      </c>
      <c r="F12" s="8">
        <f>D12+E12</f>
        <v/>
      </c>
      <c r="G12" s="8">
        <f>G28+G44+G60+G76+G92+G108+G124+G140+G156+G172+G188+G204+G220+G236+G252</f>
        <v/>
      </c>
      <c r="H12" s="8">
        <f>H28+H44+H60+H76+H92+H108+H124+H140+H156+H172+H188+H204+H220+H236+H252</f>
        <v/>
      </c>
      <c r="I12" s="8">
        <f>G12+H12</f>
        <v/>
      </c>
      <c r="J12" s="8">
        <f>D12+G12</f>
        <v/>
      </c>
      <c r="K12" s="8">
        <f>E12+H12</f>
        <v/>
      </c>
      <c r="L12" s="8">
        <f>J12+K12</f>
        <v/>
      </c>
      <c r="M12" s="9">
        <f>IF(C12=0,0,L12/C12*100)</f>
        <v/>
      </c>
    </row>
    <row r="13">
      <c r="A13" s="7" t="n">
        <v>9</v>
      </c>
      <c r="B13" s="8" t="n">
        <v>15078</v>
      </c>
      <c r="C13" s="8" t="n">
        <v>7237.44</v>
      </c>
      <c r="D13" s="8">
        <f>D29+D45+D61+D77+D93+D109+D125+D141+D157+D173+D189+D205+D221+D237+D253</f>
        <v/>
      </c>
      <c r="E13" s="8">
        <f>E29+E45+E61+E77+E93+E109+E125+E141+E157+E173+E189+E205+E221+E237+E253</f>
        <v/>
      </c>
      <c r="F13" s="8">
        <f>D13+E13</f>
        <v/>
      </c>
      <c r="G13" s="8">
        <f>G29+G45+G61+G77+G93+G109+G125+G141+G157+G173+G189+G205+G221+G237+G253</f>
        <v/>
      </c>
      <c r="H13" s="8">
        <f>H29+H45+H61+H77+H93+H109+H125+H141+H157+H173+H189+H205+H221+H237+H253</f>
        <v/>
      </c>
      <c r="I13" s="8">
        <f>G13+H13</f>
        <v/>
      </c>
      <c r="J13" s="8">
        <f>D13+G13</f>
        <v/>
      </c>
      <c r="K13" s="8">
        <f>E13+H13</f>
        <v/>
      </c>
      <c r="L13" s="8">
        <f>J13+K13</f>
        <v/>
      </c>
      <c r="M13" s="9">
        <f>IF(C13=0,0,L13/C13*100)</f>
        <v/>
      </c>
    </row>
    <row r="14">
      <c r="A14" s="7" t="n">
        <v>10</v>
      </c>
      <c r="B14" s="8" t="n">
        <v>6266</v>
      </c>
      <c r="C14" s="8" t="n">
        <v>3007.68</v>
      </c>
      <c r="D14" s="8">
        <f>D30+D46+D62+D78+D94+D110+D126+D142+D158+D174+D190+D206+D222+D238+D254</f>
        <v/>
      </c>
      <c r="E14" s="8">
        <f>E30+E46+E62+E78+E94+E110+E126+E142+E158+E174+E190+E206+E222+E238+E254</f>
        <v/>
      </c>
      <c r="F14" s="8">
        <f>D14+E14</f>
        <v/>
      </c>
      <c r="G14" s="8">
        <f>G30+G46+G62+G78+G94+G110+G126+G142+G158+G174+G190+G206+G222+G238+G254</f>
        <v/>
      </c>
      <c r="H14" s="8">
        <f>H30+H46+H62+H78+H94+H110+H126+H142+H158+H174+H190+H206+H222+H238+H254</f>
        <v/>
      </c>
      <c r="I14" s="8">
        <f>G14+H14</f>
        <v/>
      </c>
      <c r="J14" s="8">
        <f>D14+G14</f>
        <v/>
      </c>
      <c r="K14" s="8">
        <f>E14+H14</f>
        <v/>
      </c>
      <c r="L14" s="8">
        <f>J14+K14</f>
        <v/>
      </c>
      <c r="M14" s="9">
        <f>IF(C14=0,0,L14/C14*100)</f>
        <v/>
      </c>
    </row>
    <row r="15">
      <c r="A15" s="10" t="inlineStr">
        <is>
          <t>Total</t>
        </is>
      </c>
      <c r="B15" s="11">
        <f>SUM(B5:B14)</f>
        <v/>
      </c>
      <c r="C15" s="11">
        <f>SUM(C5:C14)</f>
        <v/>
      </c>
      <c r="D15" s="11">
        <f>SUM(D5:D14)</f>
        <v/>
      </c>
      <c r="E15" s="11">
        <f>SUM(E5:E14)</f>
        <v/>
      </c>
      <c r="F15" s="11">
        <f>D15+E15</f>
        <v/>
      </c>
      <c r="G15" s="11">
        <f>SUM(G5:G14)</f>
        <v/>
      </c>
      <c r="H15" s="11">
        <f>SUM(H5:H14)</f>
        <v/>
      </c>
      <c r="I15" s="11">
        <f>G15+H15</f>
        <v/>
      </c>
      <c r="J15" s="11">
        <f>D15+G15</f>
        <v/>
      </c>
      <c r="K15" s="11">
        <f>E15+H15</f>
        <v/>
      </c>
      <c r="L15" s="11">
        <f>J15+K15</f>
        <v/>
      </c>
      <c r="M15" s="12">
        <f>IF(C15=0,0,L15/C15*100)</f>
        <v/>
      </c>
    </row>
    <row r="17">
      <c r="A17" s="13" t="inlineStr">
        <is>
          <t>Day 1 - 2026-10-05 (Mon 19 Aswin 2083)</t>
        </is>
      </c>
    </row>
    <row r="18">
      <c r="A18" s="6" t="inlineStr">
        <is>
          <t>Ward no.</t>
        </is>
      </c>
      <c r="B18" s="6" t="inlineStr">
        <is>
          <t>Total population</t>
        </is>
      </c>
      <c r="C18" s="6" t="inlineStr">
        <is>
          <t>JE target population</t>
        </is>
      </c>
      <c r="D18" s="6" t="inlineStr">
        <is>
          <t>Vaccinated</t>
        </is>
      </c>
      <c r="E18" s="6" t="n"/>
      <c r="F18" s="6" t="n"/>
      <c r="G18" s="6" t="n"/>
      <c r="H18" s="6" t="n"/>
      <c r="I18" s="6" t="n"/>
      <c r="J18" s="6" t="n"/>
      <c r="K18" s="6" t="n"/>
      <c r="L18" s="6" t="n"/>
      <c r="M18" s="6" t="inlineStr">
        <is>
          <t>Progress %</t>
        </is>
      </c>
    </row>
    <row r="19">
      <c r="A19" s="6" t="n"/>
      <c r="B19" s="6" t="n"/>
      <c r="C19" s="6" t="n"/>
      <c r="D19" s="6" t="inlineStr">
        <is>
          <t>Age 30-60 yrs</t>
        </is>
      </c>
      <c r="E19" s="6" t="n"/>
      <c r="F19" s="6" t="n"/>
      <c r="G19" s="6" t="inlineStr">
        <is>
          <t>Age 60 above</t>
        </is>
      </c>
      <c r="H19" s="6" t="n"/>
      <c r="I19" s="6" t="n"/>
      <c r="J19" s="6" t="inlineStr">
        <is>
          <t>Total</t>
        </is>
      </c>
      <c r="K19" s="6" t="n"/>
      <c r="L19" s="6" t="inlineStr">
        <is>
          <t>Grand Total</t>
        </is>
      </c>
      <c r="M19" s="6" t="n"/>
    </row>
    <row r="20">
      <c r="A20" s="6" t="n"/>
      <c r="B20" s="6" t="n"/>
      <c r="C20" s="6" t="n"/>
      <c r="D20" s="6" t="inlineStr">
        <is>
          <t>F</t>
        </is>
      </c>
      <c r="E20" s="6" t="inlineStr">
        <is>
          <t>M</t>
        </is>
      </c>
      <c r="F20" s="6" t="inlineStr">
        <is>
          <t>Total</t>
        </is>
      </c>
      <c r="G20" s="6" t="inlineStr">
        <is>
          <t>F</t>
        </is>
      </c>
      <c r="H20" s="6" t="inlineStr">
        <is>
          <t>M</t>
        </is>
      </c>
      <c r="I20" s="6" t="inlineStr">
        <is>
          <t>Total</t>
        </is>
      </c>
      <c r="J20" s="6" t="inlineStr">
        <is>
          <t>F</t>
        </is>
      </c>
      <c r="K20" s="6" t="inlineStr">
        <is>
          <t>M</t>
        </is>
      </c>
      <c r="L20" s="6" t="n"/>
      <c r="M20" s="6" t="n"/>
    </row>
    <row r="21">
      <c r="A21" s="7" t="n">
        <v>1</v>
      </c>
      <c r="B21" s="8">
        <f>B5</f>
        <v/>
      </c>
      <c r="C21" s="8">
        <f>C5</f>
        <v/>
      </c>
      <c r="D21" s="14" t="n"/>
      <c r="E21" s="14" t="n"/>
      <c r="F21" s="8">
        <f>D21+E21</f>
        <v/>
      </c>
      <c r="G21" s="14" t="n"/>
      <c r="H21" s="14" t="n"/>
      <c r="I21" s="8">
        <f>G21+H21</f>
        <v/>
      </c>
      <c r="J21" s="8">
        <f>D21+G21</f>
        <v/>
      </c>
      <c r="K21" s="8">
        <f>E21+H21</f>
        <v/>
      </c>
      <c r="L21" s="8">
        <f>J21+K21</f>
        <v/>
      </c>
      <c r="M21" s="9">
        <f>IF(C21=0,0,L21/C21*100)</f>
        <v/>
      </c>
    </row>
    <row r="22">
      <c r="A22" s="7" t="n">
        <v>2</v>
      </c>
      <c r="B22" s="8">
        <f>B6</f>
        <v/>
      </c>
      <c r="C22" s="8">
        <f>C6</f>
        <v/>
      </c>
      <c r="D22" s="14" t="n"/>
      <c r="E22" s="14" t="n"/>
      <c r="F22" s="8">
        <f>D22+E22</f>
        <v/>
      </c>
      <c r="G22" s="14" t="n"/>
      <c r="H22" s="14" t="n"/>
      <c r="I22" s="8">
        <f>G22+H22</f>
        <v/>
      </c>
      <c r="J22" s="8">
        <f>D22+G22</f>
        <v/>
      </c>
      <c r="K22" s="8">
        <f>E22+H22</f>
        <v/>
      </c>
      <c r="L22" s="8">
        <f>J22+K22</f>
        <v/>
      </c>
      <c r="M22" s="9">
        <f>IF(C22=0,0,L22/C22*100)</f>
        <v/>
      </c>
    </row>
    <row r="23">
      <c r="A23" s="7" t="n">
        <v>3</v>
      </c>
      <c r="B23" s="8">
        <f>B7</f>
        <v/>
      </c>
      <c r="C23" s="8">
        <f>C7</f>
        <v/>
      </c>
      <c r="D23" s="14" t="n"/>
      <c r="E23" s="14" t="n"/>
      <c r="F23" s="8">
        <f>D23+E23</f>
        <v/>
      </c>
      <c r="G23" s="14" t="n"/>
      <c r="H23" s="14" t="n"/>
      <c r="I23" s="8">
        <f>G23+H23</f>
        <v/>
      </c>
      <c r="J23" s="8">
        <f>D23+G23</f>
        <v/>
      </c>
      <c r="K23" s="8">
        <f>E23+H23</f>
        <v/>
      </c>
      <c r="L23" s="8">
        <f>J23+K23</f>
        <v/>
      </c>
      <c r="M23" s="9">
        <f>IF(C23=0,0,L23/C23*100)</f>
        <v/>
      </c>
    </row>
    <row r="24">
      <c r="A24" s="7" t="n">
        <v>4</v>
      </c>
      <c r="B24" s="8">
        <f>B8</f>
        <v/>
      </c>
      <c r="C24" s="8">
        <f>C8</f>
        <v/>
      </c>
      <c r="D24" s="14" t="n"/>
      <c r="E24" s="14" t="n"/>
      <c r="F24" s="8">
        <f>D24+E24</f>
        <v/>
      </c>
      <c r="G24" s="14" t="n"/>
      <c r="H24" s="14" t="n"/>
      <c r="I24" s="8">
        <f>G24+H24</f>
        <v/>
      </c>
      <c r="J24" s="8">
        <f>D24+G24</f>
        <v/>
      </c>
      <c r="K24" s="8">
        <f>E24+H24</f>
        <v/>
      </c>
      <c r="L24" s="8">
        <f>J24+K24</f>
        <v/>
      </c>
      <c r="M24" s="9">
        <f>IF(C24=0,0,L24/C24*100)</f>
        <v/>
      </c>
    </row>
    <row r="25">
      <c r="A25" s="7" t="n">
        <v>5</v>
      </c>
      <c r="B25" s="8">
        <f>B9</f>
        <v/>
      </c>
      <c r="C25" s="8">
        <f>C9</f>
        <v/>
      </c>
      <c r="D25" s="14" t="n"/>
      <c r="E25" s="14" t="n"/>
      <c r="F25" s="8">
        <f>D25+E25</f>
        <v/>
      </c>
      <c r="G25" s="14" t="n"/>
      <c r="H25" s="14" t="n"/>
      <c r="I25" s="8">
        <f>G25+H25</f>
        <v/>
      </c>
      <c r="J25" s="8">
        <f>D25+G25</f>
        <v/>
      </c>
      <c r="K25" s="8">
        <f>E25+H25</f>
        <v/>
      </c>
      <c r="L25" s="8">
        <f>J25+K25</f>
        <v/>
      </c>
      <c r="M25" s="9">
        <f>IF(C25=0,0,L25/C25*100)</f>
        <v/>
      </c>
    </row>
    <row r="26">
      <c r="A26" s="7" t="n">
        <v>6</v>
      </c>
      <c r="B26" s="8">
        <f>B10</f>
        <v/>
      </c>
      <c r="C26" s="8">
        <f>C10</f>
        <v/>
      </c>
      <c r="D26" s="14" t="n"/>
      <c r="E26" s="14" t="n"/>
      <c r="F26" s="8">
        <f>D26+E26</f>
        <v/>
      </c>
      <c r="G26" s="14" t="n"/>
      <c r="H26" s="14" t="n"/>
      <c r="I26" s="8">
        <f>G26+H26</f>
        <v/>
      </c>
      <c r="J26" s="8">
        <f>D26+G26</f>
        <v/>
      </c>
      <c r="K26" s="8">
        <f>E26+H26</f>
        <v/>
      </c>
      <c r="L26" s="8">
        <f>J26+K26</f>
        <v/>
      </c>
      <c r="M26" s="9">
        <f>IF(C26=0,0,L26/C26*100)</f>
        <v/>
      </c>
    </row>
    <row r="27">
      <c r="A27" s="7" t="n">
        <v>7</v>
      </c>
      <c r="B27" s="8">
        <f>B11</f>
        <v/>
      </c>
      <c r="C27" s="8">
        <f>C11</f>
        <v/>
      </c>
      <c r="D27" s="14" t="n"/>
      <c r="E27" s="14" t="n"/>
      <c r="F27" s="8">
        <f>D27+E27</f>
        <v/>
      </c>
      <c r="G27" s="14" t="n"/>
      <c r="H27" s="14" t="n"/>
      <c r="I27" s="8">
        <f>G27+H27</f>
        <v/>
      </c>
      <c r="J27" s="8">
        <f>D27+G27</f>
        <v/>
      </c>
      <c r="K27" s="8">
        <f>E27+H27</f>
        <v/>
      </c>
      <c r="L27" s="8">
        <f>J27+K27</f>
        <v/>
      </c>
      <c r="M27" s="9">
        <f>IF(C27=0,0,L27/C27*100)</f>
        <v/>
      </c>
    </row>
    <row r="28">
      <c r="A28" s="7" t="n">
        <v>8</v>
      </c>
      <c r="B28" s="8">
        <f>B12</f>
        <v/>
      </c>
      <c r="C28" s="8">
        <f>C12</f>
        <v/>
      </c>
      <c r="D28" s="14" t="n"/>
      <c r="E28" s="14" t="n"/>
      <c r="F28" s="8">
        <f>D28+E28</f>
        <v/>
      </c>
      <c r="G28" s="14" t="n"/>
      <c r="H28" s="14" t="n"/>
      <c r="I28" s="8">
        <f>G28+H28</f>
        <v/>
      </c>
      <c r="J28" s="8">
        <f>D28+G28</f>
        <v/>
      </c>
      <c r="K28" s="8">
        <f>E28+H28</f>
        <v/>
      </c>
      <c r="L28" s="8">
        <f>J28+K28</f>
        <v/>
      </c>
      <c r="M28" s="9">
        <f>IF(C28=0,0,L28/C28*100)</f>
        <v/>
      </c>
    </row>
    <row r="29">
      <c r="A29" s="7" t="n">
        <v>9</v>
      </c>
      <c r="B29" s="8">
        <f>B13</f>
        <v/>
      </c>
      <c r="C29" s="8">
        <f>C13</f>
        <v/>
      </c>
      <c r="D29" s="14" t="n"/>
      <c r="E29" s="14" t="n"/>
      <c r="F29" s="8">
        <f>D29+E29</f>
        <v/>
      </c>
      <c r="G29" s="14" t="n"/>
      <c r="H29" s="14" t="n"/>
      <c r="I29" s="8">
        <f>G29+H29</f>
        <v/>
      </c>
      <c r="J29" s="8">
        <f>D29+G29</f>
        <v/>
      </c>
      <c r="K29" s="8">
        <f>E29+H29</f>
        <v/>
      </c>
      <c r="L29" s="8">
        <f>J29+K29</f>
        <v/>
      </c>
      <c r="M29" s="9">
        <f>IF(C29=0,0,L29/C29*100)</f>
        <v/>
      </c>
    </row>
    <row r="30">
      <c r="A30" s="7" t="n">
        <v>10</v>
      </c>
      <c r="B30" s="8">
        <f>B14</f>
        <v/>
      </c>
      <c r="C30" s="8">
        <f>C14</f>
        <v/>
      </c>
      <c r="D30" s="14" t="n"/>
      <c r="E30" s="14" t="n"/>
      <c r="F30" s="8">
        <f>D30+E30</f>
        <v/>
      </c>
      <c r="G30" s="14" t="n"/>
      <c r="H30" s="14" t="n"/>
      <c r="I30" s="8">
        <f>G30+H30</f>
        <v/>
      </c>
      <c r="J30" s="8">
        <f>D30+G30</f>
        <v/>
      </c>
      <c r="K30" s="8">
        <f>E30+H30</f>
        <v/>
      </c>
      <c r="L30" s="8">
        <f>J30+K30</f>
        <v/>
      </c>
      <c r="M30" s="9">
        <f>IF(C30=0,0,L30/C30*100)</f>
        <v/>
      </c>
    </row>
    <row r="31">
      <c r="A31" s="10" t="inlineStr">
        <is>
          <t>Total</t>
        </is>
      </c>
      <c r="B31" s="11">
        <f>SUM(B21:B30)</f>
        <v/>
      </c>
      <c r="C31" s="11">
        <f>SUM(C21:C30)</f>
        <v/>
      </c>
      <c r="D31" s="11">
        <f>SUM(D21:D30)</f>
        <v/>
      </c>
      <c r="E31" s="11">
        <f>SUM(E21:E30)</f>
        <v/>
      </c>
      <c r="F31" s="11">
        <f>D31+E31</f>
        <v/>
      </c>
      <c r="G31" s="11">
        <f>SUM(G21:G30)</f>
        <v/>
      </c>
      <c r="H31" s="11">
        <f>SUM(H21:H30)</f>
        <v/>
      </c>
      <c r="I31" s="11">
        <f>G31+H31</f>
        <v/>
      </c>
      <c r="J31" s="11">
        <f>D31+G31</f>
        <v/>
      </c>
      <c r="K31" s="11">
        <f>E31+H31</f>
        <v/>
      </c>
      <c r="L31" s="11">
        <f>J31+K31</f>
        <v/>
      </c>
      <c r="M31" s="12">
        <f>IF(C31=0,0,L31/C31*100)</f>
        <v/>
      </c>
    </row>
    <row r="33">
      <c r="A33" s="13" t="inlineStr">
        <is>
          <t>Day 2 - 2026-10-06 (Tue 20 Aswin 2083)</t>
        </is>
      </c>
    </row>
    <row r="34">
      <c r="A34" s="6" t="inlineStr">
        <is>
          <t>Ward no.</t>
        </is>
      </c>
      <c r="B34" s="6" t="inlineStr">
        <is>
          <t>Total population</t>
        </is>
      </c>
      <c r="C34" s="6" t="inlineStr">
        <is>
          <t>JE target population</t>
        </is>
      </c>
      <c r="D34" s="6" t="inlineStr">
        <is>
          <t>Vaccinated</t>
        </is>
      </c>
      <c r="E34" s="6" t="n"/>
      <c r="F34" s="6" t="n"/>
      <c r="G34" s="6" t="n"/>
      <c r="H34" s="6" t="n"/>
      <c r="I34" s="6" t="n"/>
      <c r="J34" s="6" t="n"/>
      <c r="K34" s="6" t="n"/>
      <c r="L34" s="6" t="n"/>
      <c r="M34" s="6" t="inlineStr">
        <is>
          <t>Progress %</t>
        </is>
      </c>
    </row>
    <row r="35">
      <c r="A35" s="6" t="n"/>
      <c r="B35" s="6" t="n"/>
      <c r="C35" s="6" t="n"/>
      <c r="D35" s="6" t="inlineStr">
        <is>
          <t>Age 30-60 yrs</t>
        </is>
      </c>
      <c r="E35" s="6" t="n"/>
      <c r="F35" s="6" t="n"/>
      <c r="G35" s="6" t="inlineStr">
        <is>
          <t>Age 60 above</t>
        </is>
      </c>
      <c r="H35" s="6" t="n"/>
      <c r="I35" s="6" t="n"/>
      <c r="J35" s="6" t="inlineStr">
        <is>
          <t>Total</t>
        </is>
      </c>
      <c r="K35" s="6" t="n"/>
      <c r="L35" s="6" t="inlineStr">
        <is>
          <t>Grand Total</t>
        </is>
      </c>
      <c r="M35" s="6" t="n"/>
    </row>
    <row r="36">
      <c r="A36" s="6" t="n"/>
      <c r="B36" s="6" t="n"/>
      <c r="C36" s="6" t="n"/>
      <c r="D36" s="6" t="inlineStr">
        <is>
          <t>F</t>
        </is>
      </c>
      <c r="E36" s="6" t="inlineStr">
        <is>
          <t>M</t>
        </is>
      </c>
      <c r="F36" s="6" t="inlineStr">
        <is>
          <t>Total</t>
        </is>
      </c>
      <c r="G36" s="6" t="inlineStr">
        <is>
          <t>F</t>
        </is>
      </c>
      <c r="H36" s="6" t="inlineStr">
        <is>
          <t>M</t>
        </is>
      </c>
      <c r="I36" s="6" t="inlineStr">
        <is>
          <t>Total</t>
        </is>
      </c>
      <c r="J36" s="6" t="inlineStr">
        <is>
          <t>F</t>
        </is>
      </c>
      <c r="K36" s="6" t="inlineStr">
        <is>
          <t>M</t>
        </is>
      </c>
      <c r="L36" s="6" t="n"/>
      <c r="M36" s="6" t="n"/>
    </row>
    <row r="37">
      <c r="A37" s="7" t="n">
        <v>1</v>
      </c>
      <c r="B37" s="8">
        <f>B5</f>
        <v/>
      </c>
      <c r="C37" s="8">
        <f>C5</f>
        <v/>
      </c>
      <c r="D37" s="14" t="n"/>
      <c r="E37" s="14" t="n"/>
      <c r="F37" s="8">
        <f>D37+E37</f>
        <v/>
      </c>
      <c r="G37" s="14" t="n"/>
      <c r="H37" s="14" t="n"/>
      <c r="I37" s="8">
        <f>G37+H37</f>
        <v/>
      </c>
      <c r="J37" s="8">
        <f>D37+G37</f>
        <v/>
      </c>
      <c r="K37" s="8">
        <f>E37+H37</f>
        <v/>
      </c>
      <c r="L37" s="8">
        <f>J37+K37</f>
        <v/>
      </c>
      <c r="M37" s="9">
        <f>IF(C37=0,0,L37/C37*100)</f>
        <v/>
      </c>
    </row>
    <row r="38">
      <c r="A38" s="7" t="n">
        <v>2</v>
      </c>
      <c r="B38" s="8">
        <f>B6</f>
        <v/>
      </c>
      <c r="C38" s="8">
        <f>C6</f>
        <v/>
      </c>
      <c r="D38" s="14" t="n"/>
      <c r="E38" s="14" t="n"/>
      <c r="F38" s="8">
        <f>D38+E38</f>
        <v/>
      </c>
      <c r="G38" s="14" t="n"/>
      <c r="H38" s="14" t="n"/>
      <c r="I38" s="8">
        <f>G38+H38</f>
        <v/>
      </c>
      <c r="J38" s="8">
        <f>D38+G38</f>
        <v/>
      </c>
      <c r="K38" s="8">
        <f>E38+H38</f>
        <v/>
      </c>
      <c r="L38" s="8">
        <f>J38+K38</f>
        <v/>
      </c>
      <c r="M38" s="9">
        <f>IF(C38=0,0,L38/C38*100)</f>
        <v/>
      </c>
    </row>
    <row r="39">
      <c r="A39" s="7" t="n">
        <v>3</v>
      </c>
      <c r="B39" s="8">
        <f>B7</f>
        <v/>
      </c>
      <c r="C39" s="8">
        <f>C7</f>
        <v/>
      </c>
      <c r="D39" s="14" t="n"/>
      <c r="E39" s="14" t="n"/>
      <c r="F39" s="8">
        <f>D39+E39</f>
        <v/>
      </c>
      <c r="G39" s="14" t="n"/>
      <c r="H39" s="14" t="n"/>
      <c r="I39" s="8">
        <f>G39+H39</f>
        <v/>
      </c>
      <c r="J39" s="8">
        <f>D39+G39</f>
        <v/>
      </c>
      <c r="K39" s="8">
        <f>E39+H39</f>
        <v/>
      </c>
      <c r="L39" s="8">
        <f>J39+K39</f>
        <v/>
      </c>
      <c r="M39" s="9">
        <f>IF(C39=0,0,L39/C39*100)</f>
        <v/>
      </c>
    </row>
    <row r="40">
      <c r="A40" s="7" t="n">
        <v>4</v>
      </c>
      <c r="B40" s="8">
        <f>B8</f>
        <v/>
      </c>
      <c r="C40" s="8">
        <f>C8</f>
        <v/>
      </c>
      <c r="D40" s="14" t="n"/>
      <c r="E40" s="14" t="n"/>
      <c r="F40" s="8">
        <f>D40+E40</f>
        <v/>
      </c>
      <c r="G40" s="14" t="n"/>
      <c r="H40" s="14" t="n"/>
      <c r="I40" s="8">
        <f>G40+H40</f>
        <v/>
      </c>
      <c r="J40" s="8">
        <f>D40+G40</f>
        <v/>
      </c>
      <c r="K40" s="8">
        <f>E40+H40</f>
        <v/>
      </c>
      <c r="L40" s="8">
        <f>J40+K40</f>
        <v/>
      </c>
      <c r="M40" s="9">
        <f>IF(C40=0,0,L40/C40*100)</f>
        <v/>
      </c>
    </row>
    <row r="41">
      <c r="A41" s="7" t="n">
        <v>5</v>
      </c>
      <c r="B41" s="8">
        <f>B9</f>
        <v/>
      </c>
      <c r="C41" s="8">
        <f>C9</f>
        <v/>
      </c>
      <c r="D41" s="14" t="n"/>
      <c r="E41" s="14" t="n"/>
      <c r="F41" s="8">
        <f>D41+E41</f>
        <v/>
      </c>
      <c r="G41" s="14" t="n"/>
      <c r="H41" s="14" t="n"/>
      <c r="I41" s="8">
        <f>G41+H41</f>
        <v/>
      </c>
      <c r="J41" s="8">
        <f>D41+G41</f>
        <v/>
      </c>
      <c r="K41" s="8">
        <f>E41+H41</f>
        <v/>
      </c>
      <c r="L41" s="8">
        <f>J41+K41</f>
        <v/>
      </c>
      <c r="M41" s="9">
        <f>IF(C41=0,0,L41/C41*100)</f>
        <v/>
      </c>
    </row>
    <row r="42">
      <c r="A42" s="7" t="n">
        <v>6</v>
      </c>
      <c r="B42" s="8">
        <f>B10</f>
        <v/>
      </c>
      <c r="C42" s="8">
        <f>C10</f>
        <v/>
      </c>
      <c r="D42" s="14" t="n"/>
      <c r="E42" s="14" t="n"/>
      <c r="F42" s="8">
        <f>D42+E42</f>
        <v/>
      </c>
      <c r="G42" s="14" t="n"/>
      <c r="H42" s="14" t="n"/>
      <c r="I42" s="8">
        <f>G42+H42</f>
        <v/>
      </c>
      <c r="J42" s="8">
        <f>D42+G42</f>
        <v/>
      </c>
      <c r="K42" s="8">
        <f>E42+H42</f>
        <v/>
      </c>
      <c r="L42" s="8">
        <f>J42+K42</f>
        <v/>
      </c>
      <c r="M42" s="9">
        <f>IF(C42=0,0,L42/C42*100)</f>
        <v/>
      </c>
    </row>
    <row r="43">
      <c r="A43" s="7" t="n">
        <v>7</v>
      </c>
      <c r="B43" s="8">
        <f>B11</f>
        <v/>
      </c>
      <c r="C43" s="8">
        <f>C11</f>
        <v/>
      </c>
      <c r="D43" s="14" t="n"/>
      <c r="E43" s="14" t="n"/>
      <c r="F43" s="8">
        <f>D43+E43</f>
        <v/>
      </c>
      <c r="G43" s="14" t="n"/>
      <c r="H43" s="14" t="n"/>
      <c r="I43" s="8">
        <f>G43+H43</f>
        <v/>
      </c>
      <c r="J43" s="8">
        <f>D43+G43</f>
        <v/>
      </c>
      <c r="K43" s="8">
        <f>E43+H43</f>
        <v/>
      </c>
      <c r="L43" s="8">
        <f>J43+K43</f>
        <v/>
      </c>
      <c r="M43" s="9">
        <f>IF(C43=0,0,L43/C43*100)</f>
        <v/>
      </c>
    </row>
    <row r="44">
      <c r="A44" s="7" t="n">
        <v>8</v>
      </c>
      <c r="B44" s="8">
        <f>B12</f>
        <v/>
      </c>
      <c r="C44" s="8">
        <f>C12</f>
        <v/>
      </c>
      <c r="D44" s="14" t="n"/>
      <c r="E44" s="14" t="n"/>
      <c r="F44" s="8">
        <f>D44+E44</f>
        <v/>
      </c>
      <c r="G44" s="14" t="n"/>
      <c r="H44" s="14" t="n"/>
      <c r="I44" s="8">
        <f>G44+H44</f>
        <v/>
      </c>
      <c r="J44" s="8">
        <f>D44+G44</f>
        <v/>
      </c>
      <c r="K44" s="8">
        <f>E44+H44</f>
        <v/>
      </c>
      <c r="L44" s="8">
        <f>J44+K44</f>
        <v/>
      </c>
      <c r="M44" s="9">
        <f>IF(C44=0,0,L44/C44*100)</f>
        <v/>
      </c>
    </row>
    <row r="45">
      <c r="A45" s="7" t="n">
        <v>9</v>
      </c>
      <c r="B45" s="8">
        <f>B13</f>
        <v/>
      </c>
      <c r="C45" s="8">
        <f>C13</f>
        <v/>
      </c>
      <c r="D45" s="14" t="n"/>
      <c r="E45" s="14" t="n"/>
      <c r="F45" s="8">
        <f>D45+E45</f>
        <v/>
      </c>
      <c r="G45" s="14" t="n"/>
      <c r="H45" s="14" t="n"/>
      <c r="I45" s="8">
        <f>G45+H45</f>
        <v/>
      </c>
      <c r="J45" s="8">
        <f>D45+G45</f>
        <v/>
      </c>
      <c r="K45" s="8">
        <f>E45+H45</f>
        <v/>
      </c>
      <c r="L45" s="8">
        <f>J45+K45</f>
        <v/>
      </c>
      <c r="M45" s="9">
        <f>IF(C45=0,0,L45/C45*100)</f>
        <v/>
      </c>
    </row>
    <row r="46">
      <c r="A46" s="7" t="n">
        <v>10</v>
      </c>
      <c r="B46" s="8">
        <f>B14</f>
        <v/>
      </c>
      <c r="C46" s="8">
        <f>C14</f>
        <v/>
      </c>
      <c r="D46" s="14" t="n"/>
      <c r="E46" s="14" t="n"/>
      <c r="F46" s="8">
        <f>D46+E46</f>
        <v/>
      </c>
      <c r="G46" s="14" t="n"/>
      <c r="H46" s="14" t="n"/>
      <c r="I46" s="8">
        <f>G46+H46</f>
        <v/>
      </c>
      <c r="J46" s="8">
        <f>D46+G46</f>
        <v/>
      </c>
      <c r="K46" s="8">
        <f>E46+H46</f>
        <v/>
      </c>
      <c r="L46" s="8">
        <f>J46+K46</f>
        <v/>
      </c>
      <c r="M46" s="9">
        <f>IF(C46=0,0,L46/C46*100)</f>
        <v/>
      </c>
    </row>
    <row r="47">
      <c r="A47" s="10" t="inlineStr">
        <is>
          <t>Total</t>
        </is>
      </c>
      <c r="B47" s="11">
        <f>SUM(B37:B46)</f>
        <v/>
      </c>
      <c r="C47" s="11">
        <f>SUM(C37:C46)</f>
        <v/>
      </c>
      <c r="D47" s="11">
        <f>SUM(D37:D46)</f>
        <v/>
      </c>
      <c r="E47" s="11">
        <f>SUM(E37:E46)</f>
        <v/>
      </c>
      <c r="F47" s="11">
        <f>D47+E47</f>
        <v/>
      </c>
      <c r="G47" s="11">
        <f>SUM(G37:G46)</f>
        <v/>
      </c>
      <c r="H47" s="11">
        <f>SUM(H37:H46)</f>
        <v/>
      </c>
      <c r="I47" s="11">
        <f>G47+H47</f>
        <v/>
      </c>
      <c r="J47" s="11">
        <f>D47+G47</f>
        <v/>
      </c>
      <c r="K47" s="11">
        <f>E47+H47</f>
        <v/>
      </c>
      <c r="L47" s="11">
        <f>J47+K47</f>
        <v/>
      </c>
      <c r="M47" s="12">
        <f>IF(C47=0,0,L47/C47*100)</f>
        <v/>
      </c>
    </row>
    <row r="49">
      <c r="A49" s="13" t="inlineStr">
        <is>
          <t>Day 3 - 2026-10-07 (Wed 21 Aswin 2083)</t>
        </is>
      </c>
    </row>
    <row r="50">
      <c r="A50" s="6" t="inlineStr">
        <is>
          <t>Ward no.</t>
        </is>
      </c>
      <c r="B50" s="6" t="inlineStr">
        <is>
          <t>Total population</t>
        </is>
      </c>
      <c r="C50" s="6" t="inlineStr">
        <is>
          <t>JE target population</t>
        </is>
      </c>
      <c r="D50" s="6" t="inlineStr">
        <is>
          <t>Vaccinated</t>
        </is>
      </c>
      <c r="E50" s="6" t="n"/>
      <c r="F50" s="6" t="n"/>
      <c r="G50" s="6" t="n"/>
      <c r="H50" s="6" t="n"/>
      <c r="I50" s="6" t="n"/>
      <c r="J50" s="6" t="n"/>
      <c r="K50" s="6" t="n"/>
      <c r="L50" s="6" t="n"/>
      <c r="M50" s="6" t="inlineStr">
        <is>
          <t>Progress %</t>
        </is>
      </c>
    </row>
    <row r="51">
      <c r="A51" s="6" t="n"/>
      <c r="B51" s="6" t="n"/>
      <c r="C51" s="6" t="n"/>
      <c r="D51" s="6" t="inlineStr">
        <is>
          <t>Age 30-60 yrs</t>
        </is>
      </c>
      <c r="E51" s="6" t="n"/>
      <c r="F51" s="6" t="n"/>
      <c r="G51" s="6" t="inlineStr">
        <is>
          <t>Age 60 above</t>
        </is>
      </c>
      <c r="H51" s="6" t="n"/>
      <c r="I51" s="6" t="n"/>
      <c r="J51" s="6" t="inlineStr">
        <is>
          <t>Total</t>
        </is>
      </c>
      <c r="K51" s="6" t="n"/>
      <c r="L51" s="6" t="inlineStr">
        <is>
          <t>Grand Total</t>
        </is>
      </c>
      <c r="M51" s="6" t="n"/>
    </row>
    <row r="52">
      <c r="A52" s="6" t="n"/>
      <c r="B52" s="6" t="n"/>
      <c r="C52" s="6" t="n"/>
      <c r="D52" s="6" t="inlineStr">
        <is>
          <t>F</t>
        </is>
      </c>
      <c r="E52" s="6" t="inlineStr">
        <is>
          <t>M</t>
        </is>
      </c>
      <c r="F52" s="6" t="inlineStr">
        <is>
          <t>Total</t>
        </is>
      </c>
      <c r="G52" s="6" t="inlineStr">
        <is>
          <t>F</t>
        </is>
      </c>
      <c r="H52" s="6" t="inlineStr">
        <is>
          <t>M</t>
        </is>
      </c>
      <c r="I52" s="6" t="inlineStr">
        <is>
          <t>Total</t>
        </is>
      </c>
      <c r="J52" s="6" t="inlineStr">
        <is>
          <t>F</t>
        </is>
      </c>
      <c r="K52" s="6" t="inlineStr">
        <is>
          <t>M</t>
        </is>
      </c>
      <c r="L52" s="6" t="n"/>
      <c r="M52" s="6" t="n"/>
    </row>
    <row r="53">
      <c r="A53" s="7" t="n">
        <v>1</v>
      </c>
      <c r="B53" s="8">
        <f>B5</f>
        <v/>
      </c>
      <c r="C53" s="8">
        <f>C5</f>
        <v/>
      </c>
      <c r="D53" s="14" t="n"/>
      <c r="E53" s="14" t="n"/>
      <c r="F53" s="8">
        <f>D53+E53</f>
        <v/>
      </c>
      <c r="G53" s="14" t="n"/>
      <c r="H53" s="14" t="n"/>
      <c r="I53" s="8">
        <f>G53+H53</f>
        <v/>
      </c>
      <c r="J53" s="8">
        <f>D53+G53</f>
        <v/>
      </c>
      <c r="K53" s="8">
        <f>E53+H53</f>
        <v/>
      </c>
      <c r="L53" s="8">
        <f>J53+K53</f>
        <v/>
      </c>
      <c r="M53" s="9">
        <f>IF(C53=0,0,L53/C53*100)</f>
        <v/>
      </c>
    </row>
    <row r="54">
      <c r="A54" s="7" t="n">
        <v>2</v>
      </c>
      <c r="B54" s="8">
        <f>B6</f>
        <v/>
      </c>
      <c r="C54" s="8">
        <f>C6</f>
        <v/>
      </c>
      <c r="D54" s="14" t="n"/>
      <c r="E54" s="14" t="n"/>
      <c r="F54" s="8">
        <f>D54+E54</f>
        <v/>
      </c>
      <c r="G54" s="14" t="n"/>
      <c r="H54" s="14" t="n"/>
      <c r="I54" s="8">
        <f>G54+H54</f>
        <v/>
      </c>
      <c r="J54" s="8">
        <f>D54+G54</f>
        <v/>
      </c>
      <c r="K54" s="8">
        <f>E54+H54</f>
        <v/>
      </c>
      <c r="L54" s="8">
        <f>J54+K54</f>
        <v/>
      </c>
      <c r="M54" s="9">
        <f>IF(C54=0,0,L54/C54*100)</f>
        <v/>
      </c>
    </row>
    <row r="55">
      <c r="A55" s="7" t="n">
        <v>3</v>
      </c>
      <c r="B55" s="8">
        <f>B7</f>
        <v/>
      </c>
      <c r="C55" s="8">
        <f>C7</f>
        <v/>
      </c>
      <c r="D55" s="14" t="n"/>
      <c r="E55" s="14" t="n"/>
      <c r="F55" s="8">
        <f>D55+E55</f>
        <v/>
      </c>
      <c r="G55" s="14" t="n"/>
      <c r="H55" s="14" t="n"/>
      <c r="I55" s="8">
        <f>G55+H55</f>
        <v/>
      </c>
      <c r="J55" s="8">
        <f>D55+G55</f>
        <v/>
      </c>
      <c r="K55" s="8">
        <f>E55+H55</f>
        <v/>
      </c>
      <c r="L55" s="8">
        <f>J55+K55</f>
        <v/>
      </c>
      <c r="M55" s="9">
        <f>IF(C55=0,0,L55/C55*100)</f>
        <v/>
      </c>
    </row>
    <row r="56">
      <c r="A56" s="7" t="n">
        <v>4</v>
      </c>
      <c r="B56" s="8">
        <f>B8</f>
        <v/>
      </c>
      <c r="C56" s="8">
        <f>C8</f>
        <v/>
      </c>
      <c r="D56" s="14" t="n"/>
      <c r="E56" s="14" t="n"/>
      <c r="F56" s="8">
        <f>D56+E56</f>
        <v/>
      </c>
      <c r="G56" s="14" t="n"/>
      <c r="H56" s="14" t="n"/>
      <c r="I56" s="8">
        <f>G56+H56</f>
        <v/>
      </c>
      <c r="J56" s="8">
        <f>D56+G56</f>
        <v/>
      </c>
      <c r="K56" s="8">
        <f>E56+H56</f>
        <v/>
      </c>
      <c r="L56" s="8">
        <f>J56+K56</f>
        <v/>
      </c>
      <c r="M56" s="9">
        <f>IF(C56=0,0,L56/C56*100)</f>
        <v/>
      </c>
    </row>
    <row r="57">
      <c r="A57" s="7" t="n">
        <v>5</v>
      </c>
      <c r="B57" s="8">
        <f>B9</f>
        <v/>
      </c>
      <c r="C57" s="8">
        <f>C9</f>
        <v/>
      </c>
      <c r="D57" s="14" t="n"/>
      <c r="E57" s="14" t="n"/>
      <c r="F57" s="8">
        <f>D57+E57</f>
        <v/>
      </c>
      <c r="G57" s="14" t="n"/>
      <c r="H57" s="14" t="n"/>
      <c r="I57" s="8">
        <f>G57+H57</f>
        <v/>
      </c>
      <c r="J57" s="8">
        <f>D57+G57</f>
        <v/>
      </c>
      <c r="K57" s="8">
        <f>E57+H57</f>
        <v/>
      </c>
      <c r="L57" s="8">
        <f>J57+K57</f>
        <v/>
      </c>
      <c r="M57" s="9">
        <f>IF(C57=0,0,L57/C57*100)</f>
        <v/>
      </c>
    </row>
    <row r="58">
      <c r="A58" s="7" t="n">
        <v>6</v>
      </c>
      <c r="B58" s="8">
        <f>B10</f>
        <v/>
      </c>
      <c r="C58" s="8">
        <f>C10</f>
        <v/>
      </c>
      <c r="D58" s="14" t="n"/>
      <c r="E58" s="14" t="n"/>
      <c r="F58" s="8">
        <f>D58+E58</f>
        <v/>
      </c>
      <c r="G58" s="14" t="n"/>
      <c r="H58" s="14" t="n"/>
      <c r="I58" s="8">
        <f>G58+H58</f>
        <v/>
      </c>
      <c r="J58" s="8">
        <f>D58+G58</f>
        <v/>
      </c>
      <c r="K58" s="8">
        <f>E58+H58</f>
        <v/>
      </c>
      <c r="L58" s="8">
        <f>J58+K58</f>
        <v/>
      </c>
      <c r="M58" s="9">
        <f>IF(C58=0,0,L58/C58*100)</f>
        <v/>
      </c>
    </row>
    <row r="59">
      <c r="A59" s="7" t="n">
        <v>7</v>
      </c>
      <c r="B59" s="8">
        <f>B11</f>
        <v/>
      </c>
      <c r="C59" s="8">
        <f>C11</f>
        <v/>
      </c>
      <c r="D59" s="14" t="n"/>
      <c r="E59" s="14" t="n"/>
      <c r="F59" s="8">
        <f>D59+E59</f>
        <v/>
      </c>
      <c r="G59" s="14" t="n"/>
      <c r="H59" s="14" t="n"/>
      <c r="I59" s="8">
        <f>G59+H59</f>
        <v/>
      </c>
      <c r="J59" s="8">
        <f>D59+G59</f>
        <v/>
      </c>
      <c r="K59" s="8">
        <f>E59+H59</f>
        <v/>
      </c>
      <c r="L59" s="8">
        <f>J59+K59</f>
        <v/>
      </c>
      <c r="M59" s="9">
        <f>IF(C59=0,0,L59/C59*100)</f>
        <v/>
      </c>
    </row>
    <row r="60">
      <c r="A60" s="7" t="n">
        <v>8</v>
      </c>
      <c r="B60" s="8">
        <f>B12</f>
        <v/>
      </c>
      <c r="C60" s="8">
        <f>C12</f>
        <v/>
      </c>
      <c r="D60" s="14" t="n"/>
      <c r="E60" s="14" t="n"/>
      <c r="F60" s="8">
        <f>D60+E60</f>
        <v/>
      </c>
      <c r="G60" s="14" t="n"/>
      <c r="H60" s="14" t="n"/>
      <c r="I60" s="8">
        <f>G60+H60</f>
        <v/>
      </c>
      <c r="J60" s="8">
        <f>D60+G60</f>
        <v/>
      </c>
      <c r="K60" s="8">
        <f>E60+H60</f>
        <v/>
      </c>
      <c r="L60" s="8">
        <f>J60+K60</f>
        <v/>
      </c>
      <c r="M60" s="9">
        <f>IF(C60=0,0,L60/C60*100)</f>
        <v/>
      </c>
    </row>
    <row r="61">
      <c r="A61" s="7" t="n">
        <v>9</v>
      </c>
      <c r="B61" s="8">
        <f>B13</f>
        <v/>
      </c>
      <c r="C61" s="8">
        <f>C13</f>
        <v/>
      </c>
      <c r="D61" s="14" t="n"/>
      <c r="E61" s="14" t="n"/>
      <c r="F61" s="8">
        <f>D61+E61</f>
        <v/>
      </c>
      <c r="G61" s="14" t="n"/>
      <c r="H61" s="14" t="n"/>
      <c r="I61" s="8">
        <f>G61+H61</f>
        <v/>
      </c>
      <c r="J61" s="8">
        <f>D61+G61</f>
        <v/>
      </c>
      <c r="K61" s="8">
        <f>E61+H61</f>
        <v/>
      </c>
      <c r="L61" s="8">
        <f>J61+K61</f>
        <v/>
      </c>
      <c r="M61" s="9">
        <f>IF(C61=0,0,L61/C61*100)</f>
        <v/>
      </c>
    </row>
    <row r="62">
      <c r="A62" s="7" t="n">
        <v>10</v>
      </c>
      <c r="B62" s="8">
        <f>B14</f>
        <v/>
      </c>
      <c r="C62" s="8">
        <f>C14</f>
        <v/>
      </c>
      <c r="D62" s="14" t="n"/>
      <c r="E62" s="14" t="n"/>
      <c r="F62" s="8">
        <f>D62+E62</f>
        <v/>
      </c>
      <c r="G62" s="14" t="n"/>
      <c r="H62" s="14" t="n"/>
      <c r="I62" s="8">
        <f>G62+H62</f>
        <v/>
      </c>
      <c r="J62" s="8">
        <f>D62+G62</f>
        <v/>
      </c>
      <c r="K62" s="8">
        <f>E62+H62</f>
        <v/>
      </c>
      <c r="L62" s="8">
        <f>J62+K62</f>
        <v/>
      </c>
      <c r="M62" s="9">
        <f>IF(C62=0,0,L62/C62*100)</f>
        <v/>
      </c>
    </row>
    <row r="63">
      <c r="A63" s="10" t="inlineStr">
        <is>
          <t>Total</t>
        </is>
      </c>
      <c r="B63" s="11">
        <f>SUM(B53:B62)</f>
        <v/>
      </c>
      <c r="C63" s="11">
        <f>SUM(C53:C62)</f>
        <v/>
      </c>
      <c r="D63" s="11">
        <f>SUM(D53:D62)</f>
        <v/>
      </c>
      <c r="E63" s="11">
        <f>SUM(E53:E62)</f>
        <v/>
      </c>
      <c r="F63" s="11">
        <f>D63+E63</f>
        <v/>
      </c>
      <c r="G63" s="11">
        <f>SUM(G53:G62)</f>
        <v/>
      </c>
      <c r="H63" s="11">
        <f>SUM(H53:H62)</f>
        <v/>
      </c>
      <c r="I63" s="11">
        <f>G63+H63</f>
        <v/>
      </c>
      <c r="J63" s="11">
        <f>D63+G63</f>
        <v/>
      </c>
      <c r="K63" s="11">
        <f>E63+H63</f>
        <v/>
      </c>
      <c r="L63" s="11">
        <f>J63+K63</f>
        <v/>
      </c>
      <c r="M63" s="12">
        <f>IF(C63=0,0,L63/C63*100)</f>
        <v/>
      </c>
    </row>
    <row r="65">
      <c r="A65" s="13" t="inlineStr">
        <is>
          <t>Day 4 - 2026-10-08 (Thu 22 Aswin 2083)</t>
        </is>
      </c>
    </row>
    <row r="66">
      <c r="A66" s="6" t="inlineStr">
        <is>
          <t>Ward no.</t>
        </is>
      </c>
      <c r="B66" s="6" t="inlineStr">
        <is>
          <t>Total population</t>
        </is>
      </c>
      <c r="C66" s="6" t="inlineStr">
        <is>
          <t>JE target population</t>
        </is>
      </c>
      <c r="D66" s="6" t="inlineStr">
        <is>
          <t>Vaccinated</t>
        </is>
      </c>
      <c r="E66" s="6" t="n"/>
      <c r="F66" s="6" t="n"/>
      <c r="G66" s="6" t="n"/>
      <c r="H66" s="6" t="n"/>
      <c r="I66" s="6" t="n"/>
      <c r="J66" s="6" t="n"/>
      <c r="K66" s="6" t="n"/>
      <c r="L66" s="6" t="n"/>
      <c r="M66" s="6" t="inlineStr">
        <is>
          <t>Progress %</t>
        </is>
      </c>
    </row>
    <row r="67">
      <c r="A67" s="6" t="n"/>
      <c r="B67" s="6" t="n"/>
      <c r="C67" s="6" t="n"/>
      <c r="D67" s="6" t="inlineStr">
        <is>
          <t>Age 30-60 yrs</t>
        </is>
      </c>
      <c r="E67" s="6" t="n"/>
      <c r="F67" s="6" t="n"/>
      <c r="G67" s="6" t="inlineStr">
        <is>
          <t>Age 60 above</t>
        </is>
      </c>
      <c r="H67" s="6" t="n"/>
      <c r="I67" s="6" t="n"/>
      <c r="J67" s="6" t="inlineStr">
        <is>
          <t>Total</t>
        </is>
      </c>
      <c r="K67" s="6" t="n"/>
      <c r="L67" s="6" t="inlineStr">
        <is>
          <t>Grand Total</t>
        </is>
      </c>
      <c r="M67" s="6" t="n"/>
    </row>
    <row r="68">
      <c r="A68" s="6" t="n"/>
      <c r="B68" s="6" t="n"/>
      <c r="C68" s="6" t="n"/>
      <c r="D68" s="6" t="inlineStr">
        <is>
          <t>F</t>
        </is>
      </c>
      <c r="E68" s="6" t="inlineStr">
        <is>
          <t>M</t>
        </is>
      </c>
      <c r="F68" s="6" t="inlineStr">
        <is>
          <t>Total</t>
        </is>
      </c>
      <c r="G68" s="6" t="inlineStr">
        <is>
          <t>F</t>
        </is>
      </c>
      <c r="H68" s="6" t="inlineStr">
        <is>
          <t>M</t>
        </is>
      </c>
      <c r="I68" s="6" t="inlineStr">
        <is>
          <t>Total</t>
        </is>
      </c>
      <c r="J68" s="6" t="inlineStr">
        <is>
          <t>F</t>
        </is>
      </c>
      <c r="K68" s="6" t="inlineStr">
        <is>
          <t>M</t>
        </is>
      </c>
      <c r="L68" s="6" t="n"/>
      <c r="M68" s="6" t="n"/>
    </row>
    <row r="69">
      <c r="A69" s="7" t="n">
        <v>1</v>
      </c>
      <c r="B69" s="8">
        <f>B5</f>
        <v/>
      </c>
      <c r="C69" s="8">
        <f>C5</f>
        <v/>
      </c>
      <c r="D69" s="14" t="n"/>
      <c r="E69" s="14" t="n"/>
      <c r="F69" s="8">
        <f>D69+E69</f>
        <v/>
      </c>
      <c r="G69" s="14" t="n"/>
      <c r="H69" s="14" t="n"/>
      <c r="I69" s="8">
        <f>G69+H69</f>
        <v/>
      </c>
      <c r="J69" s="8">
        <f>D69+G69</f>
        <v/>
      </c>
      <c r="K69" s="8">
        <f>E69+H69</f>
        <v/>
      </c>
      <c r="L69" s="8">
        <f>J69+K69</f>
        <v/>
      </c>
      <c r="M69" s="9">
        <f>IF(C69=0,0,L69/C69*100)</f>
        <v/>
      </c>
    </row>
    <row r="70">
      <c r="A70" s="7" t="n">
        <v>2</v>
      </c>
      <c r="B70" s="8">
        <f>B6</f>
        <v/>
      </c>
      <c r="C70" s="8">
        <f>C6</f>
        <v/>
      </c>
      <c r="D70" s="14" t="n"/>
      <c r="E70" s="14" t="n"/>
      <c r="F70" s="8">
        <f>D70+E70</f>
        <v/>
      </c>
      <c r="G70" s="14" t="n"/>
      <c r="H70" s="14" t="n"/>
      <c r="I70" s="8">
        <f>G70+H70</f>
        <v/>
      </c>
      <c r="J70" s="8">
        <f>D70+G70</f>
        <v/>
      </c>
      <c r="K70" s="8">
        <f>E70+H70</f>
        <v/>
      </c>
      <c r="L70" s="8">
        <f>J70+K70</f>
        <v/>
      </c>
      <c r="M70" s="9">
        <f>IF(C70=0,0,L70/C70*100)</f>
        <v/>
      </c>
    </row>
    <row r="71">
      <c r="A71" s="7" t="n">
        <v>3</v>
      </c>
      <c r="B71" s="8">
        <f>B7</f>
        <v/>
      </c>
      <c r="C71" s="8">
        <f>C7</f>
        <v/>
      </c>
      <c r="D71" s="14" t="n"/>
      <c r="E71" s="14" t="n"/>
      <c r="F71" s="8">
        <f>D71+E71</f>
        <v/>
      </c>
      <c r="G71" s="14" t="n"/>
      <c r="H71" s="14" t="n"/>
      <c r="I71" s="8">
        <f>G71+H71</f>
        <v/>
      </c>
      <c r="J71" s="8">
        <f>D71+G71</f>
        <v/>
      </c>
      <c r="K71" s="8">
        <f>E71+H71</f>
        <v/>
      </c>
      <c r="L71" s="8">
        <f>J71+K71</f>
        <v/>
      </c>
      <c r="M71" s="9">
        <f>IF(C71=0,0,L71/C71*100)</f>
        <v/>
      </c>
    </row>
    <row r="72">
      <c r="A72" s="7" t="n">
        <v>4</v>
      </c>
      <c r="B72" s="8">
        <f>B8</f>
        <v/>
      </c>
      <c r="C72" s="8">
        <f>C8</f>
        <v/>
      </c>
      <c r="D72" s="14" t="n"/>
      <c r="E72" s="14" t="n"/>
      <c r="F72" s="8">
        <f>D72+E72</f>
        <v/>
      </c>
      <c r="G72" s="14" t="n"/>
      <c r="H72" s="14" t="n"/>
      <c r="I72" s="8">
        <f>G72+H72</f>
        <v/>
      </c>
      <c r="J72" s="8">
        <f>D72+G72</f>
        <v/>
      </c>
      <c r="K72" s="8">
        <f>E72+H72</f>
        <v/>
      </c>
      <c r="L72" s="8">
        <f>J72+K72</f>
        <v/>
      </c>
      <c r="M72" s="9">
        <f>IF(C72=0,0,L72/C72*100)</f>
        <v/>
      </c>
    </row>
    <row r="73">
      <c r="A73" s="7" t="n">
        <v>5</v>
      </c>
      <c r="B73" s="8">
        <f>B9</f>
        <v/>
      </c>
      <c r="C73" s="8">
        <f>C9</f>
        <v/>
      </c>
      <c r="D73" s="14" t="n"/>
      <c r="E73" s="14" t="n"/>
      <c r="F73" s="8">
        <f>D73+E73</f>
        <v/>
      </c>
      <c r="G73" s="14" t="n"/>
      <c r="H73" s="14" t="n"/>
      <c r="I73" s="8">
        <f>G73+H73</f>
        <v/>
      </c>
      <c r="J73" s="8">
        <f>D73+G73</f>
        <v/>
      </c>
      <c r="K73" s="8">
        <f>E73+H73</f>
        <v/>
      </c>
      <c r="L73" s="8">
        <f>J73+K73</f>
        <v/>
      </c>
      <c r="M73" s="9">
        <f>IF(C73=0,0,L73/C73*100)</f>
        <v/>
      </c>
    </row>
    <row r="74">
      <c r="A74" s="7" t="n">
        <v>6</v>
      </c>
      <c r="B74" s="8">
        <f>B10</f>
        <v/>
      </c>
      <c r="C74" s="8">
        <f>C10</f>
        <v/>
      </c>
      <c r="D74" s="14" t="n"/>
      <c r="E74" s="14" t="n"/>
      <c r="F74" s="8">
        <f>D74+E74</f>
        <v/>
      </c>
      <c r="G74" s="14" t="n"/>
      <c r="H74" s="14" t="n"/>
      <c r="I74" s="8">
        <f>G74+H74</f>
        <v/>
      </c>
      <c r="J74" s="8">
        <f>D74+G74</f>
        <v/>
      </c>
      <c r="K74" s="8">
        <f>E74+H74</f>
        <v/>
      </c>
      <c r="L74" s="8">
        <f>J74+K74</f>
        <v/>
      </c>
      <c r="M74" s="9">
        <f>IF(C74=0,0,L74/C74*100)</f>
        <v/>
      </c>
    </row>
    <row r="75">
      <c r="A75" s="7" t="n">
        <v>7</v>
      </c>
      <c r="B75" s="8">
        <f>B11</f>
        <v/>
      </c>
      <c r="C75" s="8">
        <f>C11</f>
        <v/>
      </c>
      <c r="D75" s="14" t="n"/>
      <c r="E75" s="14" t="n"/>
      <c r="F75" s="8">
        <f>D75+E75</f>
        <v/>
      </c>
      <c r="G75" s="14" t="n"/>
      <c r="H75" s="14" t="n"/>
      <c r="I75" s="8">
        <f>G75+H75</f>
        <v/>
      </c>
      <c r="J75" s="8">
        <f>D75+G75</f>
        <v/>
      </c>
      <c r="K75" s="8">
        <f>E75+H75</f>
        <v/>
      </c>
      <c r="L75" s="8">
        <f>J75+K75</f>
        <v/>
      </c>
      <c r="M75" s="9">
        <f>IF(C75=0,0,L75/C75*100)</f>
        <v/>
      </c>
    </row>
    <row r="76">
      <c r="A76" s="7" t="n">
        <v>8</v>
      </c>
      <c r="B76" s="8">
        <f>B12</f>
        <v/>
      </c>
      <c r="C76" s="8">
        <f>C12</f>
        <v/>
      </c>
      <c r="D76" s="14" t="n"/>
      <c r="E76" s="14" t="n"/>
      <c r="F76" s="8">
        <f>D76+E76</f>
        <v/>
      </c>
      <c r="G76" s="14" t="n"/>
      <c r="H76" s="14" t="n"/>
      <c r="I76" s="8">
        <f>G76+H76</f>
        <v/>
      </c>
      <c r="J76" s="8">
        <f>D76+G76</f>
        <v/>
      </c>
      <c r="K76" s="8">
        <f>E76+H76</f>
        <v/>
      </c>
      <c r="L76" s="8">
        <f>J76+K76</f>
        <v/>
      </c>
      <c r="M76" s="9">
        <f>IF(C76=0,0,L76/C76*100)</f>
        <v/>
      </c>
    </row>
    <row r="77">
      <c r="A77" s="7" t="n">
        <v>9</v>
      </c>
      <c r="B77" s="8">
        <f>B13</f>
        <v/>
      </c>
      <c r="C77" s="8">
        <f>C13</f>
        <v/>
      </c>
      <c r="D77" s="14" t="n"/>
      <c r="E77" s="14" t="n"/>
      <c r="F77" s="8">
        <f>D77+E77</f>
        <v/>
      </c>
      <c r="G77" s="14" t="n"/>
      <c r="H77" s="14" t="n"/>
      <c r="I77" s="8">
        <f>G77+H77</f>
        <v/>
      </c>
      <c r="J77" s="8">
        <f>D77+G77</f>
        <v/>
      </c>
      <c r="K77" s="8">
        <f>E77+H77</f>
        <v/>
      </c>
      <c r="L77" s="8">
        <f>J77+K77</f>
        <v/>
      </c>
      <c r="M77" s="9">
        <f>IF(C77=0,0,L77/C77*100)</f>
        <v/>
      </c>
    </row>
    <row r="78">
      <c r="A78" s="7" t="n">
        <v>10</v>
      </c>
      <c r="B78" s="8">
        <f>B14</f>
        <v/>
      </c>
      <c r="C78" s="8">
        <f>C14</f>
        <v/>
      </c>
      <c r="D78" s="14" t="n"/>
      <c r="E78" s="14" t="n"/>
      <c r="F78" s="8">
        <f>D78+E78</f>
        <v/>
      </c>
      <c r="G78" s="14" t="n"/>
      <c r="H78" s="14" t="n"/>
      <c r="I78" s="8">
        <f>G78+H78</f>
        <v/>
      </c>
      <c r="J78" s="8">
        <f>D78+G78</f>
        <v/>
      </c>
      <c r="K78" s="8">
        <f>E78+H78</f>
        <v/>
      </c>
      <c r="L78" s="8">
        <f>J78+K78</f>
        <v/>
      </c>
      <c r="M78" s="9">
        <f>IF(C78=0,0,L78/C78*100)</f>
        <v/>
      </c>
    </row>
    <row r="79">
      <c r="A79" s="10" t="inlineStr">
        <is>
          <t>Total</t>
        </is>
      </c>
      <c r="B79" s="11">
        <f>SUM(B69:B78)</f>
        <v/>
      </c>
      <c r="C79" s="11">
        <f>SUM(C69:C78)</f>
        <v/>
      </c>
      <c r="D79" s="11">
        <f>SUM(D69:D78)</f>
        <v/>
      </c>
      <c r="E79" s="11">
        <f>SUM(E69:E78)</f>
        <v/>
      </c>
      <c r="F79" s="11">
        <f>D79+E79</f>
        <v/>
      </c>
      <c r="G79" s="11">
        <f>SUM(G69:G78)</f>
        <v/>
      </c>
      <c r="H79" s="11">
        <f>SUM(H69:H78)</f>
        <v/>
      </c>
      <c r="I79" s="11">
        <f>G79+H79</f>
        <v/>
      </c>
      <c r="J79" s="11">
        <f>D79+G79</f>
        <v/>
      </c>
      <c r="K79" s="11">
        <f>E79+H79</f>
        <v/>
      </c>
      <c r="L79" s="11">
        <f>J79+K79</f>
        <v/>
      </c>
      <c r="M79" s="12">
        <f>IF(C79=0,0,L79/C79*100)</f>
        <v/>
      </c>
    </row>
    <row r="81">
      <c r="A81" s="13" t="inlineStr">
        <is>
          <t>Day 5 - 2026-10-09 (Fri 23 Aswin 2083)</t>
        </is>
      </c>
    </row>
    <row r="82">
      <c r="A82" s="6" t="inlineStr">
        <is>
          <t>Ward no.</t>
        </is>
      </c>
      <c r="B82" s="6" t="inlineStr">
        <is>
          <t>Total population</t>
        </is>
      </c>
      <c r="C82" s="6" t="inlineStr">
        <is>
          <t>JE target population</t>
        </is>
      </c>
      <c r="D82" s="6" t="inlineStr">
        <is>
          <t>Vaccinated</t>
        </is>
      </c>
      <c r="E82" s="6" t="n"/>
      <c r="F82" s="6" t="n"/>
      <c r="G82" s="6" t="n"/>
      <c r="H82" s="6" t="n"/>
      <c r="I82" s="6" t="n"/>
      <c r="J82" s="6" t="n"/>
      <c r="K82" s="6" t="n"/>
      <c r="L82" s="6" t="n"/>
      <c r="M82" s="6" t="inlineStr">
        <is>
          <t>Progress %</t>
        </is>
      </c>
    </row>
    <row r="83">
      <c r="A83" s="6" t="n"/>
      <c r="B83" s="6" t="n"/>
      <c r="C83" s="6" t="n"/>
      <c r="D83" s="6" t="inlineStr">
        <is>
          <t>Age 30-60 yrs</t>
        </is>
      </c>
      <c r="E83" s="6" t="n"/>
      <c r="F83" s="6" t="n"/>
      <c r="G83" s="6" t="inlineStr">
        <is>
          <t>Age 60 above</t>
        </is>
      </c>
      <c r="H83" s="6" t="n"/>
      <c r="I83" s="6" t="n"/>
      <c r="J83" s="6" t="inlineStr">
        <is>
          <t>Total</t>
        </is>
      </c>
      <c r="K83" s="6" t="n"/>
      <c r="L83" s="6" t="inlineStr">
        <is>
          <t>Grand Total</t>
        </is>
      </c>
      <c r="M83" s="6" t="n"/>
    </row>
    <row r="84">
      <c r="A84" s="6" t="n"/>
      <c r="B84" s="6" t="n"/>
      <c r="C84" s="6" t="n"/>
      <c r="D84" s="6" t="inlineStr">
        <is>
          <t>F</t>
        </is>
      </c>
      <c r="E84" s="6" t="inlineStr">
        <is>
          <t>M</t>
        </is>
      </c>
      <c r="F84" s="6" t="inlineStr">
        <is>
          <t>Total</t>
        </is>
      </c>
      <c r="G84" s="6" t="inlineStr">
        <is>
          <t>F</t>
        </is>
      </c>
      <c r="H84" s="6" t="inlineStr">
        <is>
          <t>M</t>
        </is>
      </c>
      <c r="I84" s="6" t="inlineStr">
        <is>
          <t>Total</t>
        </is>
      </c>
      <c r="J84" s="6" t="inlineStr">
        <is>
          <t>F</t>
        </is>
      </c>
      <c r="K84" s="6" t="inlineStr">
        <is>
          <t>M</t>
        </is>
      </c>
      <c r="L84" s="6" t="n"/>
      <c r="M84" s="6" t="n"/>
    </row>
    <row r="85">
      <c r="A85" s="7" t="n">
        <v>1</v>
      </c>
      <c r="B85" s="8">
        <f>B5</f>
        <v/>
      </c>
      <c r="C85" s="8">
        <f>C5</f>
        <v/>
      </c>
      <c r="D85" s="14" t="n"/>
      <c r="E85" s="14" t="n"/>
      <c r="F85" s="8">
        <f>D85+E85</f>
        <v/>
      </c>
      <c r="G85" s="14" t="n"/>
      <c r="H85" s="14" t="n"/>
      <c r="I85" s="8">
        <f>G85+H85</f>
        <v/>
      </c>
      <c r="J85" s="8">
        <f>D85+G85</f>
        <v/>
      </c>
      <c r="K85" s="8">
        <f>E85+H85</f>
        <v/>
      </c>
      <c r="L85" s="8">
        <f>J85+K85</f>
        <v/>
      </c>
      <c r="M85" s="9">
        <f>IF(C85=0,0,L85/C85*100)</f>
        <v/>
      </c>
    </row>
    <row r="86">
      <c r="A86" s="7" t="n">
        <v>2</v>
      </c>
      <c r="B86" s="8">
        <f>B6</f>
        <v/>
      </c>
      <c r="C86" s="8">
        <f>C6</f>
        <v/>
      </c>
      <c r="D86" s="14" t="n"/>
      <c r="E86" s="14" t="n"/>
      <c r="F86" s="8">
        <f>D86+E86</f>
        <v/>
      </c>
      <c r="G86" s="14" t="n"/>
      <c r="H86" s="14" t="n"/>
      <c r="I86" s="8">
        <f>G86+H86</f>
        <v/>
      </c>
      <c r="J86" s="8">
        <f>D86+G86</f>
        <v/>
      </c>
      <c r="K86" s="8">
        <f>E86+H86</f>
        <v/>
      </c>
      <c r="L86" s="8">
        <f>J86+K86</f>
        <v/>
      </c>
      <c r="M86" s="9">
        <f>IF(C86=0,0,L86/C86*100)</f>
        <v/>
      </c>
    </row>
    <row r="87">
      <c r="A87" s="7" t="n">
        <v>3</v>
      </c>
      <c r="B87" s="8">
        <f>B7</f>
        <v/>
      </c>
      <c r="C87" s="8">
        <f>C7</f>
        <v/>
      </c>
      <c r="D87" s="14" t="n"/>
      <c r="E87" s="14" t="n"/>
      <c r="F87" s="8">
        <f>D87+E87</f>
        <v/>
      </c>
      <c r="G87" s="14" t="n"/>
      <c r="H87" s="14" t="n"/>
      <c r="I87" s="8">
        <f>G87+H87</f>
        <v/>
      </c>
      <c r="J87" s="8">
        <f>D87+G87</f>
        <v/>
      </c>
      <c r="K87" s="8">
        <f>E87+H87</f>
        <v/>
      </c>
      <c r="L87" s="8">
        <f>J87+K87</f>
        <v/>
      </c>
      <c r="M87" s="9">
        <f>IF(C87=0,0,L87/C87*100)</f>
        <v/>
      </c>
    </row>
    <row r="88">
      <c r="A88" s="7" t="n">
        <v>4</v>
      </c>
      <c r="B88" s="8">
        <f>B8</f>
        <v/>
      </c>
      <c r="C88" s="8">
        <f>C8</f>
        <v/>
      </c>
      <c r="D88" s="14" t="n"/>
      <c r="E88" s="14" t="n"/>
      <c r="F88" s="8">
        <f>D88+E88</f>
        <v/>
      </c>
      <c r="G88" s="14" t="n"/>
      <c r="H88" s="14" t="n"/>
      <c r="I88" s="8">
        <f>G88+H88</f>
        <v/>
      </c>
      <c r="J88" s="8">
        <f>D88+G88</f>
        <v/>
      </c>
      <c r="K88" s="8">
        <f>E88+H88</f>
        <v/>
      </c>
      <c r="L88" s="8">
        <f>J88+K88</f>
        <v/>
      </c>
      <c r="M88" s="9">
        <f>IF(C88=0,0,L88/C88*100)</f>
        <v/>
      </c>
    </row>
    <row r="89">
      <c r="A89" s="7" t="n">
        <v>5</v>
      </c>
      <c r="B89" s="8">
        <f>B9</f>
        <v/>
      </c>
      <c r="C89" s="8">
        <f>C9</f>
        <v/>
      </c>
      <c r="D89" s="14" t="n"/>
      <c r="E89" s="14" t="n"/>
      <c r="F89" s="8">
        <f>D89+E89</f>
        <v/>
      </c>
      <c r="G89" s="14" t="n"/>
      <c r="H89" s="14" t="n"/>
      <c r="I89" s="8">
        <f>G89+H89</f>
        <v/>
      </c>
      <c r="J89" s="8">
        <f>D89+G89</f>
        <v/>
      </c>
      <c r="K89" s="8">
        <f>E89+H89</f>
        <v/>
      </c>
      <c r="L89" s="8">
        <f>J89+K89</f>
        <v/>
      </c>
      <c r="M89" s="9">
        <f>IF(C89=0,0,L89/C89*100)</f>
        <v/>
      </c>
    </row>
    <row r="90">
      <c r="A90" s="7" t="n">
        <v>6</v>
      </c>
      <c r="B90" s="8">
        <f>B10</f>
        <v/>
      </c>
      <c r="C90" s="8">
        <f>C10</f>
        <v/>
      </c>
      <c r="D90" s="14" t="n"/>
      <c r="E90" s="14" t="n"/>
      <c r="F90" s="8">
        <f>D90+E90</f>
        <v/>
      </c>
      <c r="G90" s="14" t="n"/>
      <c r="H90" s="14" t="n"/>
      <c r="I90" s="8">
        <f>G90+H90</f>
        <v/>
      </c>
      <c r="J90" s="8">
        <f>D90+G90</f>
        <v/>
      </c>
      <c r="K90" s="8">
        <f>E90+H90</f>
        <v/>
      </c>
      <c r="L90" s="8">
        <f>J90+K90</f>
        <v/>
      </c>
      <c r="M90" s="9">
        <f>IF(C90=0,0,L90/C90*100)</f>
        <v/>
      </c>
    </row>
    <row r="91">
      <c r="A91" s="7" t="n">
        <v>7</v>
      </c>
      <c r="B91" s="8">
        <f>B11</f>
        <v/>
      </c>
      <c r="C91" s="8">
        <f>C11</f>
        <v/>
      </c>
      <c r="D91" s="14" t="n"/>
      <c r="E91" s="14" t="n"/>
      <c r="F91" s="8">
        <f>D91+E91</f>
        <v/>
      </c>
      <c r="G91" s="14" t="n"/>
      <c r="H91" s="14" t="n"/>
      <c r="I91" s="8">
        <f>G91+H91</f>
        <v/>
      </c>
      <c r="J91" s="8">
        <f>D91+G91</f>
        <v/>
      </c>
      <c r="K91" s="8">
        <f>E91+H91</f>
        <v/>
      </c>
      <c r="L91" s="8">
        <f>J91+K91</f>
        <v/>
      </c>
      <c r="M91" s="9">
        <f>IF(C91=0,0,L91/C91*100)</f>
        <v/>
      </c>
    </row>
    <row r="92">
      <c r="A92" s="7" t="n">
        <v>8</v>
      </c>
      <c r="B92" s="8">
        <f>B12</f>
        <v/>
      </c>
      <c r="C92" s="8">
        <f>C12</f>
        <v/>
      </c>
      <c r="D92" s="14" t="n"/>
      <c r="E92" s="14" t="n"/>
      <c r="F92" s="8">
        <f>D92+E92</f>
        <v/>
      </c>
      <c r="G92" s="14" t="n"/>
      <c r="H92" s="14" t="n"/>
      <c r="I92" s="8">
        <f>G92+H92</f>
        <v/>
      </c>
      <c r="J92" s="8">
        <f>D92+G92</f>
        <v/>
      </c>
      <c r="K92" s="8">
        <f>E92+H92</f>
        <v/>
      </c>
      <c r="L92" s="8">
        <f>J92+K92</f>
        <v/>
      </c>
      <c r="M92" s="9">
        <f>IF(C92=0,0,L92/C92*100)</f>
        <v/>
      </c>
    </row>
    <row r="93">
      <c r="A93" s="7" t="n">
        <v>9</v>
      </c>
      <c r="B93" s="8">
        <f>B13</f>
        <v/>
      </c>
      <c r="C93" s="8">
        <f>C13</f>
        <v/>
      </c>
      <c r="D93" s="14" t="n"/>
      <c r="E93" s="14" t="n"/>
      <c r="F93" s="8">
        <f>D93+E93</f>
        <v/>
      </c>
      <c r="G93" s="14" t="n"/>
      <c r="H93" s="14" t="n"/>
      <c r="I93" s="8">
        <f>G93+H93</f>
        <v/>
      </c>
      <c r="J93" s="8">
        <f>D93+G93</f>
        <v/>
      </c>
      <c r="K93" s="8">
        <f>E93+H93</f>
        <v/>
      </c>
      <c r="L93" s="8">
        <f>J93+K93</f>
        <v/>
      </c>
      <c r="M93" s="9">
        <f>IF(C93=0,0,L93/C93*100)</f>
        <v/>
      </c>
    </row>
    <row r="94">
      <c r="A94" s="7" t="n">
        <v>10</v>
      </c>
      <c r="B94" s="8">
        <f>B14</f>
        <v/>
      </c>
      <c r="C94" s="8">
        <f>C14</f>
        <v/>
      </c>
      <c r="D94" s="14" t="n"/>
      <c r="E94" s="14" t="n"/>
      <c r="F94" s="8">
        <f>D94+E94</f>
        <v/>
      </c>
      <c r="G94" s="14" t="n"/>
      <c r="H94" s="14" t="n"/>
      <c r="I94" s="8">
        <f>G94+H94</f>
        <v/>
      </c>
      <c r="J94" s="8">
        <f>D94+G94</f>
        <v/>
      </c>
      <c r="K94" s="8">
        <f>E94+H94</f>
        <v/>
      </c>
      <c r="L94" s="8">
        <f>J94+K94</f>
        <v/>
      </c>
      <c r="M94" s="9">
        <f>IF(C94=0,0,L94/C94*100)</f>
        <v/>
      </c>
    </row>
    <row r="95">
      <c r="A95" s="10" t="inlineStr">
        <is>
          <t>Total</t>
        </is>
      </c>
      <c r="B95" s="11">
        <f>SUM(B85:B94)</f>
        <v/>
      </c>
      <c r="C95" s="11">
        <f>SUM(C85:C94)</f>
        <v/>
      </c>
      <c r="D95" s="11">
        <f>SUM(D85:D94)</f>
        <v/>
      </c>
      <c r="E95" s="11">
        <f>SUM(E85:E94)</f>
        <v/>
      </c>
      <c r="F95" s="11">
        <f>D95+E95</f>
        <v/>
      </c>
      <c r="G95" s="11">
        <f>SUM(G85:G94)</f>
        <v/>
      </c>
      <c r="H95" s="11">
        <f>SUM(H85:H94)</f>
        <v/>
      </c>
      <c r="I95" s="11">
        <f>G95+H95</f>
        <v/>
      </c>
      <c r="J95" s="11">
        <f>D95+G95</f>
        <v/>
      </c>
      <c r="K95" s="11">
        <f>E95+H95</f>
        <v/>
      </c>
      <c r="L95" s="11">
        <f>J95+K95</f>
        <v/>
      </c>
      <c r="M95" s="12">
        <f>IF(C95=0,0,L95/C95*100)</f>
        <v/>
      </c>
    </row>
    <row r="97">
      <c r="A97" s="13" t="inlineStr">
        <is>
          <t>Day 6 - 2026-10-10 (Sat 24 Aswin 2083)</t>
        </is>
      </c>
    </row>
    <row r="98">
      <c r="A98" s="6" t="inlineStr">
        <is>
          <t>Ward no.</t>
        </is>
      </c>
      <c r="B98" s="6" t="inlineStr">
        <is>
          <t>Total population</t>
        </is>
      </c>
      <c r="C98" s="6" t="inlineStr">
        <is>
          <t>JE target population</t>
        </is>
      </c>
      <c r="D98" s="6" t="inlineStr">
        <is>
          <t>Vaccinated</t>
        </is>
      </c>
      <c r="E98" s="6" t="n"/>
      <c r="F98" s="6" t="n"/>
      <c r="G98" s="6" t="n"/>
      <c r="H98" s="6" t="n"/>
      <c r="I98" s="6" t="n"/>
      <c r="J98" s="6" t="n"/>
      <c r="K98" s="6" t="n"/>
      <c r="L98" s="6" t="n"/>
      <c r="M98" s="6" t="inlineStr">
        <is>
          <t>Progress %</t>
        </is>
      </c>
    </row>
    <row r="99">
      <c r="A99" s="6" t="n"/>
      <c r="B99" s="6" t="n"/>
      <c r="C99" s="6" t="n"/>
      <c r="D99" s="6" t="inlineStr">
        <is>
          <t>Age 30-60 yrs</t>
        </is>
      </c>
      <c r="E99" s="6" t="n"/>
      <c r="F99" s="6" t="n"/>
      <c r="G99" s="6" t="inlineStr">
        <is>
          <t>Age 60 above</t>
        </is>
      </c>
      <c r="H99" s="6" t="n"/>
      <c r="I99" s="6" t="n"/>
      <c r="J99" s="6" t="inlineStr">
        <is>
          <t>Total</t>
        </is>
      </c>
      <c r="K99" s="6" t="n"/>
      <c r="L99" s="6" t="inlineStr">
        <is>
          <t>Grand Total</t>
        </is>
      </c>
      <c r="M99" s="6" t="n"/>
    </row>
    <row r="100">
      <c r="A100" s="6" t="n"/>
      <c r="B100" s="6" t="n"/>
      <c r="C100" s="6" t="n"/>
      <c r="D100" s="6" t="inlineStr">
        <is>
          <t>F</t>
        </is>
      </c>
      <c r="E100" s="6" t="inlineStr">
        <is>
          <t>M</t>
        </is>
      </c>
      <c r="F100" s="6" t="inlineStr">
        <is>
          <t>Total</t>
        </is>
      </c>
      <c r="G100" s="6" t="inlineStr">
        <is>
          <t>F</t>
        </is>
      </c>
      <c r="H100" s="6" t="inlineStr">
        <is>
          <t>M</t>
        </is>
      </c>
      <c r="I100" s="6" t="inlineStr">
        <is>
          <t>Total</t>
        </is>
      </c>
      <c r="J100" s="6" t="inlineStr">
        <is>
          <t>F</t>
        </is>
      </c>
      <c r="K100" s="6" t="inlineStr">
        <is>
          <t>M</t>
        </is>
      </c>
      <c r="L100" s="6" t="n"/>
      <c r="M100" s="6" t="n"/>
    </row>
    <row r="101">
      <c r="A101" s="7" t="n">
        <v>1</v>
      </c>
      <c r="B101" s="8">
        <f>B5</f>
        <v/>
      </c>
      <c r="C101" s="8">
        <f>C5</f>
        <v/>
      </c>
      <c r="D101" s="14" t="n"/>
      <c r="E101" s="14" t="n"/>
      <c r="F101" s="8">
        <f>D101+E101</f>
        <v/>
      </c>
      <c r="G101" s="14" t="n"/>
      <c r="H101" s="14" t="n"/>
      <c r="I101" s="8">
        <f>G101+H101</f>
        <v/>
      </c>
      <c r="J101" s="8">
        <f>D101+G101</f>
        <v/>
      </c>
      <c r="K101" s="8">
        <f>E101+H101</f>
        <v/>
      </c>
      <c r="L101" s="8">
        <f>J101+K101</f>
        <v/>
      </c>
      <c r="M101" s="9">
        <f>IF(C101=0,0,L101/C101*100)</f>
        <v/>
      </c>
    </row>
    <row r="102">
      <c r="A102" s="7" t="n">
        <v>2</v>
      </c>
      <c r="B102" s="8">
        <f>B6</f>
        <v/>
      </c>
      <c r="C102" s="8">
        <f>C6</f>
        <v/>
      </c>
      <c r="D102" s="14" t="n"/>
      <c r="E102" s="14" t="n"/>
      <c r="F102" s="8">
        <f>D102+E102</f>
        <v/>
      </c>
      <c r="G102" s="14" t="n"/>
      <c r="H102" s="14" t="n"/>
      <c r="I102" s="8">
        <f>G102+H102</f>
        <v/>
      </c>
      <c r="J102" s="8">
        <f>D102+G102</f>
        <v/>
      </c>
      <c r="K102" s="8">
        <f>E102+H102</f>
        <v/>
      </c>
      <c r="L102" s="8">
        <f>J102+K102</f>
        <v/>
      </c>
      <c r="M102" s="9">
        <f>IF(C102=0,0,L102/C102*100)</f>
        <v/>
      </c>
    </row>
    <row r="103">
      <c r="A103" s="7" t="n">
        <v>3</v>
      </c>
      <c r="B103" s="8">
        <f>B7</f>
        <v/>
      </c>
      <c r="C103" s="8">
        <f>C7</f>
        <v/>
      </c>
      <c r="D103" s="14" t="n"/>
      <c r="E103" s="14" t="n"/>
      <c r="F103" s="8">
        <f>D103+E103</f>
        <v/>
      </c>
      <c r="G103" s="14" t="n"/>
      <c r="H103" s="14" t="n"/>
      <c r="I103" s="8">
        <f>G103+H103</f>
        <v/>
      </c>
      <c r="J103" s="8">
        <f>D103+G103</f>
        <v/>
      </c>
      <c r="K103" s="8">
        <f>E103+H103</f>
        <v/>
      </c>
      <c r="L103" s="8">
        <f>J103+K103</f>
        <v/>
      </c>
      <c r="M103" s="9">
        <f>IF(C103=0,0,L103/C103*100)</f>
        <v/>
      </c>
    </row>
    <row r="104">
      <c r="A104" s="7" t="n">
        <v>4</v>
      </c>
      <c r="B104" s="8">
        <f>B8</f>
        <v/>
      </c>
      <c r="C104" s="8">
        <f>C8</f>
        <v/>
      </c>
      <c r="D104" s="14" t="n"/>
      <c r="E104" s="14" t="n"/>
      <c r="F104" s="8">
        <f>D104+E104</f>
        <v/>
      </c>
      <c r="G104" s="14" t="n"/>
      <c r="H104" s="14" t="n"/>
      <c r="I104" s="8">
        <f>G104+H104</f>
        <v/>
      </c>
      <c r="J104" s="8">
        <f>D104+G104</f>
        <v/>
      </c>
      <c r="K104" s="8">
        <f>E104+H104</f>
        <v/>
      </c>
      <c r="L104" s="8">
        <f>J104+K104</f>
        <v/>
      </c>
      <c r="M104" s="9">
        <f>IF(C104=0,0,L104/C104*100)</f>
        <v/>
      </c>
    </row>
    <row r="105">
      <c r="A105" s="7" t="n">
        <v>5</v>
      </c>
      <c r="B105" s="8">
        <f>B9</f>
        <v/>
      </c>
      <c r="C105" s="8">
        <f>C9</f>
        <v/>
      </c>
      <c r="D105" s="14" t="n"/>
      <c r="E105" s="14" t="n"/>
      <c r="F105" s="8">
        <f>D105+E105</f>
        <v/>
      </c>
      <c r="G105" s="14" t="n"/>
      <c r="H105" s="14" t="n"/>
      <c r="I105" s="8">
        <f>G105+H105</f>
        <v/>
      </c>
      <c r="J105" s="8">
        <f>D105+G105</f>
        <v/>
      </c>
      <c r="K105" s="8">
        <f>E105+H105</f>
        <v/>
      </c>
      <c r="L105" s="8">
        <f>J105+K105</f>
        <v/>
      </c>
      <c r="M105" s="9">
        <f>IF(C105=0,0,L105/C105*100)</f>
        <v/>
      </c>
    </row>
    <row r="106">
      <c r="A106" s="7" t="n">
        <v>6</v>
      </c>
      <c r="B106" s="8">
        <f>B10</f>
        <v/>
      </c>
      <c r="C106" s="8">
        <f>C10</f>
        <v/>
      </c>
      <c r="D106" s="14" t="n"/>
      <c r="E106" s="14" t="n"/>
      <c r="F106" s="8">
        <f>D106+E106</f>
        <v/>
      </c>
      <c r="G106" s="14" t="n"/>
      <c r="H106" s="14" t="n"/>
      <c r="I106" s="8">
        <f>G106+H106</f>
        <v/>
      </c>
      <c r="J106" s="8">
        <f>D106+G106</f>
        <v/>
      </c>
      <c r="K106" s="8">
        <f>E106+H106</f>
        <v/>
      </c>
      <c r="L106" s="8">
        <f>J106+K106</f>
        <v/>
      </c>
      <c r="M106" s="9">
        <f>IF(C106=0,0,L106/C106*100)</f>
        <v/>
      </c>
    </row>
    <row r="107">
      <c r="A107" s="7" t="n">
        <v>7</v>
      </c>
      <c r="B107" s="8">
        <f>B11</f>
        <v/>
      </c>
      <c r="C107" s="8">
        <f>C11</f>
        <v/>
      </c>
      <c r="D107" s="14" t="n"/>
      <c r="E107" s="14" t="n"/>
      <c r="F107" s="8">
        <f>D107+E107</f>
        <v/>
      </c>
      <c r="G107" s="14" t="n"/>
      <c r="H107" s="14" t="n"/>
      <c r="I107" s="8">
        <f>G107+H107</f>
        <v/>
      </c>
      <c r="J107" s="8">
        <f>D107+G107</f>
        <v/>
      </c>
      <c r="K107" s="8">
        <f>E107+H107</f>
        <v/>
      </c>
      <c r="L107" s="8">
        <f>J107+K107</f>
        <v/>
      </c>
      <c r="M107" s="9">
        <f>IF(C107=0,0,L107/C107*100)</f>
        <v/>
      </c>
    </row>
    <row r="108">
      <c r="A108" s="7" t="n">
        <v>8</v>
      </c>
      <c r="B108" s="8">
        <f>B12</f>
        <v/>
      </c>
      <c r="C108" s="8">
        <f>C12</f>
        <v/>
      </c>
      <c r="D108" s="14" t="n"/>
      <c r="E108" s="14" t="n"/>
      <c r="F108" s="8">
        <f>D108+E108</f>
        <v/>
      </c>
      <c r="G108" s="14" t="n"/>
      <c r="H108" s="14" t="n"/>
      <c r="I108" s="8">
        <f>G108+H108</f>
        <v/>
      </c>
      <c r="J108" s="8">
        <f>D108+G108</f>
        <v/>
      </c>
      <c r="K108" s="8">
        <f>E108+H108</f>
        <v/>
      </c>
      <c r="L108" s="8">
        <f>J108+K108</f>
        <v/>
      </c>
      <c r="M108" s="9">
        <f>IF(C108=0,0,L108/C108*100)</f>
        <v/>
      </c>
    </row>
    <row r="109">
      <c r="A109" s="7" t="n">
        <v>9</v>
      </c>
      <c r="B109" s="8">
        <f>B13</f>
        <v/>
      </c>
      <c r="C109" s="8">
        <f>C13</f>
        <v/>
      </c>
      <c r="D109" s="14" t="n"/>
      <c r="E109" s="14" t="n"/>
      <c r="F109" s="8">
        <f>D109+E109</f>
        <v/>
      </c>
      <c r="G109" s="14" t="n"/>
      <c r="H109" s="14" t="n"/>
      <c r="I109" s="8">
        <f>G109+H109</f>
        <v/>
      </c>
      <c r="J109" s="8">
        <f>D109+G109</f>
        <v/>
      </c>
      <c r="K109" s="8">
        <f>E109+H109</f>
        <v/>
      </c>
      <c r="L109" s="8">
        <f>J109+K109</f>
        <v/>
      </c>
      <c r="M109" s="9">
        <f>IF(C109=0,0,L109/C109*100)</f>
        <v/>
      </c>
    </row>
    <row r="110">
      <c r="A110" s="7" t="n">
        <v>10</v>
      </c>
      <c r="B110" s="8">
        <f>B14</f>
        <v/>
      </c>
      <c r="C110" s="8">
        <f>C14</f>
        <v/>
      </c>
      <c r="D110" s="14" t="n"/>
      <c r="E110" s="14" t="n"/>
      <c r="F110" s="8">
        <f>D110+E110</f>
        <v/>
      </c>
      <c r="G110" s="14" t="n"/>
      <c r="H110" s="14" t="n"/>
      <c r="I110" s="8">
        <f>G110+H110</f>
        <v/>
      </c>
      <c r="J110" s="8">
        <f>D110+G110</f>
        <v/>
      </c>
      <c r="K110" s="8">
        <f>E110+H110</f>
        <v/>
      </c>
      <c r="L110" s="8">
        <f>J110+K110</f>
        <v/>
      </c>
      <c r="M110" s="9">
        <f>IF(C110=0,0,L110/C110*100)</f>
        <v/>
      </c>
    </row>
    <row r="111">
      <c r="A111" s="10" t="inlineStr">
        <is>
          <t>Total</t>
        </is>
      </c>
      <c r="B111" s="11">
        <f>SUM(B101:B110)</f>
        <v/>
      </c>
      <c r="C111" s="11">
        <f>SUM(C101:C110)</f>
        <v/>
      </c>
      <c r="D111" s="11">
        <f>SUM(D101:D110)</f>
        <v/>
      </c>
      <c r="E111" s="11">
        <f>SUM(E101:E110)</f>
        <v/>
      </c>
      <c r="F111" s="11">
        <f>D111+E111</f>
        <v/>
      </c>
      <c r="G111" s="11">
        <f>SUM(G101:G110)</f>
        <v/>
      </c>
      <c r="H111" s="11">
        <f>SUM(H101:H110)</f>
        <v/>
      </c>
      <c r="I111" s="11">
        <f>G111+H111</f>
        <v/>
      </c>
      <c r="J111" s="11">
        <f>D111+G111</f>
        <v/>
      </c>
      <c r="K111" s="11">
        <f>E111+H111</f>
        <v/>
      </c>
      <c r="L111" s="11">
        <f>J111+K111</f>
        <v/>
      </c>
      <c r="M111" s="12">
        <f>IF(C111=0,0,L111/C111*100)</f>
        <v/>
      </c>
    </row>
    <row r="113">
      <c r="A113" s="13" t="inlineStr">
        <is>
          <t>Day 7 - 2026-10-11 (Sun 25 Aswin 2083)</t>
        </is>
      </c>
    </row>
    <row r="114">
      <c r="A114" s="6" t="inlineStr">
        <is>
          <t>Ward no.</t>
        </is>
      </c>
      <c r="B114" s="6" t="inlineStr">
        <is>
          <t>Total population</t>
        </is>
      </c>
      <c r="C114" s="6" t="inlineStr">
        <is>
          <t>JE target population</t>
        </is>
      </c>
      <c r="D114" s="6" t="inlineStr">
        <is>
          <t>Vaccinated</t>
        </is>
      </c>
      <c r="E114" s="6" t="n"/>
      <c r="F114" s="6" t="n"/>
      <c r="G114" s="6" t="n"/>
      <c r="H114" s="6" t="n"/>
      <c r="I114" s="6" t="n"/>
      <c r="J114" s="6" t="n"/>
      <c r="K114" s="6" t="n"/>
      <c r="L114" s="6" t="n"/>
      <c r="M114" s="6" t="inlineStr">
        <is>
          <t>Progress %</t>
        </is>
      </c>
    </row>
    <row r="115">
      <c r="A115" s="6" t="n"/>
      <c r="B115" s="6" t="n"/>
      <c r="C115" s="6" t="n"/>
      <c r="D115" s="6" t="inlineStr">
        <is>
          <t>Age 30-60 yrs</t>
        </is>
      </c>
      <c r="E115" s="6" t="n"/>
      <c r="F115" s="6" t="n"/>
      <c r="G115" s="6" t="inlineStr">
        <is>
          <t>Age 60 above</t>
        </is>
      </c>
      <c r="H115" s="6" t="n"/>
      <c r="I115" s="6" t="n"/>
      <c r="J115" s="6" t="inlineStr">
        <is>
          <t>Total</t>
        </is>
      </c>
      <c r="K115" s="6" t="n"/>
      <c r="L115" s="6" t="inlineStr">
        <is>
          <t>Grand Total</t>
        </is>
      </c>
      <c r="M115" s="6" t="n"/>
    </row>
    <row r="116">
      <c r="A116" s="6" t="n"/>
      <c r="B116" s="6" t="n"/>
      <c r="C116" s="6" t="n"/>
      <c r="D116" s="6" t="inlineStr">
        <is>
          <t>F</t>
        </is>
      </c>
      <c r="E116" s="6" t="inlineStr">
        <is>
          <t>M</t>
        </is>
      </c>
      <c r="F116" s="6" t="inlineStr">
        <is>
          <t>Total</t>
        </is>
      </c>
      <c r="G116" s="6" t="inlineStr">
        <is>
          <t>F</t>
        </is>
      </c>
      <c r="H116" s="6" t="inlineStr">
        <is>
          <t>M</t>
        </is>
      </c>
      <c r="I116" s="6" t="inlineStr">
        <is>
          <t>Total</t>
        </is>
      </c>
      <c r="J116" s="6" t="inlineStr">
        <is>
          <t>F</t>
        </is>
      </c>
      <c r="K116" s="6" t="inlineStr">
        <is>
          <t>M</t>
        </is>
      </c>
      <c r="L116" s="6" t="n"/>
      <c r="M116" s="6" t="n"/>
    </row>
    <row r="117">
      <c r="A117" s="7" t="n">
        <v>1</v>
      </c>
      <c r="B117" s="8">
        <f>B5</f>
        <v/>
      </c>
      <c r="C117" s="8">
        <f>C5</f>
        <v/>
      </c>
      <c r="D117" s="14" t="n"/>
      <c r="E117" s="14" t="n"/>
      <c r="F117" s="8">
        <f>D117+E117</f>
        <v/>
      </c>
      <c r="G117" s="14" t="n"/>
      <c r="H117" s="14" t="n"/>
      <c r="I117" s="8">
        <f>G117+H117</f>
        <v/>
      </c>
      <c r="J117" s="8">
        <f>D117+G117</f>
        <v/>
      </c>
      <c r="K117" s="8">
        <f>E117+H117</f>
        <v/>
      </c>
      <c r="L117" s="8">
        <f>J117+K117</f>
        <v/>
      </c>
      <c r="M117" s="9">
        <f>IF(C117=0,0,L117/C117*100)</f>
        <v/>
      </c>
    </row>
    <row r="118">
      <c r="A118" s="7" t="n">
        <v>2</v>
      </c>
      <c r="B118" s="8">
        <f>B6</f>
        <v/>
      </c>
      <c r="C118" s="8">
        <f>C6</f>
        <v/>
      </c>
      <c r="D118" s="14" t="n"/>
      <c r="E118" s="14" t="n"/>
      <c r="F118" s="8">
        <f>D118+E118</f>
        <v/>
      </c>
      <c r="G118" s="14" t="n"/>
      <c r="H118" s="14" t="n"/>
      <c r="I118" s="8">
        <f>G118+H118</f>
        <v/>
      </c>
      <c r="J118" s="8">
        <f>D118+G118</f>
        <v/>
      </c>
      <c r="K118" s="8">
        <f>E118+H118</f>
        <v/>
      </c>
      <c r="L118" s="8">
        <f>J118+K118</f>
        <v/>
      </c>
      <c r="M118" s="9">
        <f>IF(C118=0,0,L118/C118*100)</f>
        <v/>
      </c>
    </row>
    <row r="119">
      <c r="A119" s="7" t="n">
        <v>3</v>
      </c>
      <c r="B119" s="8">
        <f>B7</f>
        <v/>
      </c>
      <c r="C119" s="8">
        <f>C7</f>
        <v/>
      </c>
      <c r="D119" s="14" t="n"/>
      <c r="E119" s="14" t="n"/>
      <c r="F119" s="8">
        <f>D119+E119</f>
        <v/>
      </c>
      <c r="G119" s="14" t="n"/>
      <c r="H119" s="14" t="n"/>
      <c r="I119" s="8">
        <f>G119+H119</f>
        <v/>
      </c>
      <c r="J119" s="8">
        <f>D119+G119</f>
        <v/>
      </c>
      <c r="K119" s="8">
        <f>E119+H119</f>
        <v/>
      </c>
      <c r="L119" s="8">
        <f>J119+K119</f>
        <v/>
      </c>
      <c r="M119" s="9">
        <f>IF(C119=0,0,L119/C119*100)</f>
        <v/>
      </c>
    </row>
    <row r="120">
      <c r="A120" s="7" t="n">
        <v>4</v>
      </c>
      <c r="B120" s="8">
        <f>B8</f>
        <v/>
      </c>
      <c r="C120" s="8">
        <f>C8</f>
        <v/>
      </c>
      <c r="D120" s="14" t="n"/>
      <c r="E120" s="14" t="n"/>
      <c r="F120" s="8">
        <f>D120+E120</f>
        <v/>
      </c>
      <c r="G120" s="14" t="n"/>
      <c r="H120" s="14" t="n"/>
      <c r="I120" s="8">
        <f>G120+H120</f>
        <v/>
      </c>
      <c r="J120" s="8">
        <f>D120+G120</f>
        <v/>
      </c>
      <c r="K120" s="8">
        <f>E120+H120</f>
        <v/>
      </c>
      <c r="L120" s="8">
        <f>J120+K120</f>
        <v/>
      </c>
      <c r="M120" s="9">
        <f>IF(C120=0,0,L120/C120*100)</f>
        <v/>
      </c>
    </row>
    <row r="121">
      <c r="A121" s="7" t="n">
        <v>5</v>
      </c>
      <c r="B121" s="8">
        <f>B9</f>
        <v/>
      </c>
      <c r="C121" s="8">
        <f>C9</f>
        <v/>
      </c>
      <c r="D121" s="14" t="n"/>
      <c r="E121" s="14" t="n"/>
      <c r="F121" s="8">
        <f>D121+E121</f>
        <v/>
      </c>
      <c r="G121" s="14" t="n"/>
      <c r="H121" s="14" t="n"/>
      <c r="I121" s="8">
        <f>G121+H121</f>
        <v/>
      </c>
      <c r="J121" s="8">
        <f>D121+G121</f>
        <v/>
      </c>
      <c r="K121" s="8">
        <f>E121+H121</f>
        <v/>
      </c>
      <c r="L121" s="8">
        <f>J121+K121</f>
        <v/>
      </c>
      <c r="M121" s="9">
        <f>IF(C121=0,0,L121/C121*100)</f>
        <v/>
      </c>
    </row>
    <row r="122">
      <c r="A122" s="7" t="n">
        <v>6</v>
      </c>
      <c r="B122" s="8">
        <f>B10</f>
        <v/>
      </c>
      <c r="C122" s="8">
        <f>C10</f>
        <v/>
      </c>
      <c r="D122" s="14" t="n"/>
      <c r="E122" s="14" t="n"/>
      <c r="F122" s="8">
        <f>D122+E122</f>
        <v/>
      </c>
      <c r="G122" s="14" t="n"/>
      <c r="H122" s="14" t="n"/>
      <c r="I122" s="8">
        <f>G122+H122</f>
        <v/>
      </c>
      <c r="J122" s="8">
        <f>D122+G122</f>
        <v/>
      </c>
      <c r="K122" s="8">
        <f>E122+H122</f>
        <v/>
      </c>
      <c r="L122" s="8">
        <f>J122+K122</f>
        <v/>
      </c>
      <c r="M122" s="9">
        <f>IF(C122=0,0,L122/C122*100)</f>
        <v/>
      </c>
    </row>
    <row r="123">
      <c r="A123" s="7" t="n">
        <v>7</v>
      </c>
      <c r="B123" s="8">
        <f>B11</f>
        <v/>
      </c>
      <c r="C123" s="8">
        <f>C11</f>
        <v/>
      </c>
      <c r="D123" s="14" t="n"/>
      <c r="E123" s="14" t="n"/>
      <c r="F123" s="8">
        <f>D123+E123</f>
        <v/>
      </c>
      <c r="G123" s="14" t="n"/>
      <c r="H123" s="14" t="n"/>
      <c r="I123" s="8">
        <f>G123+H123</f>
        <v/>
      </c>
      <c r="J123" s="8">
        <f>D123+G123</f>
        <v/>
      </c>
      <c r="K123" s="8">
        <f>E123+H123</f>
        <v/>
      </c>
      <c r="L123" s="8">
        <f>J123+K123</f>
        <v/>
      </c>
      <c r="M123" s="9">
        <f>IF(C123=0,0,L123/C123*100)</f>
        <v/>
      </c>
    </row>
    <row r="124">
      <c r="A124" s="7" t="n">
        <v>8</v>
      </c>
      <c r="B124" s="8">
        <f>B12</f>
        <v/>
      </c>
      <c r="C124" s="8">
        <f>C12</f>
        <v/>
      </c>
      <c r="D124" s="14" t="n"/>
      <c r="E124" s="14" t="n"/>
      <c r="F124" s="8">
        <f>D124+E124</f>
        <v/>
      </c>
      <c r="G124" s="14" t="n"/>
      <c r="H124" s="14" t="n"/>
      <c r="I124" s="8">
        <f>G124+H124</f>
        <v/>
      </c>
      <c r="J124" s="8">
        <f>D124+G124</f>
        <v/>
      </c>
      <c r="K124" s="8">
        <f>E124+H124</f>
        <v/>
      </c>
      <c r="L124" s="8">
        <f>J124+K124</f>
        <v/>
      </c>
      <c r="M124" s="9">
        <f>IF(C124=0,0,L124/C124*100)</f>
        <v/>
      </c>
    </row>
    <row r="125">
      <c r="A125" s="7" t="n">
        <v>9</v>
      </c>
      <c r="B125" s="8">
        <f>B13</f>
        <v/>
      </c>
      <c r="C125" s="8">
        <f>C13</f>
        <v/>
      </c>
      <c r="D125" s="14" t="n"/>
      <c r="E125" s="14" t="n"/>
      <c r="F125" s="8">
        <f>D125+E125</f>
        <v/>
      </c>
      <c r="G125" s="14" t="n"/>
      <c r="H125" s="14" t="n"/>
      <c r="I125" s="8">
        <f>G125+H125</f>
        <v/>
      </c>
      <c r="J125" s="8">
        <f>D125+G125</f>
        <v/>
      </c>
      <c r="K125" s="8">
        <f>E125+H125</f>
        <v/>
      </c>
      <c r="L125" s="8">
        <f>J125+K125</f>
        <v/>
      </c>
      <c r="M125" s="9">
        <f>IF(C125=0,0,L125/C125*100)</f>
        <v/>
      </c>
    </row>
    <row r="126">
      <c r="A126" s="7" t="n">
        <v>10</v>
      </c>
      <c r="B126" s="8">
        <f>B14</f>
        <v/>
      </c>
      <c r="C126" s="8">
        <f>C14</f>
        <v/>
      </c>
      <c r="D126" s="14" t="n"/>
      <c r="E126" s="14" t="n"/>
      <c r="F126" s="8">
        <f>D126+E126</f>
        <v/>
      </c>
      <c r="G126" s="14" t="n"/>
      <c r="H126" s="14" t="n"/>
      <c r="I126" s="8">
        <f>G126+H126</f>
        <v/>
      </c>
      <c r="J126" s="8">
        <f>D126+G126</f>
        <v/>
      </c>
      <c r="K126" s="8">
        <f>E126+H126</f>
        <v/>
      </c>
      <c r="L126" s="8">
        <f>J126+K126</f>
        <v/>
      </c>
      <c r="M126" s="9">
        <f>IF(C126=0,0,L126/C126*100)</f>
        <v/>
      </c>
    </row>
    <row r="127">
      <c r="A127" s="10" t="inlineStr">
        <is>
          <t>Total</t>
        </is>
      </c>
      <c r="B127" s="11">
        <f>SUM(B117:B126)</f>
        <v/>
      </c>
      <c r="C127" s="11">
        <f>SUM(C117:C126)</f>
        <v/>
      </c>
      <c r="D127" s="11">
        <f>SUM(D117:D126)</f>
        <v/>
      </c>
      <c r="E127" s="11">
        <f>SUM(E117:E126)</f>
        <v/>
      </c>
      <c r="F127" s="11">
        <f>D127+E127</f>
        <v/>
      </c>
      <c r="G127" s="11">
        <f>SUM(G117:G126)</f>
        <v/>
      </c>
      <c r="H127" s="11">
        <f>SUM(H117:H126)</f>
        <v/>
      </c>
      <c r="I127" s="11">
        <f>G127+H127</f>
        <v/>
      </c>
      <c r="J127" s="11">
        <f>D127+G127</f>
        <v/>
      </c>
      <c r="K127" s="11">
        <f>E127+H127</f>
        <v/>
      </c>
      <c r="L127" s="11">
        <f>J127+K127</f>
        <v/>
      </c>
      <c r="M127" s="12">
        <f>IF(C127=0,0,L127/C127*100)</f>
        <v/>
      </c>
    </row>
    <row r="129">
      <c r="A129" s="13" t="inlineStr">
        <is>
          <t>Day 8 - 2026-10-12 (Mon 26 Aswin 2083)</t>
        </is>
      </c>
    </row>
    <row r="130">
      <c r="A130" s="6" t="inlineStr">
        <is>
          <t>Ward no.</t>
        </is>
      </c>
      <c r="B130" s="6" t="inlineStr">
        <is>
          <t>Total population</t>
        </is>
      </c>
      <c r="C130" s="6" t="inlineStr">
        <is>
          <t>JE target population</t>
        </is>
      </c>
      <c r="D130" s="6" t="inlineStr">
        <is>
          <t>Vaccinated</t>
        </is>
      </c>
      <c r="E130" s="6" t="n"/>
      <c r="F130" s="6" t="n"/>
      <c r="G130" s="6" t="n"/>
      <c r="H130" s="6" t="n"/>
      <c r="I130" s="6" t="n"/>
      <c r="J130" s="6" t="n"/>
      <c r="K130" s="6" t="n"/>
      <c r="L130" s="6" t="n"/>
      <c r="M130" s="6" t="inlineStr">
        <is>
          <t>Progress %</t>
        </is>
      </c>
    </row>
    <row r="131">
      <c r="A131" s="6" t="n"/>
      <c r="B131" s="6" t="n"/>
      <c r="C131" s="6" t="n"/>
      <c r="D131" s="6" t="inlineStr">
        <is>
          <t>Age 30-60 yrs</t>
        </is>
      </c>
      <c r="E131" s="6" t="n"/>
      <c r="F131" s="6" t="n"/>
      <c r="G131" s="6" t="inlineStr">
        <is>
          <t>Age 60 above</t>
        </is>
      </c>
      <c r="H131" s="6" t="n"/>
      <c r="I131" s="6" t="n"/>
      <c r="J131" s="6" t="inlineStr">
        <is>
          <t>Total</t>
        </is>
      </c>
      <c r="K131" s="6" t="n"/>
      <c r="L131" s="6" t="inlineStr">
        <is>
          <t>Grand Total</t>
        </is>
      </c>
      <c r="M131" s="6" t="n"/>
    </row>
    <row r="132">
      <c r="A132" s="6" t="n"/>
      <c r="B132" s="6" t="n"/>
      <c r="C132" s="6" t="n"/>
      <c r="D132" s="6" t="inlineStr">
        <is>
          <t>F</t>
        </is>
      </c>
      <c r="E132" s="6" t="inlineStr">
        <is>
          <t>M</t>
        </is>
      </c>
      <c r="F132" s="6" t="inlineStr">
        <is>
          <t>Total</t>
        </is>
      </c>
      <c r="G132" s="6" t="inlineStr">
        <is>
          <t>F</t>
        </is>
      </c>
      <c r="H132" s="6" t="inlineStr">
        <is>
          <t>M</t>
        </is>
      </c>
      <c r="I132" s="6" t="inlineStr">
        <is>
          <t>Total</t>
        </is>
      </c>
      <c r="J132" s="6" t="inlineStr">
        <is>
          <t>F</t>
        </is>
      </c>
      <c r="K132" s="6" t="inlineStr">
        <is>
          <t>M</t>
        </is>
      </c>
      <c r="L132" s="6" t="n"/>
      <c r="M132" s="6" t="n"/>
    </row>
    <row r="133">
      <c r="A133" s="7" t="n">
        <v>1</v>
      </c>
      <c r="B133" s="8">
        <f>B5</f>
        <v/>
      </c>
      <c r="C133" s="8">
        <f>C5</f>
        <v/>
      </c>
      <c r="D133" s="14" t="n"/>
      <c r="E133" s="14" t="n"/>
      <c r="F133" s="8">
        <f>D133+E133</f>
        <v/>
      </c>
      <c r="G133" s="14" t="n"/>
      <c r="H133" s="14" t="n"/>
      <c r="I133" s="8">
        <f>G133+H133</f>
        <v/>
      </c>
      <c r="J133" s="8">
        <f>D133+G133</f>
        <v/>
      </c>
      <c r="K133" s="8">
        <f>E133+H133</f>
        <v/>
      </c>
      <c r="L133" s="8">
        <f>J133+K133</f>
        <v/>
      </c>
      <c r="M133" s="9">
        <f>IF(C133=0,0,L133/C133*100)</f>
        <v/>
      </c>
    </row>
    <row r="134">
      <c r="A134" s="7" t="n">
        <v>2</v>
      </c>
      <c r="B134" s="8">
        <f>B6</f>
        <v/>
      </c>
      <c r="C134" s="8">
        <f>C6</f>
        <v/>
      </c>
      <c r="D134" s="14" t="n"/>
      <c r="E134" s="14" t="n"/>
      <c r="F134" s="8">
        <f>D134+E134</f>
        <v/>
      </c>
      <c r="G134" s="14" t="n"/>
      <c r="H134" s="14" t="n"/>
      <c r="I134" s="8">
        <f>G134+H134</f>
        <v/>
      </c>
      <c r="J134" s="8">
        <f>D134+G134</f>
        <v/>
      </c>
      <c r="K134" s="8">
        <f>E134+H134</f>
        <v/>
      </c>
      <c r="L134" s="8">
        <f>J134+K134</f>
        <v/>
      </c>
      <c r="M134" s="9">
        <f>IF(C134=0,0,L134/C134*100)</f>
        <v/>
      </c>
    </row>
    <row r="135">
      <c r="A135" s="7" t="n">
        <v>3</v>
      </c>
      <c r="B135" s="8">
        <f>B7</f>
        <v/>
      </c>
      <c r="C135" s="8">
        <f>C7</f>
        <v/>
      </c>
      <c r="D135" s="14" t="n"/>
      <c r="E135" s="14" t="n"/>
      <c r="F135" s="8">
        <f>D135+E135</f>
        <v/>
      </c>
      <c r="G135" s="14" t="n"/>
      <c r="H135" s="14" t="n"/>
      <c r="I135" s="8">
        <f>G135+H135</f>
        <v/>
      </c>
      <c r="J135" s="8">
        <f>D135+G135</f>
        <v/>
      </c>
      <c r="K135" s="8">
        <f>E135+H135</f>
        <v/>
      </c>
      <c r="L135" s="8">
        <f>J135+K135</f>
        <v/>
      </c>
      <c r="M135" s="9">
        <f>IF(C135=0,0,L135/C135*100)</f>
        <v/>
      </c>
    </row>
    <row r="136">
      <c r="A136" s="7" t="n">
        <v>4</v>
      </c>
      <c r="B136" s="8">
        <f>B8</f>
        <v/>
      </c>
      <c r="C136" s="8">
        <f>C8</f>
        <v/>
      </c>
      <c r="D136" s="14" t="n"/>
      <c r="E136" s="14" t="n"/>
      <c r="F136" s="8">
        <f>D136+E136</f>
        <v/>
      </c>
      <c r="G136" s="14" t="n"/>
      <c r="H136" s="14" t="n"/>
      <c r="I136" s="8">
        <f>G136+H136</f>
        <v/>
      </c>
      <c r="J136" s="8">
        <f>D136+G136</f>
        <v/>
      </c>
      <c r="K136" s="8">
        <f>E136+H136</f>
        <v/>
      </c>
      <c r="L136" s="8">
        <f>J136+K136</f>
        <v/>
      </c>
      <c r="M136" s="9">
        <f>IF(C136=0,0,L136/C136*100)</f>
        <v/>
      </c>
    </row>
    <row r="137">
      <c r="A137" s="7" t="n">
        <v>5</v>
      </c>
      <c r="B137" s="8">
        <f>B9</f>
        <v/>
      </c>
      <c r="C137" s="8">
        <f>C9</f>
        <v/>
      </c>
      <c r="D137" s="14" t="n"/>
      <c r="E137" s="14" t="n"/>
      <c r="F137" s="8">
        <f>D137+E137</f>
        <v/>
      </c>
      <c r="G137" s="14" t="n"/>
      <c r="H137" s="14" t="n"/>
      <c r="I137" s="8">
        <f>G137+H137</f>
        <v/>
      </c>
      <c r="J137" s="8">
        <f>D137+G137</f>
        <v/>
      </c>
      <c r="K137" s="8">
        <f>E137+H137</f>
        <v/>
      </c>
      <c r="L137" s="8">
        <f>J137+K137</f>
        <v/>
      </c>
      <c r="M137" s="9">
        <f>IF(C137=0,0,L137/C137*100)</f>
        <v/>
      </c>
    </row>
    <row r="138">
      <c r="A138" s="7" t="n">
        <v>6</v>
      </c>
      <c r="B138" s="8">
        <f>B10</f>
        <v/>
      </c>
      <c r="C138" s="8">
        <f>C10</f>
        <v/>
      </c>
      <c r="D138" s="14" t="n"/>
      <c r="E138" s="14" t="n"/>
      <c r="F138" s="8">
        <f>D138+E138</f>
        <v/>
      </c>
      <c r="G138" s="14" t="n"/>
      <c r="H138" s="14" t="n"/>
      <c r="I138" s="8">
        <f>G138+H138</f>
        <v/>
      </c>
      <c r="J138" s="8">
        <f>D138+G138</f>
        <v/>
      </c>
      <c r="K138" s="8">
        <f>E138+H138</f>
        <v/>
      </c>
      <c r="L138" s="8">
        <f>J138+K138</f>
        <v/>
      </c>
      <c r="M138" s="9">
        <f>IF(C138=0,0,L138/C138*100)</f>
        <v/>
      </c>
    </row>
    <row r="139">
      <c r="A139" s="7" t="n">
        <v>7</v>
      </c>
      <c r="B139" s="8">
        <f>B11</f>
        <v/>
      </c>
      <c r="C139" s="8">
        <f>C11</f>
        <v/>
      </c>
      <c r="D139" s="14" t="n"/>
      <c r="E139" s="14" t="n"/>
      <c r="F139" s="8">
        <f>D139+E139</f>
        <v/>
      </c>
      <c r="G139" s="14" t="n"/>
      <c r="H139" s="14" t="n"/>
      <c r="I139" s="8">
        <f>G139+H139</f>
        <v/>
      </c>
      <c r="J139" s="8">
        <f>D139+G139</f>
        <v/>
      </c>
      <c r="K139" s="8">
        <f>E139+H139</f>
        <v/>
      </c>
      <c r="L139" s="8">
        <f>J139+K139</f>
        <v/>
      </c>
      <c r="M139" s="9">
        <f>IF(C139=0,0,L139/C139*100)</f>
        <v/>
      </c>
    </row>
    <row r="140">
      <c r="A140" s="7" t="n">
        <v>8</v>
      </c>
      <c r="B140" s="8">
        <f>B12</f>
        <v/>
      </c>
      <c r="C140" s="8">
        <f>C12</f>
        <v/>
      </c>
      <c r="D140" s="14" t="n"/>
      <c r="E140" s="14" t="n"/>
      <c r="F140" s="8">
        <f>D140+E140</f>
        <v/>
      </c>
      <c r="G140" s="14" t="n"/>
      <c r="H140" s="14" t="n"/>
      <c r="I140" s="8">
        <f>G140+H140</f>
        <v/>
      </c>
      <c r="J140" s="8">
        <f>D140+G140</f>
        <v/>
      </c>
      <c r="K140" s="8">
        <f>E140+H140</f>
        <v/>
      </c>
      <c r="L140" s="8">
        <f>J140+K140</f>
        <v/>
      </c>
      <c r="M140" s="9">
        <f>IF(C140=0,0,L140/C140*100)</f>
        <v/>
      </c>
    </row>
    <row r="141">
      <c r="A141" s="7" t="n">
        <v>9</v>
      </c>
      <c r="B141" s="8">
        <f>B13</f>
        <v/>
      </c>
      <c r="C141" s="8">
        <f>C13</f>
        <v/>
      </c>
      <c r="D141" s="14" t="n"/>
      <c r="E141" s="14" t="n"/>
      <c r="F141" s="8">
        <f>D141+E141</f>
        <v/>
      </c>
      <c r="G141" s="14" t="n"/>
      <c r="H141" s="14" t="n"/>
      <c r="I141" s="8">
        <f>G141+H141</f>
        <v/>
      </c>
      <c r="J141" s="8">
        <f>D141+G141</f>
        <v/>
      </c>
      <c r="K141" s="8">
        <f>E141+H141</f>
        <v/>
      </c>
      <c r="L141" s="8">
        <f>J141+K141</f>
        <v/>
      </c>
      <c r="M141" s="9">
        <f>IF(C141=0,0,L141/C141*100)</f>
        <v/>
      </c>
    </row>
    <row r="142">
      <c r="A142" s="7" t="n">
        <v>10</v>
      </c>
      <c r="B142" s="8">
        <f>B14</f>
        <v/>
      </c>
      <c r="C142" s="8">
        <f>C14</f>
        <v/>
      </c>
      <c r="D142" s="14" t="n"/>
      <c r="E142" s="14" t="n"/>
      <c r="F142" s="8">
        <f>D142+E142</f>
        <v/>
      </c>
      <c r="G142" s="14" t="n"/>
      <c r="H142" s="14" t="n"/>
      <c r="I142" s="8">
        <f>G142+H142</f>
        <v/>
      </c>
      <c r="J142" s="8">
        <f>D142+G142</f>
        <v/>
      </c>
      <c r="K142" s="8">
        <f>E142+H142</f>
        <v/>
      </c>
      <c r="L142" s="8">
        <f>J142+K142</f>
        <v/>
      </c>
      <c r="M142" s="9">
        <f>IF(C142=0,0,L142/C142*100)</f>
        <v/>
      </c>
    </row>
    <row r="143">
      <c r="A143" s="10" t="inlineStr">
        <is>
          <t>Total</t>
        </is>
      </c>
      <c r="B143" s="11">
        <f>SUM(B133:B142)</f>
        <v/>
      </c>
      <c r="C143" s="11">
        <f>SUM(C133:C142)</f>
        <v/>
      </c>
      <c r="D143" s="11">
        <f>SUM(D133:D142)</f>
        <v/>
      </c>
      <c r="E143" s="11">
        <f>SUM(E133:E142)</f>
        <v/>
      </c>
      <c r="F143" s="11">
        <f>D143+E143</f>
        <v/>
      </c>
      <c r="G143" s="11">
        <f>SUM(G133:G142)</f>
        <v/>
      </c>
      <c r="H143" s="11">
        <f>SUM(H133:H142)</f>
        <v/>
      </c>
      <c r="I143" s="11">
        <f>G143+H143</f>
        <v/>
      </c>
      <c r="J143" s="11">
        <f>D143+G143</f>
        <v/>
      </c>
      <c r="K143" s="11">
        <f>E143+H143</f>
        <v/>
      </c>
      <c r="L143" s="11">
        <f>J143+K143</f>
        <v/>
      </c>
      <c r="M143" s="12">
        <f>IF(C143=0,0,L143/C143*100)</f>
        <v/>
      </c>
    </row>
    <row r="145">
      <c r="A145" s="13" t="inlineStr">
        <is>
          <t>Day 9 - 2026-10-13 (Tue 27 Aswin 2083)</t>
        </is>
      </c>
    </row>
    <row r="146">
      <c r="A146" s="6" t="inlineStr">
        <is>
          <t>Ward no.</t>
        </is>
      </c>
      <c r="B146" s="6" t="inlineStr">
        <is>
          <t>Total population</t>
        </is>
      </c>
      <c r="C146" s="6" t="inlineStr">
        <is>
          <t>JE target population</t>
        </is>
      </c>
      <c r="D146" s="6" t="inlineStr">
        <is>
          <t>Vaccinated</t>
        </is>
      </c>
      <c r="E146" s="6" t="n"/>
      <c r="F146" s="6" t="n"/>
      <c r="G146" s="6" t="n"/>
      <c r="H146" s="6" t="n"/>
      <c r="I146" s="6" t="n"/>
      <c r="J146" s="6" t="n"/>
      <c r="K146" s="6" t="n"/>
      <c r="L146" s="6" t="n"/>
      <c r="M146" s="6" t="inlineStr">
        <is>
          <t>Progress %</t>
        </is>
      </c>
    </row>
    <row r="147">
      <c r="A147" s="6" t="n"/>
      <c r="B147" s="6" t="n"/>
      <c r="C147" s="6" t="n"/>
      <c r="D147" s="6" t="inlineStr">
        <is>
          <t>Age 30-60 yrs</t>
        </is>
      </c>
      <c r="E147" s="6" t="n"/>
      <c r="F147" s="6" t="n"/>
      <c r="G147" s="6" t="inlineStr">
        <is>
          <t>Age 60 above</t>
        </is>
      </c>
      <c r="H147" s="6" t="n"/>
      <c r="I147" s="6" t="n"/>
      <c r="J147" s="6" t="inlineStr">
        <is>
          <t>Total</t>
        </is>
      </c>
      <c r="K147" s="6" t="n"/>
      <c r="L147" s="6" t="inlineStr">
        <is>
          <t>Grand Total</t>
        </is>
      </c>
      <c r="M147" s="6" t="n"/>
    </row>
    <row r="148">
      <c r="A148" s="6" t="n"/>
      <c r="B148" s="6" t="n"/>
      <c r="C148" s="6" t="n"/>
      <c r="D148" s="6" t="inlineStr">
        <is>
          <t>F</t>
        </is>
      </c>
      <c r="E148" s="6" t="inlineStr">
        <is>
          <t>M</t>
        </is>
      </c>
      <c r="F148" s="6" t="inlineStr">
        <is>
          <t>Total</t>
        </is>
      </c>
      <c r="G148" s="6" t="inlineStr">
        <is>
          <t>F</t>
        </is>
      </c>
      <c r="H148" s="6" t="inlineStr">
        <is>
          <t>M</t>
        </is>
      </c>
      <c r="I148" s="6" t="inlineStr">
        <is>
          <t>Total</t>
        </is>
      </c>
      <c r="J148" s="6" t="inlineStr">
        <is>
          <t>F</t>
        </is>
      </c>
      <c r="K148" s="6" t="inlineStr">
        <is>
          <t>M</t>
        </is>
      </c>
      <c r="L148" s="6" t="n"/>
      <c r="M148" s="6" t="n"/>
    </row>
    <row r="149">
      <c r="A149" s="7" t="n">
        <v>1</v>
      </c>
      <c r="B149" s="8">
        <f>B5</f>
        <v/>
      </c>
      <c r="C149" s="8">
        <f>C5</f>
        <v/>
      </c>
      <c r="D149" s="14" t="n"/>
      <c r="E149" s="14" t="n"/>
      <c r="F149" s="8">
        <f>D149+E149</f>
        <v/>
      </c>
      <c r="G149" s="14" t="n"/>
      <c r="H149" s="14" t="n"/>
      <c r="I149" s="8">
        <f>G149+H149</f>
        <v/>
      </c>
      <c r="J149" s="8">
        <f>D149+G149</f>
        <v/>
      </c>
      <c r="K149" s="8">
        <f>E149+H149</f>
        <v/>
      </c>
      <c r="L149" s="8">
        <f>J149+K149</f>
        <v/>
      </c>
      <c r="M149" s="9">
        <f>IF(C149=0,0,L149/C149*100)</f>
        <v/>
      </c>
    </row>
    <row r="150">
      <c r="A150" s="7" t="n">
        <v>2</v>
      </c>
      <c r="B150" s="8">
        <f>B6</f>
        <v/>
      </c>
      <c r="C150" s="8">
        <f>C6</f>
        <v/>
      </c>
      <c r="D150" s="14" t="n"/>
      <c r="E150" s="14" t="n"/>
      <c r="F150" s="8">
        <f>D150+E150</f>
        <v/>
      </c>
      <c r="G150" s="14" t="n"/>
      <c r="H150" s="14" t="n"/>
      <c r="I150" s="8">
        <f>G150+H150</f>
        <v/>
      </c>
      <c r="J150" s="8">
        <f>D150+G150</f>
        <v/>
      </c>
      <c r="K150" s="8">
        <f>E150+H150</f>
        <v/>
      </c>
      <c r="L150" s="8">
        <f>J150+K150</f>
        <v/>
      </c>
      <c r="M150" s="9">
        <f>IF(C150=0,0,L150/C150*100)</f>
        <v/>
      </c>
    </row>
    <row r="151">
      <c r="A151" s="7" t="n">
        <v>3</v>
      </c>
      <c r="B151" s="8">
        <f>B7</f>
        <v/>
      </c>
      <c r="C151" s="8">
        <f>C7</f>
        <v/>
      </c>
      <c r="D151" s="14" t="n"/>
      <c r="E151" s="14" t="n"/>
      <c r="F151" s="8">
        <f>D151+E151</f>
        <v/>
      </c>
      <c r="G151" s="14" t="n"/>
      <c r="H151" s="14" t="n"/>
      <c r="I151" s="8">
        <f>G151+H151</f>
        <v/>
      </c>
      <c r="J151" s="8">
        <f>D151+G151</f>
        <v/>
      </c>
      <c r="K151" s="8">
        <f>E151+H151</f>
        <v/>
      </c>
      <c r="L151" s="8">
        <f>J151+K151</f>
        <v/>
      </c>
      <c r="M151" s="9">
        <f>IF(C151=0,0,L151/C151*100)</f>
        <v/>
      </c>
    </row>
    <row r="152">
      <c r="A152" s="7" t="n">
        <v>4</v>
      </c>
      <c r="B152" s="8">
        <f>B8</f>
        <v/>
      </c>
      <c r="C152" s="8">
        <f>C8</f>
        <v/>
      </c>
      <c r="D152" s="14" t="n"/>
      <c r="E152" s="14" t="n"/>
      <c r="F152" s="8">
        <f>D152+E152</f>
        <v/>
      </c>
      <c r="G152" s="14" t="n"/>
      <c r="H152" s="14" t="n"/>
      <c r="I152" s="8">
        <f>G152+H152</f>
        <v/>
      </c>
      <c r="J152" s="8">
        <f>D152+G152</f>
        <v/>
      </c>
      <c r="K152" s="8">
        <f>E152+H152</f>
        <v/>
      </c>
      <c r="L152" s="8">
        <f>J152+K152</f>
        <v/>
      </c>
      <c r="M152" s="9">
        <f>IF(C152=0,0,L152/C152*100)</f>
        <v/>
      </c>
    </row>
    <row r="153">
      <c r="A153" s="7" t="n">
        <v>5</v>
      </c>
      <c r="B153" s="8">
        <f>B9</f>
        <v/>
      </c>
      <c r="C153" s="8">
        <f>C9</f>
        <v/>
      </c>
      <c r="D153" s="14" t="n"/>
      <c r="E153" s="14" t="n"/>
      <c r="F153" s="8">
        <f>D153+E153</f>
        <v/>
      </c>
      <c r="G153" s="14" t="n"/>
      <c r="H153" s="14" t="n"/>
      <c r="I153" s="8">
        <f>G153+H153</f>
        <v/>
      </c>
      <c r="J153" s="8">
        <f>D153+G153</f>
        <v/>
      </c>
      <c r="K153" s="8">
        <f>E153+H153</f>
        <v/>
      </c>
      <c r="L153" s="8">
        <f>J153+K153</f>
        <v/>
      </c>
      <c r="M153" s="9">
        <f>IF(C153=0,0,L153/C153*100)</f>
        <v/>
      </c>
    </row>
    <row r="154">
      <c r="A154" s="7" t="n">
        <v>6</v>
      </c>
      <c r="B154" s="8">
        <f>B10</f>
        <v/>
      </c>
      <c r="C154" s="8">
        <f>C10</f>
        <v/>
      </c>
      <c r="D154" s="14" t="n"/>
      <c r="E154" s="14" t="n"/>
      <c r="F154" s="8">
        <f>D154+E154</f>
        <v/>
      </c>
      <c r="G154" s="14" t="n"/>
      <c r="H154" s="14" t="n"/>
      <c r="I154" s="8">
        <f>G154+H154</f>
        <v/>
      </c>
      <c r="J154" s="8">
        <f>D154+G154</f>
        <v/>
      </c>
      <c r="K154" s="8">
        <f>E154+H154</f>
        <v/>
      </c>
      <c r="L154" s="8">
        <f>J154+K154</f>
        <v/>
      </c>
      <c r="M154" s="9">
        <f>IF(C154=0,0,L154/C154*100)</f>
        <v/>
      </c>
    </row>
    <row r="155">
      <c r="A155" s="7" t="n">
        <v>7</v>
      </c>
      <c r="B155" s="8">
        <f>B11</f>
        <v/>
      </c>
      <c r="C155" s="8">
        <f>C11</f>
        <v/>
      </c>
      <c r="D155" s="14" t="n"/>
      <c r="E155" s="14" t="n"/>
      <c r="F155" s="8">
        <f>D155+E155</f>
        <v/>
      </c>
      <c r="G155" s="14" t="n"/>
      <c r="H155" s="14" t="n"/>
      <c r="I155" s="8">
        <f>G155+H155</f>
        <v/>
      </c>
      <c r="J155" s="8">
        <f>D155+G155</f>
        <v/>
      </c>
      <c r="K155" s="8">
        <f>E155+H155</f>
        <v/>
      </c>
      <c r="L155" s="8">
        <f>J155+K155</f>
        <v/>
      </c>
      <c r="M155" s="9">
        <f>IF(C155=0,0,L155/C155*100)</f>
        <v/>
      </c>
    </row>
    <row r="156">
      <c r="A156" s="7" t="n">
        <v>8</v>
      </c>
      <c r="B156" s="8">
        <f>B12</f>
        <v/>
      </c>
      <c r="C156" s="8">
        <f>C12</f>
        <v/>
      </c>
      <c r="D156" s="14" t="n"/>
      <c r="E156" s="14" t="n"/>
      <c r="F156" s="8">
        <f>D156+E156</f>
        <v/>
      </c>
      <c r="G156" s="14" t="n"/>
      <c r="H156" s="14" t="n"/>
      <c r="I156" s="8">
        <f>G156+H156</f>
        <v/>
      </c>
      <c r="J156" s="8">
        <f>D156+G156</f>
        <v/>
      </c>
      <c r="K156" s="8">
        <f>E156+H156</f>
        <v/>
      </c>
      <c r="L156" s="8">
        <f>J156+K156</f>
        <v/>
      </c>
      <c r="M156" s="9">
        <f>IF(C156=0,0,L156/C156*100)</f>
        <v/>
      </c>
    </row>
    <row r="157">
      <c r="A157" s="7" t="n">
        <v>9</v>
      </c>
      <c r="B157" s="8">
        <f>B13</f>
        <v/>
      </c>
      <c r="C157" s="8">
        <f>C13</f>
        <v/>
      </c>
      <c r="D157" s="14" t="n"/>
      <c r="E157" s="14" t="n"/>
      <c r="F157" s="8">
        <f>D157+E157</f>
        <v/>
      </c>
      <c r="G157" s="14" t="n"/>
      <c r="H157" s="14" t="n"/>
      <c r="I157" s="8">
        <f>G157+H157</f>
        <v/>
      </c>
      <c r="J157" s="8">
        <f>D157+G157</f>
        <v/>
      </c>
      <c r="K157" s="8">
        <f>E157+H157</f>
        <v/>
      </c>
      <c r="L157" s="8">
        <f>J157+K157</f>
        <v/>
      </c>
      <c r="M157" s="9">
        <f>IF(C157=0,0,L157/C157*100)</f>
        <v/>
      </c>
    </row>
    <row r="158">
      <c r="A158" s="7" t="n">
        <v>10</v>
      </c>
      <c r="B158" s="8">
        <f>B14</f>
        <v/>
      </c>
      <c r="C158" s="8">
        <f>C14</f>
        <v/>
      </c>
      <c r="D158" s="14" t="n"/>
      <c r="E158" s="14" t="n"/>
      <c r="F158" s="8">
        <f>D158+E158</f>
        <v/>
      </c>
      <c r="G158" s="14" t="n"/>
      <c r="H158" s="14" t="n"/>
      <c r="I158" s="8">
        <f>G158+H158</f>
        <v/>
      </c>
      <c r="J158" s="8">
        <f>D158+G158</f>
        <v/>
      </c>
      <c r="K158" s="8">
        <f>E158+H158</f>
        <v/>
      </c>
      <c r="L158" s="8">
        <f>J158+K158</f>
        <v/>
      </c>
      <c r="M158" s="9">
        <f>IF(C158=0,0,L158/C158*100)</f>
        <v/>
      </c>
    </row>
    <row r="159">
      <c r="A159" s="10" t="inlineStr">
        <is>
          <t>Total</t>
        </is>
      </c>
      <c r="B159" s="11">
        <f>SUM(B149:B158)</f>
        <v/>
      </c>
      <c r="C159" s="11">
        <f>SUM(C149:C158)</f>
        <v/>
      </c>
      <c r="D159" s="11">
        <f>SUM(D149:D158)</f>
        <v/>
      </c>
      <c r="E159" s="11">
        <f>SUM(E149:E158)</f>
        <v/>
      </c>
      <c r="F159" s="11">
        <f>D159+E159</f>
        <v/>
      </c>
      <c r="G159" s="11">
        <f>SUM(G149:G158)</f>
        <v/>
      </c>
      <c r="H159" s="11">
        <f>SUM(H149:H158)</f>
        <v/>
      </c>
      <c r="I159" s="11">
        <f>G159+H159</f>
        <v/>
      </c>
      <c r="J159" s="11">
        <f>D159+G159</f>
        <v/>
      </c>
      <c r="K159" s="11">
        <f>E159+H159</f>
        <v/>
      </c>
      <c r="L159" s="11">
        <f>J159+K159</f>
        <v/>
      </c>
      <c r="M159" s="12">
        <f>IF(C159=0,0,L159/C159*100)</f>
        <v/>
      </c>
    </row>
    <row r="161">
      <c r="A161" s="13" t="inlineStr">
        <is>
          <t>Day 10 - 2026-10-14 (Wed 28 Aswin 2083)</t>
        </is>
      </c>
    </row>
    <row r="162">
      <c r="A162" s="6" t="inlineStr">
        <is>
          <t>Ward no.</t>
        </is>
      </c>
      <c r="B162" s="6" t="inlineStr">
        <is>
          <t>Total population</t>
        </is>
      </c>
      <c r="C162" s="6" t="inlineStr">
        <is>
          <t>JE target population</t>
        </is>
      </c>
      <c r="D162" s="6" t="inlineStr">
        <is>
          <t>Vaccinated</t>
        </is>
      </c>
      <c r="E162" s="6" t="n"/>
      <c r="F162" s="6" t="n"/>
      <c r="G162" s="6" t="n"/>
      <c r="H162" s="6" t="n"/>
      <c r="I162" s="6" t="n"/>
      <c r="J162" s="6" t="n"/>
      <c r="K162" s="6" t="n"/>
      <c r="L162" s="6" t="n"/>
      <c r="M162" s="6" t="inlineStr">
        <is>
          <t>Progress %</t>
        </is>
      </c>
    </row>
    <row r="163">
      <c r="A163" s="6" t="n"/>
      <c r="B163" s="6" t="n"/>
      <c r="C163" s="6" t="n"/>
      <c r="D163" s="6" t="inlineStr">
        <is>
          <t>Age 30-60 yrs</t>
        </is>
      </c>
      <c r="E163" s="6" t="n"/>
      <c r="F163" s="6" t="n"/>
      <c r="G163" s="6" t="inlineStr">
        <is>
          <t>Age 60 above</t>
        </is>
      </c>
      <c r="H163" s="6" t="n"/>
      <c r="I163" s="6" t="n"/>
      <c r="J163" s="6" t="inlineStr">
        <is>
          <t>Total</t>
        </is>
      </c>
      <c r="K163" s="6" t="n"/>
      <c r="L163" s="6" t="inlineStr">
        <is>
          <t>Grand Total</t>
        </is>
      </c>
      <c r="M163" s="6" t="n"/>
    </row>
    <row r="164">
      <c r="A164" s="6" t="n"/>
      <c r="B164" s="6" t="n"/>
      <c r="C164" s="6" t="n"/>
      <c r="D164" s="6" t="inlineStr">
        <is>
          <t>F</t>
        </is>
      </c>
      <c r="E164" s="6" t="inlineStr">
        <is>
          <t>M</t>
        </is>
      </c>
      <c r="F164" s="6" t="inlineStr">
        <is>
          <t>Total</t>
        </is>
      </c>
      <c r="G164" s="6" t="inlineStr">
        <is>
          <t>F</t>
        </is>
      </c>
      <c r="H164" s="6" t="inlineStr">
        <is>
          <t>M</t>
        </is>
      </c>
      <c r="I164" s="6" t="inlineStr">
        <is>
          <t>Total</t>
        </is>
      </c>
      <c r="J164" s="6" t="inlineStr">
        <is>
          <t>F</t>
        </is>
      </c>
      <c r="K164" s="6" t="inlineStr">
        <is>
          <t>M</t>
        </is>
      </c>
      <c r="L164" s="6" t="n"/>
      <c r="M164" s="6" t="n"/>
    </row>
    <row r="165">
      <c r="A165" s="7" t="n">
        <v>1</v>
      </c>
      <c r="B165" s="8">
        <f>B5</f>
        <v/>
      </c>
      <c r="C165" s="8">
        <f>C5</f>
        <v/>
      </c>
      <c r="D165" s="14" t="n"/>
      <c r="E165" s="14" t="n"/>
      <c r="F165" s="8">
        <f>D165+E165</f>
        <v/>
      </c>
      <c r="G165" s="14" t="n"/>
      <c r="H165" s="14" t="n"/>
      <c r="I165" s="8">
        <f>G165+H165</f>
        <v/>
      </c>
      <c r="J165" s="8">
        <f>D165+G165</f>
        <v/>
      </c>
      <c r="K165" s="8">
        <f>E165+H165</f>
        <v/>
      </c>
      <c r="L165" s="8">
        <f>J165+K165</f>
        <v/>
      </c>
      <c r="M165" s="9">
        <f>IF(C165=0,0,L165/C165*100)</f>
        <v/>
      </c>
    </row>
    <row r="166">
      <c r="A166" s="7" t="n">
        <v>2</v>
      </c>
      <c r="B166" s="8">
        <f>B6</f>
        <v/>
      </c>
      <c r="C166" s="8">
        <f>C6</f>
        <v/>
      </c>
      <c r="D166" s="14" t="n"/>
      <c r="E166" s="14" t="n"/>
      <c r="F166" s="8">
        <f>D166+E166</f>
        <v/>
      </c>
      <c r="G166" s="14" t="n"/>
      <c r="H166" s="14" t="n"/>
      <c r="I166" s="8">
        <f>G166+H166</f>
        <v/>
      </c>
      <c r="J166" s="8">
        <f>D166+G166</f>
        <v/>
      </c>
      <c r="K166" s="8">
        <f>E166+H166</f>
        <v/>
      </c>
      <c r="L166" s="8">
        <f>J166+K166</f>
        <v/>
      </c>
      <c r="M166" s="9">
        <f>IF(C166=0,0,L166/C166*100)</f>
        <v/>
      </c>
    </row>
    <row r="167">
      <c r="A167" s="7" t="n">
        <v>3</v>
      </c>
      <c r="B167" s="8">
        <f>B7</f>
        <v/>
      </c>
      <c r="C167" s="8">
        <f>C7</f>
        <v/>
      </c>
      <c r="D167" s="14" t="n"/>
      <c r="E167" s="14" t="n"/>
      <c r="F167" s="8">
        <f>D167+E167</f>
        <v/>
      </c>
      <c r="G167" s="14" t="n"/>
      <c r="H167" s="14" t="n"/>
      <c r="I167" s="8">
        <f>G167+H167</f>
        <v/>
      </c>
      <c r="J167" s="8">
        <f>D167+G167</f>
        <v/>
      </c>
      <c r="K167" s="8">
        <f>E167+H167</f>
        <v/>
      </c>
      <c r="L167" s="8">
        <f>J167+K167</f>
        <v/>
      </c>
      <c r="M167" s="9">
        <f>IF(C167=0,0,L167/C167*100)</f>
        <v/>
      </c>
    </row>
    <row r="168">
      <c r="A168" s="7" t="n">
        <v>4</v>
      </c>
      <c r="B168" s="8">
        <f>B8</f>
        <v/>
      </c>
      <c r="C168" s="8">
        <f>C8</f>
        <v/>
      </c>
      <c r="D168" s="14" t="n"/>
      <c r="E168" s="14" t="n"/>
      <c r="F168" s="8">
        <f>D168+E168</f>
        <v/>
      </c>
      <c r="G168" s="14" t="n"/>
      <c r="H168" s="14" t="n"/>
      <c r="I168" s="8">
        <f>G168+H168</f>
        <v/>
      </c>
      <c r="J168" s="8">
        <f>D168+G168</f>
        <v/>
      </c>
      <c r="K168" s="8">
        <f>E168+H168</f>
        <v/>
      </c>
      <c r="L168" s="8">
        <f>J168+K168</f>
        <v/>
      </c>
      <c r="M168" s="9">
        <f>IF(C168=0,0,L168/C168*100)</f>
        <v/>
      </c>
    </row>
    <row r="169">
      <c r="A169" s="7" t="n">
        <v>5</v>
      </c>
      <c r="B169" s="8">
        <f>B9</f>
        <v/>
      </c>
      <c r="C169" s="8">
        <f>C9</f>
        <v/>
      </c>
      <c r="D169" s="14" t="n"/>
      <c r="E169" s="14" t="n"/>
      <c r="F169" s="8">
        <f>D169+E169</f>
        <v/>
      </c>
      <c r="G169" s="14" t="n"/>
      <c r="H169" s="14" t="n"/>
      <c r="I169" s="8">
        <f>G169+H169</f>
        <v/>
      </c>
      <c r="J169" s="8">
        <f>D169+G169</f>
        <v/>
      </c>
      <c r="K169" s="8">
        <f>E169+H169</f>
        <v/>
      </c>
      <c r="L169" s="8">
        <f>J169+K169</f>
        <v/>
      </c>
      <c r="M169" s="9">
        <f>IF(C169=0,0,L169/C169*100)</f>
        <v/>
      </c>
    </row>
    <row r="170">
      <c r="A170" s="7" t="n">
        <v>6</v>
      </c>
      <c r="B170" s="8">
        <f>B10</f>
        <v/>
      </c>
      <c r="C170" s="8">
        <f>C10</f>
        <v/>
      </c>
      <c r="D170" s="14" t="n"/>
      <c r="E170" s="14" t="n"/>
      <c r="F170" s="8">
        <f>D170+E170</f>
        <v/>
      </c>
      <c r="G170" s="14" t="n"/>
      <c r="H170" s="14" t="n"/>
      <c r="I170" s="8">
        <f>G170+H170</f>
        <v/>
      </c>
      <c r="J170" s="8">
        <f>D170+G170</f>
        <v/>
      </c>
      <c r="K170" s="8">
        <f>E170+H170</f>
        <v/>
      </c>
      <c r="L170" s="8">
        <f>J170+K170</f>
        <v/>
      </c>
      <c r="M170" s="9">
        <f>IF(C170=0,0,L170/C170*100)</f>
        <v/>
      </c>
    </row>
    <row r="171">
      <c r="A171" s="7" t="n">
        <v>7</v>
      </c>
      <c r="B171" s="8">
        <f>B11</f>
        <v/>
      </c>
      <c r="C171" s="8">
        <f>C11</f>
        <v/>
      </c>
      <c r="D171" s="14" t="n"/>
      <c r="E171" s="14" t="n"/>
      <c r="F171" s="8">
        <f>D171+E171</f>
        <v/>
      </c>
      <c r="G171" s="14" t="n"/>
      <c r="H171" s="14" t="n"/>
      <c r="I171" s="8">
        <f>G171+H171</f>
        <v/>
      </c>
      <c r="J171" s="8">
        <f>D171+G171</f>
        <v/>
      </c>
      <c r="K171" s="8">
        <f>E171+H171</f>
        <v/>
      </c>
      <c r="L171" s="8">
        <f>J171+K171</f>
        <v/>
      </c>
      <c r="M171" s="9">
        <f>IF(C171=0,0,L171/C171*100)</f>
        <v/>
      </c>
    </row>
    <row r="172">
      <c r="A172" s="7" t="n">
        <v>8</v>
      </c>
      <c r="B172" s="8">
        <f>B12</f>
        <v/>
      </c>
      <c r="C172" s="8">
        <f>C12</f>
        <v/>
      </c>
      <c r="D172" s="14" t="n"/>
      <c r="E172" s="14" t="n"/>
      <c r="F172" s="8">
        <f>D172+E172</f>
        <v/>
      </c>
      <c r="G172" s="14" t="n"/>
      <c r="H172" s="14" t="n"/>
      <c r="I172" s="8">
        <f>G172+H172</f>
        <v/>
      </c>
      <c r="J172" s="8">
        <f>D172+G172</f>
        <v/>
      </c>
      <c r="K172" s="8">
        <f>E172+H172</f>
        <v/>
      </c>
      <c r="L172" s="8">
        <f>J172+K172</f>
        <v/>
      </c>
      <c r="M172" s="9">
        <f>IF(C172=0,0,L172/C172*100)</f>
        <v/>
      </c>
    </row>
    <row r="173">
      <c r="A173" s="7" t="n">
        <v>9</v>
      </c>
      <c r="B173" s="8">
        <f>B13</f>
        <v/>
      </c>
      <c r="C173" s="8">
        <f>C13</f>
        <v/>
      </c>
      <c r="D173" s="14" t="n"/>
      <c r="E173" s="14" t="n"/>
      <c r="F173" s="8">
        <f>D173+E173</f>
        <v/>
      </c>
      <c r="G173" s="14" t="n"/>
      <c r="H173" s="14" t="n"/>
      <c r="I173" s="8">
        <f>G173+H173</f>
        <v/>
      </c>
      <c r="J173" s="8">
        <f>D173+G173</f>
        <v/>
      </c>
      <c r="K173" s="8">
        <f>E173+H173</f>
        <v/>
      </c>
      <c r="L173" s="8">
        <f>J173+K173</f>
        <v/>
      </c>
      <c r="M173" s="9">
        <f>IF(C173=0,0,L173/C173*100)</f>
        <v/>
      </c>
    </row>
    <row r="174">
      <c r="A174" s="7" t="n">
        <v>10</v>
      </c>
      <c r="B174" s="8">
        <f>B14</f>
        <v/>
      </c>
      <c r="C174" s="8">
        <f>C14</f>
        <v/>
      </c>
      <c r="D174" s="14" t="n"/>
      <c r="E174" s="14" t="n"/>
      <c r="F174" s="8">
        <f>D174+E174</f>
        <v/>
      </c>
      <c r="G174" s="14" t="n"/>
      <c r="H174" s="14" t="n"/>
      <c r="I174" s="8">
        <f>G174+H174</f>
        <v/>
      </c>
      <c r="J174" s="8">
        <f>D174+G174</f>
        <v/>
      </c>
      <c r="K174" s="8">
        <f>E174+H174</f>
        <v/>
      </c>
      <c r="L174" s="8">
        <f>J174+K174</f>
        <v/>
      </c>
      <c r="M174" s="9">
        <f>IF(C174=0,0,L174/C174*100)</f>
        <v/>
      </c>
    </row>
    <row r="175">
      <c r="A175" s="10" t="inlineStr">
        <is>
          <t>Total</t>
        </is>
      </c>
      <c r="B175" s="11">
        <f>SUM(B165:B174)</f>
        <v/>
      </c>
      <c r="C175" s="11">
        <f>SUM(C165:C174)</f>
        <v/>
      </c>
      <c r="D175" s="11">
        <f>SUM(D165:D174)</f>
        <v/>
      </c>
      <c r="E175" s="11">
        <f>SUM(E165:E174)</f>
        <v/>
      </c>
      <c r="F175" s="11">
        <f>D175+E175</f>
        <v/>
      </c>
      <c r="G175" s="11">
        <f>SUM(G165:G174)</f>
        <v/>
      </c>
      <c r="H175" s="11">
        <f>SUM(H165:H174)</f>
        <v/>
      </c>
      <c r="I175" s="11">
        <f>G175+H175</f>
        <v/>
      </c>
      <c r="J175" s="11">
        <f>D175+G175</f>
        <v/>
      </c>
      <c r="K175" s="11">
        <f>E175+H175</f>
        <v/>
      </c>
      <c r="L175" s="11">
        <f>J175+K175</f>
        <v/>
      </c>
      <c r="M175" s="12">
        <f>IF(C175=0,0,L175/C175*100)</f>
        <v/>
      </c>
    </row>
    <row r="177">
      <c r="A177" s="13" t="inlineStr">
        <is>
          <t>Day 11 - 2026-10-15 (Thu 29 Aswin 2083)</t>
        </is>
      </c>
    </row>
    <row r="178">
      <c r="A178" s="6" t="inlineStr">
        <is>
          <t>Ward no.</t>
        </is>
      </c>
      <c r="B178" s="6" t="inlineStr">
        <is>
          <t>Total population</t>
        </is>
      </c>
      <c r="C178" s="6" t="inlineStr">
        <is>
          <t>JE target population</t>
        </is>
      </c>
      <c r="D178" s="6" t="inlineStr">
        <is>
          <t>Vaccinated</t>
        </is>
      </c>
      <c r="E178" s="6" t="n"/>
      <c r="F178" s="6" t="n"/>
      <c r="G178" s="6" t="n"/>
      <c r="H178" s="6" t="n"/>
      <c r="I178" s="6" t="n"/>
      <c r="J178" s="6" t="n"/>
      <c r="K178" s="6" t="n"/>
      <c r="L178" s="6" t="n"/>
      <c r="M178" s="6" t="inlineStr">
        <is>
          <t>Progress %</t>
        </is>
      </c>
    </row>
    <row r="179">
      <c r="A179" s="6" t="n"/>
      <c r="B179" s="6" t="n"/>
      <c r="C179" s="6" t="n"/>
      <c r="D179" s="6" t="inlineStr">
        <is>
          <t>Age 30-60 yrs</t>
        </is>
      </c>
      <c r="E179" s="6" t="n"/>
      <c r="F179" s="6" t="n"/>
      <c r="G179" s="6" t="inlineStr">
        <is>
          <t>Age 60 above</t>
        </is>
      </c>
      <c r="H179" s="6" t="n"/>
      <c r="I179" s="6" t="n"/>
      <c r="J179" s="6" t="inlineStr">
        <is>
          <t>Total</t>
        </is>
      </c>
      <c r="K179" s="6" t="n"/>
      <c r="L179" s="6" t="inlineStr">
        <is>
          <t>Grand Total</t>
        </is>
      </c>
      <c r="M179" s="6" t="n"/>
    </row>
    <row r="180">
      <c r="A180" s="6" t="n"/>
      <c r="B180" s="6" t="n"/>
      <c r="C180" s="6" t="n"/>
      <c r="D180" s="6" t="inlineStr">
        <is>
          <t>F</t>
        </is>
      </c>
      <c r="E180" s="6" t="inlineStr">
        <is>
          <t>M</t>
        </is>
      </c>
      <c r="F180" s="6" t="inlineStr">
        <is>
          <t>Total</t>
        </is>
      </c>
      <c r="G180" s="6" t="inlineStr">
        <is>
          <t>F</t>
        </is>
      </c>
      <c r="H180" s="6" t="inlineStr">
        <is>
          <t>M</t>
        </is>
      </c>
      <c r="I180" s="6" t="inlineStr">
        <is>
          <t>Total</t>
        </is>
      </c>
      <c r="J180" s="6" t="inlineStr">
        <is>
          <t>F</t>
        </is>
      </c>
      <c r="K180" s="6" t="inlineStr">
        <is>
          <t>M</t>
        </is>
      </c>
      <c r="L180" s="6" t="n"/>
      <c r="M180" s="6" t="n"/>
    </row>
    <row r="181">
      <c r="A181" s="7" t="n">
        <v>1</v>
      </c>
      <c r="B181" s="8">
        <f>B5</f>
        <v/>
      </c>
      <c r="C181" s="8">
        <f>C5</f>
        <v/>
      </c>
      <c r="D181" s="14" t="n"/>
      <c r="E181" s="14" t="n"/>
      <c r="F181" s="8">
        <f>D181+E181</f>
        <v/>
      </c>
      <c r="G181" s="14" t="n"/>
      <c r="H181" s="14" t="n"/>
      <c r="I181" s="8">
        <f>G181+H181</f>
        <v/>
      </c>
      <c r="J181" s="8">
        <f>D181+G181</f>
        <v/>
      </c>
      <c r="K181" s="8">
        <f>E181+H181</f>
        <v/>
      </c>
      <c r="L181" s="8">
        <f>J181+K181</f>
        <v/>
      </c>
      <c r="M181" s="9">
        <f>IF(C181=0,0,L181/C181*100)</f>
        <v/>
      </c>
    </row>
    <row r="182">
      <c r="A182" s="7" t="n">
        <v>2</v>
      </c>
      <c r="B182" s="8">
        <f>B6</f>
        <v/>
      </c>
      <c r="C182" s="8">
        <f>C6</f>
        <v/>
      </c>
      <c r="D182" s="14" t="n"/>
      <c r="E182" s="14" t="n"/>
      <c r="F182" s="8">
        <f>D182+E182</f>
        <v/>
      </c>
      <c r="G182" s="14" t="n"/>
      <c r="H182" s="14" t="n"/>
      <c r="I182" s="8">
        <f>G182+H182</f>
        <v/>
      </c>
      <c r="J182" s="8">
        <f>D182+G182</f>
        <v/>
      </c>
      <c r="K182" s="8">
        <f>E182+H182</f>
        <v/>
      </c>
      <c r="L182" s="8">
        <f>J182+K182</f>
        <v/>
      </c>
      <c r="M182" s="9">
        <f>IF(C182=0,0,L182/C182*100)</f>
        <v/>
      </c>
    </row>
    <row r="183">
      <c r="A183" s="7" t="n">
        <v>3</v>
      </c>
      <c r="B183" s="8">
        <f>B7</f>
        <v/>
      </c>
      <c r="C183" s="8">
        <f>C7</f>
        <v/>
      </c>
      <c r="D183" s="14" t="n"/>
      <c r="E183" s="14" t="n"/>
      <c r="F183" s="8">
        <f>D183+E183</f>
        <v/>
      </c>
      <c r="G183" s="14" t="n"/>
      <c r="H183" s="14" t="n"/>
      <c r="I183" s="8">
        <f>G183+H183</f>
        <v/>
      </c>
      <c r="J183" s="8">
        <f>D183+G183</f>
        <v/>
      </c>
      <c r="K183" s="8">
        <f>E183+H183</f>
        <v/>
      </c>
      <c r="L183" s="8">
        <f>J183+K183</f>
        <v/>
      </c>
      <c r="M183" s="9">
        <f>IF(C183=0,0,L183/C183*100)</f>
        <v/>
      </c>
    </row>
    <row r="184">
      <c r="A184" s="7" t="n">
        <v>4</v>
      </c>
      <c r="B184" s="8">
        <f>B8</f>
        <v/>
      </c>
      <c r="C184" s="8">
        <f>C8</f>
        <v/>
      </c>
      <c r="D184" s="14" t="n"/>
      <c r="E184" s="14" t="n"/>
      <c r="F184" s="8">
        <f>D184+E184</f>
        <v/>
      </c>
      <c r="G184" s="14" t="n"/>
      <c r="H184" s="14" t="n"/>
      <c r="I184" s="8">
        <f>G184+H184</f>
        <v/>
      </c>
      <c r="J184" s="8">
        <f>D184+G184</f>
        <v/>
      </c>
      <c r="K184" s="8">
        <f>E184+H184</f>
        <v/>
      </c>
      <c r="L184" s="8">
        <f>J184+K184</f>
        <v/>
      </c>
      <c r="M184" s="9">
        <f>IF(C184=0,0,L184/C184*100)</f>
        <v/>
      </c>
    </row>
    <row r="185">
      <c r="A185" s="7" t="n">
        <v>5</v>
      </c>
      <c r="B185" s="8">
        <f>B9</f>
        <v/>
      </c>
      <c r="C185" s="8">
        <f>C9</f>
        <v/>
      </c>
      <c r="D185" s="14" t="n"/>
      <c r="E185" s="14" t="n"/>
      <c r="F185" s="8">
        <f>D185+E185</f>
        <v/>
      </c>
      <c r="G185" s="14" t="n"/>
      <c r="H185" s="14" t="n"/>
      <c r="I185" s="8">
        <f>G185+H185</f>
        <v/>
      </c>
      <c r="J185" s="8">
        <f>D185+G185</f>
        <v/>
      </c>
      <c r="K185" s="8">
        <f>E185+H185</f>
        <v/>
      </c>
      <c r="L185" s="8">
        <f>J185+K185</f>
        <v/>
      </c>
      <c r="M185" s="9">
        <f>IF(C185=0,0,L185/C185*100)</f>
        <v/>
      </c>
    </row>
    <row r="186">
      <c r="A186" s="7" t="n">
        <v>6</v>
      </c>
      <c r="B186" s="8">
        <f>B10</f>
        <v/>
      </c>
      <c r="C186" s="8">
        <f>C10</f>
        <v/>
      </c>
      <c r="D186" s="14" t="n"/>
      <c r="E186" s="14" t="n"/>
      <c r="F186" s="8">
        <f>D186+E186</f>
        <v/>
      </c>
      <c r="G186" s="14" t="n"/>
      <c r="H186" s="14" t="n"/>
      <c r="I186" s="8">
        <f>G186+H186</f>
        <v/>
      </c>
      <c r="J186" s="8">
        <f>D186+G186</f>
        <v/>
      </c>
      <c r="K186" s="8">
        <f>E186+H186</f>
        <v/>
      </c>
      <c r="L186" s="8">
        <f>J186+K186</f>
        <v/>
      </c>
      <c r="M186" s="9">
        <f>IF(C186=0,0,L186/C186*100)</f>
        <v/>
      </c>
    </row>
    <row r="187">
      <c r="A187" s="7" t="n">
        <v>7</v>
      </c>
      <c r="B187" s="8">
        <f>B11</f>
        <v/>
      </c>
      <c r="C187" s="8">
        <f>C11</f>
        <v/>
      </c>
      <c r="D187" s="14" t="n"/>
      <c r="E187" s="14" t="n"/>
      <c r="F187" s="8">
        <f>D187+E187</f>
        <v/>
      </c>
      <c r="G187" s="14" t="n"/>
      <c r="H187" s="14" t="n"/>
      <c r="I187" s="8">
        <f>G187+H187</f>
        <v/>
      </c>
      <c r="J187" s="8">
        <f>D187+G187</f>
        <v/>
      </c>
      <c r="K187" s="8">
        <f>E187+H187</f>
        <v/>
      </c>
      <c r="L187" s="8">
        <f>J187+K187</f>
        <v/>
      </c>
      <c r="M187" s="9">
        <f>IF(C187=0,0,L187/C187*100)</f>
        <v/>
      </c>
    </row>
    <row r="188">
      <c r="A188" s="7" t="n">
        <v>8</v>
      </c>
      <c r="B188" s="8">
        <f>B12</f>
        <v/>
      </c>
      <c r="C188" s="8">
        <f>C12</f>
        <v/>
      </c>
      <c r="D188" s="14" t="n"/>
      <c r="E188" s="14" t="n"/>
      <c r="F188" s="8">
        <f>D188+E188</f>
        <v/>
      </c>
      <c r="G188" s="14" t="n"/>
      <c r="H188" s="14" t="n"/>
      <c r="I188" s="8">
        <f>G188+H188</f>
        <v/>
      </c>
      <c r="J188" s="8">
        <f>D188+G188</f>
        <v/>
      </c>
      <c r="K188" s="8">
        <f>E188+H188</f>
        <v/>
      </c>
      <c r="L188" s="8">
        <f>J188+K188</f>
        <v/>
      </c>
      <c r="M188" s="9">
        <f>IF(C188=0,0,L188/C188*100)</f>
        <v/>
      </c>
    </row>
    <row r="189">
      <c r="A189" s="7" t="n">
        <v>9</v>
      </c>
      <c r="B189" s="8">
        <f>B13</f>
        <v/>
      </c>
      <c r="C189" s="8">
        <f>C13</f>
        <v/>
      </c>
      <c r="D189" s="14" t="n"/>
      <c r="E189" s="14" t="n"/>
      <c r="F189" s="8">
        <f>D189+E189</f>
        <v/>
      </c>
      <c r="G189" s="14" t="n"/>
      <c r="H189" s="14" t="n"/>
      <c r="I189" s="8">
        <f>G189+H189</f>
        <v/>
      </c>
      <c r="J189" s="8">
        <f>D189+G189</f>
        <v/>
      </c>
      <c r="K189" s="8">
        <f>E189+H189</f>
        <v/>
      </c>
      <c r="L189" s="8">
        <f>J189+K189</f>
        <v/>
      </c>
      <c r="M189" s="9">
        <f>IF(C189=0,0,L189/C189*100)</f>
        <v/>
      </c>
    </row>
    <row r="190">
      <c r="A190" s="7" t="n">
        <v>10</v>
      </c>
      <c r="B190" s="8">
        <f>B14</f>
        <v/>
      </c>
      <c r="C190" s="8">
        <f>C14</f>
        <v/>
      </c>
      <c r="D190" s="14" t="n"/>
      <c r="E190" s="14" t="n"/>
      <c r="F190" s="8">
        <f>D190+E190</f>
        <v/>
      </c>
      <c r="G190" s="14" t="n"/>
      <c r="H190" s="14" t="n"/>
      <c r="I190" s="8">
        <f>G190+H190</f>
        <v/>
      </c>
      <c r="J190" s="8">
        <f>D190+G190</f>
        <v/>
      </c>
      <c r="K190" s="8">
        <f>E190+H190</f>
        <v/>
      </c>
      <c r="L190" s="8">
        <f>J190+K190</f>
        <v/>
      </c>
      <c r="M190" s="9">
        <f>IF(C190=0,0,L190/C190*100)</f>
        <v/>
      </c>
    </row>
    <row r="191">
      <c r="A191" s="10" t="inlineStr">
        <is>
          <t>Total</t>
        </is>
      </c>
      <c r="B191" s="11">
        <f>SUM(B181:B190)</f>
        <v/>
      </c>
      <c r="C191" s="11">
        <f>SUM(C181:C190)</f>
        <v/>
      </c>
      <c r="D191" s="11">
        <f>SUM(D181:D190)</f>
        <v/>
      </c>
      <c r="E191" s="11">
        <f>SUM(E181:E190)</f>
        <v/>
      </c>
      <c r="F191" s="11">
        <f>D191+E191</f>
        <v/>
      </c>
      <c r="G191" s="11">
        <f>SUM(G181:G190)</f>
        <v/>
      </c>
      <c r="H191" s="11">
        <f>SUM(H181:H190)</f>
        <v/>
      </c>
      <c r="I191" s="11">
        <f>G191+H191</f>
        <v/>
      </c>
      <c r="J191" s="11">
        <f>D191+G191</f>
        <v/>
      </c>
      <c r="K191" s="11">
        <f>E191+H191</f>
        <v/>
      </c>
      <c r="L191" s="11">
        <f>J191+K191</f>
        <v/>
      </c>
      <c r="M191" s="12">
        <f>IF(C191=0,0,L191/C191*100)</f>
        <v/>
      </c>
    </row>
    <row r="193">
      <c r="A193" s="13" t="inlineStr">
        <is>
          <t>Day 12 - 2026-10-16 (Fri 30 Aswin 2083)</t>
        </is>
      </c>
    </row>
    <row r="194">
      <c r="A194" s="6" t="inlineStr">
        <is>
          <t>Ward no.</t>
        </is>
      </c>
      <c r="B194" s="6" t="inlineStr">
        <is>
          <t>Total population</t>
        </is>
      </c>
      <c r="C194" s="6" t="inlineStr">
        <is>
          <t>JE target population</t>
        </is>
      </c>
      <c r="D194" s="6" t="inlineStr">
        <is>
          <t>Vaccinated</t>
        </is>
      </c>
      <c r="E194" s="6" t="n"/>
      <c r="F194" s="6" t="n"/>
      <c r="G194" s="6" t="n"/>
      <c r="H194" s="6" t="n"/>
      <c r="I194" s="6" t="n"/>
      <c r="J194" s="6" t="n"/>
      <c r="K194" s="6" t="n"/>
      <c r="L194" s="6" t="n"/>
      <c r="M194" s="6" t="inlineStr">
        <is>
          <t>Progress %</t>
        </is>
      </c>
    </row>
    <row r="195">
      <c r="A195" s="6" t="n"/>
      <c r="B195" s="6" t="n"/>
      <c r="C195" s="6" t="n"/>
      <c r="D195" s="6" t="inlineStr">
        <is>
          <t>Age 30-60 yrs</t>
        </is>
      </c>
      <c r="E195" s="6" t="n"/>
      <c r="F195" s="6" t="n"/>
      <c r="G195" s="6" t="inlineStr">
        <is>
          <t>Age 60 above</t>
        </is>
      </c>
      <c r="H195" s="6" t="n"/>
      <c r="I195" s="6" t="n"/>
      <c r="J195" s="6" t="inlineStr">
        <is>
          <t>Total</t>
        </is>
      </c>
      <c r="K195" s="6" t="n"/>
      <c r="L195" s="6" t="inlineStr">
        <is>
          <t>Grand Total</t>
        </is>
      </c>
      <c r="M195" s="6" t="n"/>
    </row>
    <row r="196">
      <c r="A196" s="6" t="n"/>
      <c r="B196" s="6" t="n"/>
      <c r="C196" s="6" t="n"/>
      <c r="D196" s="6" t="inlineStr">
        <is>
          <t>F</t>
        </is>
      </c>
      <c r="E196" s="6" t="inlineStr">
        <is>
          <t>M</t>
        </is>
      </c>
      <c r="F196" s="6" t="inlineStr">
        <is>
          <t>Total</t>
        </is>
      </c>
      <c r="G196" s="6" t="inlineStr">
        <is>
          <t>F</t>
        </is>
      </c>
      <c r="H196" s="6" t="inlineStr">
        <is>
          <t>M</t>
        </is>
      </c>
      <c r="I196" s="6" t="inlineStr">
        <is>
          <t>Total</t>
        </is>
      </c>
      <c r="J196" s="6" t="inlineStr">
        <is>
          <t>F</t>
        </is>
      </c>
      <c r="K196" s="6" t="inlineStr">
        <is>
          <t>M</t>
        </is>
      </c>
      <c r="L196" s="6" t="n"/>
      <c r="M196" s="6" t="n"/>
    </row>
    <row r="197">
      <c r="A197" s="7" t="n">
        <v>1</v>
      </c>
      <c r="B197" s="8">
        <f>B5</f>
        <v/>
      </c>
      <c r="C197" s="8">
        <f>C5</f>
        <v/>
      </c>
      <c r="D197" s="14" t="n"/>
      <c r="E197" s="14" t="n"/>
      <c r="F197" s="8">
        <f>D197+E197</f>
        <v/>
      </c>
      <c r="G197" s="14" t="n"/>
      <c r="H197" s="14" t="n"/>
      <c r="I197" s="8">
        <f>G197+H197</f>
        <v/>
      </c>
      <c r="J197" s="8">
        <f>D197+G197</f>
        <v/>
      </c>
      <c r="K197" s="8">
        <f>E197+H197</f>
        <v/>
      </c>
      <c r="L197" s="8">
        <f>J197+K197</f>
        <v/>
      </c>
      <c r="M197" s="9">
        <f>IF(C197=0,0,L197/C197*100)</f>
        <v/>
      </c>
    </row>
    <row r="198">
      <c r="A198" s="7" t="n">
        <v>2</v>
      </c>
      <c r="B198" s="8">
        <f>B6</f>
        <v/>
      </c>
      <c r="C198" s="8">
        <f>C6</f>
        <v/>
      </c>
      <c r="D198" s="14" t="n"/>
      <c r="E198" s="14" t="n"/>
      <c r="F198" s="8">
        <f>D198+E198</f>
        <v/>
      </c>
      <c r="G198" s="14" t="n"/>
      <c r="H198" s="14" t="n"/>
      <c r="I198" s="8">
        <f>G198+H198</f>
        <v/>
      </c>
      <c r="J198" s="8">
        <f>D198+G198</f>
        <v/>
      </c>
      <c r="K198" s="8">
        <f>E198+H198</f>
        <v/>
      </c>
      <c r="L198" s="8">
        <f>J198+K198</f>
        <v/>
      </c>
      <c r="M198" s="9">
        <f>IF(C198=0,0,L198/C198*100)</f>
        <v/>
      </c>
    </row>
    <row r="199">
      <c r="A199" s="7" t="n">
        <v>3</v>
      </c>
      <c r="B199" s="8">
        <f>B7</f>
        <v/>
      </c>
      <c r="C199" s="8">
        <f>C7</f>
        <v/>
      </c>
      <c r="D199" s="14" t="n"/>
      <c r="E199" s="14" t="n"/>
      <c r="F199" s="8">
        <f>D199+E199</f>
        <v/>
      </c>
      <c r="G199" s="14" t="n"/>
      <c r="H199" s="14" t="n"/>
      <c r="I199" s="8">
        <f>G199+H199</f>
        <v/>
      </c>
      <c r="J199" s="8">
        <f>D199+G199</f>
        <v/>
      </c>
      <c r="K199" s="8">
        <f>E199+H199</f>
        <v/>
      </c>
      <c r="L199" s="8">
        <f>J199+K199</f>
        <v/>
      </c>
      <c r="M199" s="9">
        <f>IF(C199=0,0,L199/C199*100)</f>
        <v/>
      </c>
    </row>
    <row r="200">
      <c r="A200" s="7" t="n">
        <v>4</v>
      </c>
      <c r="B200" s="8">
        <f>B8</f>
        <v/>
      </c>
      <c r="C200" s="8">
        <f>C8</f>
        <v/>
      </c>
      <c r="D200" s="14" t="n"/>
      <c r="E200" s="14" t="n"/>
      <c r="F200" s="8">
        <f>D200+E200</f>
        <v/>
      </c>
      <c r="G200" s="14" t="n"/>
      <c r="H200" s="14" t="n"/>
      <c r="I200" s="8">
        <f>G200+H200</f>
        <v/>
      </c>
      <c r="J200" s="8">
        <f>D200+G200</f>
        <v/>
      </c>
      <c r="K200" s="8">
        <f>E200+H200</f>
        <v/>
      </c>
      <c r="L200" s="8">
        <f>J200+K200</f>
        <v/>
      </c>
      <c r="M200" s="9">
        <f>IF(C200=0,0,L200/C200*100)</f>
        <v/>
      </c>
    </row>
    <row r="201">
      <c r="A201" s="7" t="n">
        <v>5</v>
      </c>
      <c r="B201" s="8">
        <f>B9</f>
        <v/>
      </c>
      <c r="C201" s="8">
        <f>C9</f>
        <v/>
      </c>
      <c r="D201" s="14" t="n"/>
      <c r="E201" s="14" t="n"/>
      <c r="F201" s="8">
        <f>D201+E201</f>
        <v/>
      </c>
      <c r="G201" s="14" t="n"/>
      <c r="H201" s="14" t="n"/>
      <c r="I201" s="8">
        <f>G201+H201</f>
        <v/>
      </c>
      <c r="J201" s="8">
        <f>D201+G201</f>
        <v/>
      </c>
      <c r="K201" s="8">
        <f>E201+H201</f>
        <v/>
      </c>
      <c r="L201" s="8">
        <f>J201+K201</f>
        <v/>
      </c>
      <c r="M201" s="9">
        <f>IF(C201=0,0,L201/C201*100)</f>
        <v/>
      </c>
    </row>
    <row r="202">
      <c r="A202" s="7" t="n">
        <v>6</v>
      </c>
      <c r="B202" s="8">
        <f>B10</f>
        <v/>
      </c>
      <c r="C202" s="8">
        <f>C10</f>
        <v/>
      </c>
      <c r="D202" s="14" t="n"/>
      <c r="E202" s="14" t="n"/>
      <c r="F202" s="8">
        <f>D202+E202</f>
        <v/>
      </c>
      <c r="G202" s="14" t="n"/>
      <c r="H202" s="14" t="n"/>
      <c r="I202" s="8">
        <f>G202+H202</f>
        <v/>
      </c>
      <c r="J202" s="8">
        <f>D202+G202</f>
        <v/>
      </c>
      <c r="K202" s="8">
        <f>E202+H202</f>
        <v/>
      </c>
      <c r="L202" s="8">
        <f>J202+K202</f>
        <v/>
      </c>
      <c r="M202" s="9">
        <f>IF(C202=0,0,L202/C202*100)</f>
        <v/>
      </c>
    </row>
    <row r="203">
      <c r="A203" s="7" t="n">
        <v>7</v>
      </c>
      <c r="B203" s="8">
        <f>B11</f>
        <v/>
      </c>
      <c r="C203" s="8">
        <f>C11</f>
        <v/>
      </c>
      <c r="D203" s="14" t="n"/>
      <c r="E203" s="14" t="n"/>
      <c r="F203" s="8">
        <f>D203+E203</f>
        <v/>
      </c>
      <c r="G203" s="14" t="n"/>
      <c r="H203" s="14" t="n"/>
      <c r="I203" s="8">
        <f>G203+H203</f>
        <v/>
      </c>
      <c r="J203" s="8">
        <f>D203+G203</f>
        <v/>
      </c>
      <c r="K203" s="8">
        <f>E203+H203</f>
        <v/>
      </c>
      <c r="L203" s="8">
        <f>J203+K203</f>
        <v/>
      </c>
      <c r="M203" s="9">
        <f>IF(C203=0,0,L203/C203*100)</f>
        <v/>
      </c>
    </row>
    <row r="204">
      <c r="A204" s="7" t="n">
        <v>8</v>
      </c>
      <c r="B204" s="8">
        <f>B12</f>
        <v/>
      </c>
      <c r="C204" s="8">
        <f>C12</f>
        <v/>
      </c>
      <c r="D204" s="14" t="n"/>
      <c r="E204" s="14" t="n"/>
      <c r="F204" s="8">
        <f>D204+E204</f>
        <v/>
      </c>
      <c r="G204" s="14" t="n"/>
      <c r="H204" s="14" t="n"/>
      <c r="I204" s="8">
        <f>G204+H204</f>
        <v/>
      </c>
      <c r="J204" s="8">
        <f>D204+G204</f>
        <v/>
      </c>
      <c r="K204" s="8">
        <f>E204+H204</f>
        <v/>
      </c>
      <c r="L204" s="8">
        <f>J204+K204</f>
        <v/>
      </c>
      <c r="M204" s="9">
        <f>IF(C204=0,0,L204/C204*100)</f>
        <v/>
      </c>
    </row>
    <row r="205">
      <c r="A205" s="7" t="n">
        <v>9</v>
      </c>
      <c r="B205" s="8">
        <f>B13</f>
        <v/>
      </c>
      <c r="C205" s="8">
        <f>C13</f>
        <v/>
      </c>
      <c r="D205" s="14" t="n"/>
      <c r="E205" s="14" t="n"/>
      <c r="F205" s="8">
        <f>D205+E205</f>
        <v/>
      </c>
      <c r="G205" s="14" t="n"/>
      <c r="H205" s="14" t="n"/>
      <c r="I205" s="8">
        <f>G205+H205</f>
        <v/>
      </c>
      <c r="J205" s="8">
        <f>D205+G205</f>
        <v/>
      </c>
      <c r="K205" s="8">
        <f>E205+H205</f>
        <v/>
      </c>
      <c r="L205" s="8">
        <f>J205+K205</f>
        <v/>
      </c>
      <c r="M205" s="9">
        <f>IF(C205=0,0,L205/C205*100)</f>
        <v/>
      </c>
    </row>
    <row r="206">
      <c r="A206" s="7" t="n">
        <v>10</v>
      </c>
      <c r="B206" s="8">
        <f>B14</f>
        <v/>
      </c>
      <c r="C206" s="8">
        <f>C14</f>
        <v/>
      </c>
      <c r="D206" s="14" t="n"/>
      <c r="E206" s="14" t="n"/>
      <c r="F206" s="8">
        <f>D206+E206</f>
        <v/>
      </c>
      <c r="G206" s="14" t="n"/>
      <c r="H206" s="14" t="n"/>
      <c r="I206" s="8">
        <f>G206+H206</f>
        <v/>
      </c>
      <c r="J206" s="8">
        <f>D206+G206</f>
        <v/>
      </c>
      <c r="K206" s="8">
        <f>E206+H206</f>
        <v/>
      </c>
      <c r="L206" s="8">
        <f>J206+K206</f>
        <v/>
      </c>
      <c r="M206" s="9">
        <f>IF(C206=0,0,L206/C206*100)</f>
        <v/>
      </c>
    </row>
    <row r="207">
      <c r="A207" s="10" t="inlineStr">
        <is>
          <t>Total</t>
        </is>
      </c>
      <c r="B207" s="11">
        <f>SUM(B197:B206)</f>
        <v/>
      </c>
      <c r="C207" s="11">
        <f>SUM(C197:C206)</f>
        <v/>
      </c>
      <c r="D207" s="11">
        <f>SUM(D197:D206)</f>
        <v/>
      </c>
      <c r="E207" s="11">
        <f>SUM(E197:E206)</f>
        <v/>
      </c>
      <c r="F207" s="11">
        <f>D207+E207</f>
        <v/>
      </c>
      <c r="G207" s="11">
        <f>SUM(G197:G206)</f>
        <v/>
      </c>
      <c r="H207" s="11">
        <f>SUM(H197:H206)</f>
        <v/>
      </c>
      <c r="I207" s="11">
        <f>G207+H207</f>
        <v/>
      </c>
      <c r="J207" s="11">
        <f>D207+G207</f>
        <v/>
      </c>
      <c r="K207" s="11">
        <f>E207+H207</f>
        <v/>
      </c>
      <c r="L207" s="11">
        <f>J207+K207</f>
        <v/>
      </c>
      <c r="M207" s="12">
        <f>IF(C207=0,0,L207/C207*100)</f>
        <v/>
      </c>
    </row>
    <row r="209">
      <c r="A209" s="13" t="inlineStr">
        <is>
          <t>Day 13 - 2026-10-17 (Sat 31 Aswin 2083)</t>
        </is>
      </c>
    </row>
    <row r="210">
      <c r="A210" s="6" t="inlineStr">
        <is>
          <t>Ward no.</t>
        </is>
      </c>
      <c r="B210" s="6" t="inlineStr">
        <is>
          <t>Total population</t>
        </is>
      </c>
      <c r="C210" s="6" t="inlineStr">
        <is>
          <t>JE target population</t>
        </is>
      </c>
      <c r="D210" s="6" t="inlineStr">
        <is>
          <t>Vaccinated</t>
        </is>
      </c>
      <c r="E210" s="6" t="n"/>
      <c r="F210" s="6" t="n"/>
      <c r="G210" s="6" t="n"/>
      <c r="H210" s="6" t="n"/>
      <c r="I210" s="6" t="n"/>
      <c r="J210" s="6" t="n"/>
      <c r="K210" s="6" t="n"/>
      <c r="L210" s="6" t="n"/>
      <c r="M210" s="6" t="inlineStr">
        <is>
          <t>Progress %</t>
        </is>
      </c>
    </row>
    <row r="211">
      <c r="A211" s="6" t="n"/>
      <c r="B211" s="6" t="n"/>
      <c r="C211" s="6" t="n"/>
      <c r="D211" s="6" t="inlineStr">
        <is>
          <t>Age 30-60 yrs</t>
        </is>
      </c>
      <c r="E211" s="6" t="n"/>
      <c r="F211" s="6" t="n"/>
      <c r="G211" s="6" t="inlineStr">
        <is>
          <t>Age 60 above</t>
        </is>
      </c>
      <c r="H211" s="6" t="n"/>
      <c r="I211" s="6" t="n"/>
      <c r="J211" s="6" t="inlineStr">
        <is>
          <t>Total</t>
        </is>
      </c>
      <c r="K211" s="6" t="n"/>
      <c r="L211" s="6" t="inlineStr">
        <is>
          <t>Grand Total</t>
        </is>
      </c>
      <c r="M211" s="6" t="n"/>
    </row>
    <row r="212">
      <c r="A212" s="6" t="n"/>
      <c r="B212" s="6" t="n"/>
      <c r="C212" s="6" t="n"/>
      <c r="D212" s="6" t="inlineStr">
        <is>
          <t>F</t>
        </is>
      </c>
      <c r="E212" s="6" t="inlineStr">
        <is>
          <t>M</t>
        </is>
      </c>
      <c r="F212" s="6" t="inlineStr">
        <is>
          <t>Total</t>
        </is>
      </c>
      <c r="G212" s="6" t="inlineStr">
        <is>
          <t>F</t>
        </is>
      </c>
      <c r="H212" s="6" t="inlineStr">
        <is>
          <t>M</t>
        </is>
      </c>
      <c r="I212" s="6" t="inlineStr">
        <is>
          <t>Total</t>
        </is>
      </c>
      <c r="J212" s="6" t="inlineStr">
        <is>
          <t>F</t>
        </is>
      </c>
      <c r="K212" s="6" t="inlineStr">
        <is>
          <t>M</t>
        </is>
      </c>
      <c r="L212" s="6" t="n"/>
      <c r="M212" s="6" t="n"/>
    </row>
    <row r="213">
      <c r="A213" s="7" t="n">
        <v>1</v>
      </c>
      <c r="B213" s="8">
        <f>B5</f>
        <v/>
      </c>
      <c r="C213" s="8">
        <f>C5</f>
        <v/>
      </c>
      <c r="D213" s="14" t="n"/>
      <c r="E213" s="14" t="n"/>
      <c r="F213" s="8">
        <f>D213+E213</f>
        <v/>
      </c>
      <c r="G213" s="14" t="n"/>
      <c r="H213" s="14" t="n"/>
      <c r="I213" s="8">
        <f>G213+H213</f>
        <v/>
      </c>
      <c r="J213" s="8">
        <f>D213+G213</f>
        <v/>
      </c>
      <c r="K213" s="8">
        <f>E213+H213</f>
        <v/>
      </c>
      <c r="L213" s="8">
        <f>J213+K213</f>
        <v/>
      </c>
      <c r="M213" s="9">
        <f>IF(C213=0,0,L213/C213*100)</f>
        <v/>
      </c>
    </row>
    <row r="214">
      <c r="A214" s="7" t="n">
        <v>2</v>
      </c>
      <c r="B214" s="8">
        <f>B6</f>
        <v/>
      </c>
      <c r="C214" s="8">
        <f>C6</f>
        <v/>
      </c>
      <c r="D214" s="14" t="n"/>
      <c r="E214" s="14" t="n"/>
      <c r="F214" s="8">
        <f>D214+E214</f>
        <v/>
      </c>
      <c r="G214" s="14" t="n"/>
      <c r="H214" s="14" t="n"/>
      <c r="I214" s="8">
        <f>G214+H214</f>
        <v/>
      </c>
      <c r="J214" s="8">
        <f>D214+G214</f>
        <v/>
      </c>
      <c r="K214" s="8">
        <f>E214+H214</f>
        <v/>
      </c>
      <c r="L214" s="8">
        <f>J214+K214</f>
        <v/>
      </c>
      <c r="M214" s="9">
        <f>IF(C214=0,0,L214/C214*100)</f>
        <v/>
      </c>
    </row>
    <row r="215">
      <c r="A215" s="7" t="n">
        <v>3</v>
      </c>
      <c r="B215" s="8">
        <f>B7</f>
        <v/>
      </c>
      <c r="C215" s="8">
        <f>C7</f>
        <v/>
      </c>
      <c r="D215" s="14" t="n"/>
      <c r="E215" s="14" t="n"/>
      <c r="F215" s="8">
        <f>D215+E215</f>
        <v/>
      </c>
      <c r="G215" s="14" t="n"/>
      <c r="H215" s="14" t="n"/>
      <c r="I215" s="8">
        <f>G215+H215</f>
        <v/>
      </c>
      <c r="J215" s="8">
        <f>D215+G215</f>
        <v/>
      </c>
      <c r="K215" s="8">
        <f>E215+H215</f>
        <v/>
      </c>
      <c r="L215" s="8">
        <f>J215+K215</f>
        <v/>
      </c>
      <c r="M215" s="9">
        <f>IF(C215=0,0,L215/C215*100)</f>
        <v/>
      </c>
    </row>
    <row r="216">
      <c r="A216" s="7" t="n">
        <v>4</v>
      </c>
      <c r="B216" s="8">
        <f>B8</f>
        <v/>
      </c>
      <c r="C216" s="8">
        <f>C8</f>
        <v/>
      </c>
      <c r="D216" s="14" t="n"/>
      <c r="E216" s="14" t="n"/>
      <c r="F216" s="8">
        <f>D216+E216</f>
        <v/>
      </c>
      <c r="G216" s="14" t="n"/>
      <c r="H216" s="14" t="n"/>
      <c r="I216" s="8">
        <f>G216+H216</f>
        <v/>
      </c>
      <c r="J216" s="8">
        <f>D216+G216</f>
        <v/>
      </c>
      <c r="K216" s="8">
        <f>E216+H216</f>
        <v/>
      </c>
      <c r="L216" s="8">
        <f>J216+K216</f>
        <v/>
      </c>
      <c r="M216" s="9">
        <f>IF(C216=0,0,L216/C216*100)</f>
        <v/>
      </c>
    </row>
    <row r="217">
      <c r="A217" s="7" t="n">
        <v>5</v>
      </c>
      <c r="B217" s="8">
        <f>B9</f>
        <v/>
      </c>
      <c r="C217" s="8">
        <f>C9</f>
        <v/>
      </c>
      <c r="D217" s="14" t="n"/>
      <c r="E217" s="14" t="n"/>
      <c r="F217" s="8">
        <f>D217+E217</f>
        <v/>
      </c>
      <c r="G217" s="14" t="n"/>
      <c r="H217" s="14" t="n"/>
      <c r="I217" s="8">
        <f>G217+H217</f>
        <v/>
      </c>
      <c r="J217" s="8">
        <f>D217+G217</f>
        <v/>
      </c>
      <c r="K217" s="8">
        <f>E217+H217</f>
        <v/>
      </c>
      <c r="L217" s="8">
        <f>J217+K217</f>
        <v/>
      </c>
      <c r="M217" s="9">
        <f>IF(C217=0,0,L217/C217*100)</f>
        <v/>
      </c>
    </row>
    <row r="218">
      <c r="A218" s="7" t="n">
        <v>6</v>
      </c>
      <c r="B218" s="8">
        <f>B10</f>
        <v/>
      </c>
      <c r="C218" s="8">
        <f>C10</f>
        <v/>
      </c>
      <c r="D218" s="14" t="n"/>
      <c r="E218" s="14" t="n"/>
      <c r="F218" s="8">
        <f>D218+E218</f>
        <v/>
      </c>
      <c r="G218" s="14" t="n"/>
      <c r="H218" s="14" t="n"/>
      <c r="I218" s="8">
        <f>G218+H218</f>
        <v/>
      </c>
      <c r="J218" s="8">
        <f>D218+G218</f>
        <v/>
      </c>
      <c r="K218" s="8">
        <f>E218+H218</f>
        <v/>
      </c>
      <c r="L218" s="8">
        <f>J218+K218</f>
        <v/>
      </c>
      <c r="M218" s="9">
        <f>IF(C218=0,0,L218/C218*100)</f>
        <v/>
      </c>
    </row>
    <row r="219">
      <c r="A219" s="7" t="n">
        <v>7</v>
      </c>
      <c r="B219" s="8">
        <f>B11</f>
        <v/>
      </c>
      <c r="C219" s="8">
        <f>C11</f>
        <v/>
      </c>
      <c r="D219" s="14" t="n"/>
      <c r="E219" s="14" t="n"/>
      <c r="F219" s="8">
        <f>D219+E219</f>
        <v/>
      </c>
      <c r="G219" s="14" t="n"/>
      <c r="H219" s="14" t="n"/>
      <c r="I219" s="8">
        <f>G219+H219</f>
        <v/>
      </c>
      <c r="J219" s="8">
        <f>D219+G219</f>
        <v/>
      </c>
      <c r="K219" s="8">
        <f>E219+H219</f>
        <v/>
      </c>
      <c r="L219" s="8">
        <f>J219+K219</f>
        <v/>
      </c>
      <c r="M219" s="9">
        <f>IF(C219=0,0,L219/C219*100)</f>
        <v/>
      </c>
    </row>
    <row r="220">
      <c r="A220" s="7" t="n">
        <v>8</v>
      </c>
      <c r="B220" s="8">
        <f>B12</f>
        <v/>
      </c>
      <c r="C220" s="8">
        <f>C12</f>
        <v/>
      </c>
      <c r="D220" s="14" t="n"/>
      <c r="E220" s="14" t="n"/>
      <c r="F220" s="8">
        <f>D220+E220</f>
        <v/>
      </c>
      <c r="G220" s="14" t="n"/>
      <c r="H220" s="14" t="n"/>
      <c r="I220" s="8">
        <f>G220+H220</f>
        <v/>
      </c>
      <c r="J220" s="8">
        <f>D220+G220</f>
        <v/>
      </c>
      <c r="K220" s="8">
        <f>E220+H220</f>
        <v/>
      </c>
      <c r="L220" s="8">
        <f>J220+K220</f>
        <v/>
      </c>
      <c r="M220" s="9">
        <f>IF(C220=0,0,L220/C220*100)</f>
        <v/>
      </c>
    </row>
    <row r="221">
      <c r="A221" s="7" t="n">
        <v>9</v>
      </c>
      <c r="B221" s="8">
        <f>B13</f>
        <v/>
      </c>
      <c r="C221" s="8">
        <f>C13</f>
        <v/>
      </c>
      <c r="D221" s="14" t="n"/>
      <c r="E221" s="14" t="n"/>
      <c r="F221" s="8">
        <f>D221+E221</f>
        <v/>
      </c>
      <c r="G221" s="14" t="n"/>
      <c r="H221" s="14" t="n"/>
      <c r="I221" s="8">
        <f>G221+H221</f>
        <v/>
      </c>
      <c r="J221" s="8">
        <f>D221+G221</f>
        <v/>
      </c>
      <c r="K221" s="8">
        <f>E221+H221</f>
        <v/>
      </c>
      <c r="L221" s="8">
        <f>J221+K221</f>
        <v/>
      </c>
      <c r="M221" s="9">
        <f>IF(C221=0,0,L221/C221*100)</f>
        <v/>
      </c>
    </row>
    <row r="222">
      <c r="A222" s="7" t="n">
        <v>10</v>
      </c>
      <c r="B222" s="8">
        <f>B14</f>
        <v/>
      </c>
      <c r="C222" s="8">
        <f>C14</f>
        <v/>
      </c>
      <c r="D222" s="14" t="n"/>
      <c r="E222" s="14" t="n"/>
      <c r="F222" s="8">
        <f>D222+E222</f>
        <v/>
      </c>
      <c r="G222" s="14" t="n"/>
      <c r="H222" s="14" t="n"/>
      <c r="I222" s="8">
        <f>G222+H222</f>
        <v/>
      </c>
      <c r="J222" s="8">
        <f>D222+G222</f>
        <v/>
      </c>
      <c r="K222" s="8">
        <f>E222+H222</f>
        <v/>
      </c>
      <c r="L222" s="8">
        <f>J222+K222</f>
        <v/>
      </c>
      <c r="M222" s="9">
        <f>IF(C222=0,0,L222/C222*100)</f>
        <v/>
      </c>
    </row>
    <row r="223">
      <c r="A223" s="10" t="inlineStr">
        <is>
          <t>Total</t>
        </is>
      </c>
      <c r="B223" s="11">
        <f>SUM(B213:B222)</f>
        <v/>
      </c>
      <c r="C223" s="11">
        <f>SUM(C213:C222)</f>
        <v/>
      </c>
      <c r="D223" s="11">
        <f>SUM(D213:D222)</f>
        <v/>
      </c>
      <c r="E223" s="11">
        <f>SUM(E213:E222)</f>
        <v/>
      </c>
      <c r="F223" s="11">
        <f>D223+E223</f>
        <v/>
      </c>
      <c r="G223" s="11">
        <f>SUM(G213:G222)</f>
        <v/>
      </c>
      <c r="H223" s="11">
        <f>SUM(H213:H222)</f>
        <v/>
      </c>
      <c r="I223" s="11">
        <f>G223+H223</f>
        <v/>
      </c>
      <c r="J223" s="11">
        <f>D223+G223</f>
        <v/>
      </c>
      <c r="K223" s="11">
        <f>E223+H223</f>
        <v/>
      </c>
      <c r="L223" s="11">
        <f>J223+K223</f>
        <v/>
      </c>
      <c r="M223" s="12">
        <f>IF(C223=0,0,L223/C223*100)</f>
        <v/>
      </c>
    </row>
    <row r="225">
      <c r="A225" s="13" t="inlineStr">
        <is>
          <t>Day 14 - 2026-10-18 (Sun 01 Kartik 2083)</t>
        </is>
      </c>
    </row>
    <row r="226">
      <c r="A226" s="6" t="inlineStr">
        <is>
          <t>Ward no.</t>
        </is>
      </c>
      <c r="B226" s="6" t="inlineStr">
        <is>
          <t>Total population</t>
        </is>
      </c>
      <c r="C226" s="6" t="inlineStr">
        <is>
          <t>JE target population</t>
        </is>
      </c>
      <c r="D226" s="6" t="inlineStr">
        <is>
          <t>Vaccinated</t>
        </is>
      </c>
      <c r="E226" s="6" t="n"/>
      <c r="F226" s="6" t="n"/>
      <c r="G226" s="6" t="n"/>
      <c r="H226" s="6" t="n"/>
      <c r="I226" s="6" t="n"/>
      <c r="J226" s="6" t="n"/>
      <c r="K226" s="6" t="n"/>
      <c r="L226" s="6" t="n"/>
      <c r="M226" s="6" t="inlineStr">
        <is>
          <t>Progress %</t>
        </is>
      </c>
    </row>
    <row r="227">
      <c r="A227" s="6" t="n"/>
      <c r="B227" s="6" t="n"/>
      <c r="C227" s="6" t="n"/>
      <c r="D227" s="6" t="inlineStr">
        <is>
          <t>Age 30-60 yrs</t>
        </is>
      </c>
      <c r="E227" s="6" t="n"/>
      <c r="F227" s="6" t="n"/>
      <c r="G227" s="6" t="inlineStr">
        <is>
          <t>Age 60 above</t>
        </is>
      </c>
      <c r="H227" s="6" t="n"/>
      <c r="I227" s="6" t="n"/>
      <c r="J227" s="6" t="inlineStr">
        <is>
          <t>Total</t>
        </is>
      </c>
      <c r="K227" s="6" t="n"/>
      <c r="L227" s="6" t="inlineStr">
        <is>
          <t>Grand Total</t>
        </is>
      </c>
      <c r="M227" s="6" t="n"/>
    </row>
    <row r="228">
      <c r="A228" s="6" t="n"/>
      <c r="B228" s="6" t="n"/>
      <c r="C228" s="6" t="n"/>
      <c r="D228" s="6" t="inlineStr">
        <is>
          <t>F</t>
        </is>
      </c>
      <c r="E228" s="6" t="inlineStr">
        <is>
          <t>M</t>
        </is>
      </c>
      <c r="F228" s="6" t="inlineStr">
        <is>
          <t>Total</t>
        </is>
      </c>
      <c r="G228" s="6" t="inlineStr">
        <is>
          <t>F</t>
        </is>
      </c>
      <c r="H228" s="6" t="inlineStr">
        <is>
          <t>M</t>
        </is>
      </c>
      <c r="I228" s="6" t="inlineStr">
        <is>
          <t>Total</t>
        </is>
      </c>
      <c r="J228" s="6" t="inlineStr">
        <is>
          <t>F</t>
        </is>
      </c>
      <c r="K228" s="6" t="inlineStr">
        <is>
          <t>M</t>
        </is>
      </c>
      <c r="L228" s="6" t="n"/>
      <c r="M228" s="6" t="n"/>
    </row>
    <row r="229">
      <c r="A229" s="7" t="n">
        <v>1</v>
      </c>
      <c r="B229" s="8">
        <f>B5</f>
        <v/>
      </c>
      <c r="C229" s="8">
        <f>C5</f>
        <v/>
      </c>
      <c r="D229" s="14" t="n"/>
      <c r="E229" s="14" t="n"/>
      <c r="F229" s="8">
        <f>D229+E229</f>
        <v/>
      </c>
      <c r="G229" s="14" t="n"/>
      <c r="H229" s="14" t="n"/>
      <c r="I229" s="8">
        <f>G229+H229</f>
        <v/>
      </c>
      <c r="J229" s="8">
        <f>D229+G229</f>
        <v/>
      </c>
      <c r="K229" s="8">
        <f>E229+H229</f>
        <v/>
      </c>
      <c r="L229" s="8">
        <f>J229+K229</f>
        <v/>
      </c>
      <c r="M229" s="9">
        <f>IF(C229=0,0,L229/C229*100)</f>
        <v/>
      </c>
    </row>
    <row r="230">
      <c r="A230" s="7" t="n">
        <v>2</v>
      </c>
      <c r="B230" s="8">
        <f>B6</f>
        <v/>
      </c>
      <c r="C230" s="8">
        <f>C6</f>
        <v/>
      </c>
      <c r="D230" s="14" t="n"/>
      <c r="E230" s="14" t="n"/>
      <c r="F230" s="8">
        <f>D230+E230</f>
        <v/>
      </c>
      <c r="G230" s="14" t="n"/>
      <c r="H230" s="14" t="n"/>
      <c r="I230" s="8">
        <f>G230+H230</f>
        <v/>
      </c>
      <c r="J230" s="8">
        <f>D230+G230</f>
        <v/>
      </c>
      <c r="K230" s="8">
        <f>E230+H230</f>
        <v/>
      </c>
      <c r="L230" s="8">
        <f>J230+K230</f>
        <v/>
      </c>
      <c r="M230" s="9">
        <f>IF(C230=0,0,L230/C230*100)</f>
        <v/>
      </c>
    </row>
    <row r="231">
      <c r="A231" s="7" t="n">
        <v>3</v>
      </c>
      <c r="B231" s="8">
        <f>B7</f>
        <v/>
      </c>
      <c r="C231" s="8">
        <f>C7</f>
        <v/>
      </c>
      <c r="D231" s="14" t="n"/>
      <c r="E231" s="14" t="n"/>
      <c r="F231" s="8">
        <f>D231+E231</f>
        <v/>
      </c>
      <c r="G231" s="14" t="n"/>
      <c r="H231" s="14" t="n"/>
      <c r="I231" s="8">
        <f>G231+H231</f>
        <v/>
      </c>
      <c r="J231" s="8">
        <f>D231+G231</f>
        <v/>
      </c>
      <c r="K231" s="8">
        <f>E231+H231</f>
        <v/>
      </c>
      <c r="L231" s="8">
        <f>J231+K231</f>
        <v/>
      </c>
      <c r="M231" s="9">
        <f>IF(C231=0,0,L231/C231*100)</f>
        <v/>
      </c>
    </row>
    <row r="232">
      <c r="A232" s="7" t="n">
        <v>4</v>
      </c>
      <c r="B232" s="8">
        <f>B8</f>
        <v/>
      </c>
      <c r="C232" s="8">
        <f>C8</f>
        <v/>
      </c>
      <c r="D232" s="14" t="n"/>
      <c r="E232" s="14" t="n"/>
      <c r="F232" s="8">
        <f>D232+E232</f>
        <v/>
      </c>
      <c r="G232" s="14" t="n"/>
      <c r="H232" s="14" t="n"/>
      <c r="I232" s="8">
        <f>G232+H232</f>
        <v/>
      </c>
      <c r="J232" s="8">
        <f>D232+G232</f>
        <v/>
      </c>
      <c r="K232" s="8">
        <f>E232+H232</f>
        <v/>
      </c>
      <c r="L232" s="8">
        <f>J232+K232</f>
        <v/>
      </c>
      <c r="M232" s="9">
        <f>IF(C232=0,0,L232/C232*100)</f>
        <v/>
      </c>
    </row>
    <row r="233">
      <c r="A233" s="7" t="n">
        <v>5</v>
      </c>
      <c r="B233" s="8">
        <f>B9</f>
        <v/>
      </c>
      <c r="C233" s="8">
        <f>C9</f>
        <v/>
      </c>
      <c r="D233" s="14" t="n"/>
      <c r="E233" s="14" t="n"/>
      <c r="F233" s="8">
        <f>D233+E233</f>
        <v/>
      </c>
      <c r="G233" s="14" t="n"/>
      <c r="H233" s="14" t="n"/>
      <c r="I233" s="8">
        <f>G233+H233</f>
        <v/>
      </c>
      <c r="J233" s="8">
        <f>D233+G233</f>
        <v/>
      </c>
      <c r="K233" s="8">
        <f>E233+H233</f>
        <v/>
      </c>
      <c r="L233" s="8">
        <f>J233+K233</f>
        <v/>
      </c>
      <c r="M233" s="9">
        <f>IF(C233=0,0,L233/C233*100)</f>
        <v/>
      </c>
    </row>
    <row r="234">
      <c r="A234" s="7" t="n">
        <v>6</v>
      </c>
      <c r="B234" s="8">
        <f>B10</f>
        <v/>
      </c>
      <c r="C234" s="8">
        <f>C10</f>
        <v/>
      </c>
      <c r="D234" s="14" t="n"/>
      <c r="E234" s="14" t="n"/>
      <c r="F234" s="8">
        <f>D234+E234</f>
        <v/>
      </c>
      <c r="G234" s="14" t="n"/>
      <c r="H234" s="14" t="n"/>
      <c r="I234" s="8">
        <f>G234+H234</f>
        <v/>
      </c>
      <c r="J234" s="8">
        <f>D234+G234</f>
        <v/>
      </c>
      <c r="K234" s="8">
        <f>E234+H234</f>
        <v/>
      </c>
      <c r="L234" s="8">
        <f>J234+K234</f>
        <v/>
      </c>
      <c r="M234" s="9">
        <f>IF(C234=0,0,L234/C234*100)</f>
        <v/>
      </c>
    </row>
    <row r="235">
      <c r="A235" s="7" t="n">
        <v>7</v>
      </c>
      <c r="B235" s="8">
        <f>B11</f>
        <v/>
      </c>
      <c r="C235" s="8">
        <f>C11</f>
        <v/>
      </c>
      <c r="D235" s="14" t="n"/>
      <c r="E235" s="14" t="n"/>
      <c r="F235" s="8">
        <f>D235+E235</f>
        <v/>
      </c>
      <c r="G235" s="14" t="n"/>
      <c r="H235" s="14" t="n"/>
      <c r="I235" s="8">
        <f>G235+H235</f>
        <v/>
      </c>
      <c r="J235" s="8">
        <f>D235+G235</f>
        <v/>
      </c>
      <c r="K235" s="8">
        <f>E235+H235</f>
        <v/>
      </c>
      <c r="L235" s="8">
        <f>J235+K235</f>
        <v/>
      </c>
      <c r="M235" s="9">
        <f>IF(C235=0,0,L235/C235*100)</f>
        <v/>
      </c>
    </row>
    <row r="236">
      <c r="A236" s="7" t="n">
        <v>8</v>
      </c>
      <c r="B236" s="8">
        <f>B12</f>
        <v/>
      </c>
      <c r="C236" s="8">
        <f>C12</f>
        <v/>
      </c>
      <c r="D236" s="14" t="n"/>
      <c r="E236" s="14" t="n"/>
      <c r="F236" s="8">
        <f>D236+E236</f>
        <v/>
      </c>
      <c r="G236" s="14" t="n"/>
      <c r="H236" s="14" t="n"/>
      <c r="I236" s="8">
        <f>G236+H236</f>
        <v/>
      </c>
      <c r="J236" s="8">
        <f>D236+G236</f>
        <v/>
      </c>
      <c r="K236" s="8">
        <f>E236+H236</f>
        <v/>
      </c>
      <c r="L236" s="8">
        <f>J236+K236</f>
        <v/>
      </c>
      <c r="M236" s="9">
        <f>IF(C236=0,0,L236/C236*100)</f>
        <v/>
      </c>
    </row>
    <row r="237">
      <c r="A237" s="7" t="n">
        <v>9</v>
      </c>
      <c r="B237" s="8">
        <f>B13</f>
        <v/>
      </c>
      <c r="C237" s="8">
        <f>C13</f>
        <v/>
      </c>
      <c r="D237" s="14" t="n"/>
      <c r="E237" s="14" t="n"/>
      <c r="F237" s="8">
        <f>D237+E237</f>
        <v/>
      </c>
      <c r="G237" s="14" t="n"/>
      <c r="H237" s="14" t="n"/>
      <c r="I237" s="8">
        <f>G237+H237</f>
        <v/>
      </c>
      <c r="J237" s="8">
        <f>D237+G237</f>
        <v/>
      </c>
      <c r="K237" s="8">
        <f>E237+H237</f>
        <v/>
      </c>
      <c r="L237" s="8">
        <f>J237+K237</f>
        <v/>
      </c>
      <c r="M237" s="9">
        <f>IF(C237=0,0,L237/C237*100)</f>
        <v/>
      </c>
    </row>
    <row r="238">
      <c r="A238" s="7" t="n">
        <v>10</v>
      </c>
      <c r="B238" s="8">
        <f>B14</f>
        <v/>
      </c>
      <c r="C238" s="8">
        <f>C14</f>
        <v/>
      </c>
      <c r="D238" s="14" t="n"/>
      <c r="E238" s="14" t="n"/>
      <c r="F238" s="8">
        <f>D238+E238</f>
        <v/>
      </c>
      <c r="G238" s="14" t="n"/>
      <c r="H238" s="14" t="n"/>
      <c r="I238" s="8">
        <f>G238+H238</f>
        <v/>
      </c>
      <c r="J238" s="8">
        <f>D238+G238</f>
        <v/>
      </c>
      <c r="K238" s="8">
        <f>E238+H238</f>
        <v/>
      </c>
      <c r="L238" s="8">
        <f>J238+K238</f>
        <v/>
      </c>
      <c r="M238" s="9">
        <f>IF(C238=0,0,L238/C238*100)</f>
        <v/>
      </c>
    </row>
    <row r="239">
      <c r="A239" s="10" t="inlineStr">
        <is>
          <t>Total</t>
        </is>
      </c>
      <c r="B239" s="11">
        <f>SUM(B229:B238)</f>
        <v/>
      </c>
      <c r="C239" s="11">
        <f>SUM(C229:C238)</f>
        <v/>
      </c>
      <c r="D239" s="11">
        <f>SUM(D229:D238)</f>
        <v/>
      </c>
      <c r="E239" s="11">
        <f>SUM(E229:E238)</f>
        <v/>
      </c>
      <c r="F239" s="11">
        <f>D239+E239</f>
        <v/>
      </c>
      <c r="G239" s="11">
        <f>SUM(G229:G238)</f>
        <v/>
      </c>
      <c r="H239" s="11">
        <f>SUM(H229:H238)</f>
        <v/>
      </c>
      <c r="I239" s="11">
        <f>G239+H239</f>
        <v/>
      </c>
      <c r="J239" s="11">
        <f>D239+G239</f>
        <v/>
      </c>
      <c r="K239" s="11">
        <f>E239+H239</f>
        <v/>
      </c>
      <c r="L239" s="11">
        <f>J239+K239</f>
        <v/>
      </c>
      <c r="M239" s="12">
        <f>IF(C239=0,0,L239/C239*100)</f>
        <v/>
      </c>
    </row>
    <row r="241">
      <c r="A241" s="13" t="inlineStr">
        <is>
          <t>Day 15 - 2026-10-19 (Mon 02 Kartik 2083)</t>
        </is>
      </c>
    </row>
    <row r="242">
      <c r="A242" s="6" t="inlineStr">
        <is>
          <t>Ward no.</t>
        </is>
      </c>
      <c r="B242" s="6" t="inlineStr">
        <is>
          <t>Total population</t>
        </is>
      </c>
      <c r="C242" s="6" t="inlineStr">
        <is>
          <t>JE target population</t>
        </is>
      </c>
      <c r="D242" s="6" t="inlineStr">
        <is>
          <t>Vaccinated</t>
        </is>
      </c>
      <c r="E242" s="6" t="n"/>
      <c r="F242" s="6" t="n"/>
      <c r="G242" s="6" t="n"/>
      <c r="H242" s="6" t="n"/>
      <c r="I242" s="6" t="n"/>
      <c r="J242" s="6" t="n"/>
      <c r="K242" s="6" t="n"/>
      <c r="L242" s="6" t="n"/>
      <c r="M242" s="6" t="inlineStr">
        <is>
          <t>Progress %</t>
        </is>
      </c>
    </row>
    <row r="243">
      <c r="A243" s="6" t="n"/>
      <c r="B243" s="6" t="n"/>
      <c r="C243" s="6" t="n"/>
      <c r="D243" s="6" t="inlineStr">
        <is>
          <t>Age 30-60 yrs</t>
        </is>
      </c>
      <c r="E243" s="6" t="n"/>
      <c r="F243" s="6" t="n"/>
      <c r="G243" s="6" t="inlineStr">
        <is>
          <t>Age 60 above</t>
        </is>
      </c>
      <c r="H243" s="6" t="n"/>
      <c r="I243" s="6" t="n"/>
      <c r="J243" s="6" t="inlineStr">
        <is>
          <t>Total</t>
        </is>
      </c>
      <c r="K243" s="6" t="n"/>
      <c r="L243" s="6" t="inlineStr">
        <is>
          <t>Grand Total</t>
        </is>
      </c>
      <c r="M243" s="6" t="n"/>
    </row>
    <row r="244">
      <c r="A244" s="6" t="n"/>
      <c r="B244" s="6" t="n"/>
      <c r="C244" s="6" t="n"/>
      <c r="D244" s="6" t="inlineStr">
        <is>
          <t>F</t>
        </is>
      </c>
      <c r="E244" s="6" t="inlineStr">
        <is>
          <t>M</t>
        </is>
      </c>
      <c r="F244" s="6" t="inlineStr">
        <is>
          <t>Total</t>
        </is>
      </c>
      <c r="G244" s="6" t="inlineStr">
        <is>
          <t>F</t>
        </is>
      </c>
      <c r="H244" s="6" t="inlineStr">
        <is>
          <t>M</t>
        </is>
      </c>
      <c r="I244" s="6" t="inlineStr">
        <is>
          <t>Total</t>
        </is>
      </c>
      <c r="J244" s="6" t="inlineStr">
        <is>
          <t>F</t>
        </is>
      </c>
      <c r="K244" s="6" t="inlineStr">
        <is>
          <t>M</t>
        </is>
      </c>
      <c r="L244" s="6" t="n"/>
      <c r="M244" s="6" t="n"/>
    </row>
    <row r="245">
      <c r="A245" s="7" t="n">
        <v>1</v>
      </c>
      <c r="B245" s="8">
        <f>B5</f>
        <v/>
      </c>
      <c r="C245" s="8">
        <f>C5</f>
        <v/>
      </c>
      <c r="D245" s="14" t="n"/>
      <c r="E245" s="14" t="n"/>
      <c r="F245" s="8">
        <f>D245+E245</f>
        <v/>
      </c>
      <c r="G245" s="14" t="n"/>
      <c r="H245" s="14" t="n"/>
      <c r="I245" s="8">
        <f>G245+H245</f>
        <v/>
      </c>
      <c r="J245" s="8">
        <f>D245+G245</f>
        <v/>
      </c>
      <c r="K245" s="8">
        <f>E245+H245</f>
        <v/>
      </c>
      <c r="L245" s="8">
        <f>J245+K245</f>
        <v/>
      </c>
      <c r="M245" s="9">
        <f>IF(C245=0,0,L245/C245*100)</f>
        <v/>
      </c>
    </row>
    <row r="246">
      <c r="A246" s="7" t="n">
        <v>2</v>
      </c>
      <c r="B246" s="8">
        <f>B6</f>
        <v/>
      </c>
      <c r="C246" s="8">
        <f>C6</f>
        <v/>
      </c>
      <c r="D246" s="14" t="n"/>
      <c r="E246" s="14" t="n"/>
      <c r="F246" s="8">
        <f>D246+E246</f>
        <v/>
      </c>
      <c r="G246" s="14" t="n"/>
      <c r="H246" s="14" t="n"/>
      <c r="I246" s="8">
        <f>G246+H246</f>
        <v/>
      </c>
      <c r="J246" s="8">
        <f>D246+G246</f>
        <v/>
      </c>
      <c r="K246" s="8">
        <f>E246+H246</f>
        <v/>
      </c>
      <c r="L246" s="8">
        <f>J246+K246</f>
        <v/>
      </c>
      <c r="M246" s="9">
        <f>IF(C246=0,0,L246/C246*100)</f>
        <v/>
      </c>
    </row>
    <row r="247">
      <c r="A247" s="7" t="n">
        <v>3</v>
      </c>
      <c r="B247" s="8">
        <f>B7</f>
        <v/>
      </c>
      <c r="C247" s="8">
        <f>C7</f>
        <v/>
      </c>
      <c r="D247" s="14" t="n"/>
      <c r="E247" s="14" t="n"/>
      <c r="F247" s="8">
        <f>D247+E247</f>
        <v/>
      </c>
      <c r="G247" s="14" t="n"/>
      <c r="H247" s="14" t="n"/>
      <c r="I247" s="8">
        <f>G247+H247</f>
        <v/>
      </c>
      <c r="J247" s="8">
        <f>D247+G247</f>
        <v/>
      </c>
      <c r="K247" s="8">
        <f>E247+H247</f>
        <v/>
      </c>
      <c r="L247" s="8">
        <f>J247+K247</f>
        <v/>
      </c>
      <c r="M247" s="9">
        <f>IF(C247=0,0,L247/C247*100)</f>
        <v/>
      </c>
    </row>
    <row r="248">
      <c r="A248" s="7" t="n">
        <v>4</v>
      </c>
      <c r="B248" s="8">
        <f>B8</f>
        <v/>
      </c>
      <c r="C248" s="8">
        <f>C8</f>
        <v/>
      </c>
      <c r="D248" s="14" t="n"/>
      <c r="E248" s="14" t="n"/>
      <c r="F248" s="8">
        <f>D248+E248</f>
        <v/>
      </c>
      <c r="G248" s="14" t="n"/>
      <c r="H248" s="14" t="n"/>
      <c r="I248" s="8">
        <f>G248+H248</f>
        <v/>
      </c>
      <c r="J248" s="8">
        <f>D248+G248</f>
        <v/>
      </c>
      <c r="K248" s="8">
        <f>E248+H248</f>
        <v/>
      </c>
      <c r="L248" s="8">
        <f>J248+K248</f>
        <v/>
      </c>
      <c r="M248" s="9">
        <f>IF(C248=0,0,L248/C248*100)</f>
        <v/>
      </c>
    </row>
    <row r="249">
      <c r="A249" s="7" t="n">
        <v>5</v>
      </c>
      <c r="B249" s="8">
        <f>B9</f>
        <v/>
      </c>
      <c r="C249" s="8">
        <f>C9</f>
        <v/>
      </c>
      <c r="D249" s="14" t="n"/>
      <c r="E249" s="14" t="n"/>
      <c r="F249" s="8">
        <f>D249+E249</f>
        <v/>
      </c>
      <c r="G249" s="14" t="n"/>
      <c r="H249" s="14" t="n"/>
      <c r="I249" s="8">
        <f>G249+H249</f>
        <v/>
      </c>
      <c r="J249" s="8">
        <f>D249+G249</f>
        <v/>
      </c>
      <c r="K249" s="8">
        <f>E249+H249</f>
        <v/>
      </c>
      <c r="L249" s="8">
        <f>J249+K249</f>
        <v/>
      </c>
      <c r="M249" s="9">
        <f>IF(C249=0,0,L249/C249*100)</f>
        <v/>
      </c>
    </row>
    <row r="250">
      <c r="A250" s="7" t="n">
        <v>6</v>
      </c>
      <c r="B250" s="8">
        <f>B10</f>
        <v/>
      </c>
      <c r="C250" s="8">
        <f>C10</f>
        <v/>
      </c>
      <c r="D250" s="14" t="n"/>
      <c r="E250" s="14" t="n"/>
      <c r="F250" s="8">
        <f>D250+E250</f>
        <v/>
      </c>
      <c r="G250" s="14" t="n"/>
      <c r="H250" s="14" t="n"/>
      <c r="I250" s="8">
        <f>G250+H250</f>
        <v/>
      </c>
      <c r="J250" s="8">
        <f>D250+G250</f>
        <v/>
      </c>
      <c r="K250" s="8">
        <f>E250+H250</f>
        <v/>
      </c>
      <c r="L250" s="8">
        <f>J250+K250</f>
        <v/>
      </c>
      <c r="M250" s="9">
        <f>IF(C250=0,0,L250/C250*100)</f>
        <v/>
      </c>
    </row>
    <row r="251">
      <c r="A251" s="7" t="n">
        <v>7</v>
      </c>
      <c r="B251" s="8">
        <f>B11</f>
        <v/>
      </c>
      <c r="C251" s="8">
        <f>C11</f>
        <v/>
      </c>
      <c r="D251" s="14" t="n"/>
      <c r="E251" s="14" t="n"/>
      <c r="F251" s="8">
        <f>D251+E251</f>
        <v/>
      </c>
      <c r="G251" s="14" t="n"/>
      <c r="H251" s="14" t="n"/>
      <c r="I251" s="8">
        <f>G251+H251</f>
        <v/>
      </c>
      <c r="J251" s="8">
        <f>D251+G251</f>
        <v/>
      </c>
      <c r="K251" s="8">
        <f>E251+H251</f>
        <v/>
      </c>
      <c r="L251" s="8">
        <f>J251+K251</f>
        <v/>
      </c>
      <c r="M251" s="9">
        <f>IF(C251=0,0,L251/C251*100)</f>
        <v/>
      </c>
    </row>
    <row r="252">
      <c r="A252" s="7" t="n">
        <v>8</v>
      </c>
      <c r="B252" s="8">
        <f>B12</f>
        <v/>
      </c>
      <c r="C252" s="8">
        <f>C12</f>
        <v/>
      </c>
      <c r="D252" s="14" t="n"/>
      <c r="E252" s="14" t="n"/>
      <c r="F252" s="8">
        <f>D252+E252</f>
        <v/>
      </c>
      <c r="G252" s="14" t="n"/>
      <c r="H252" s="14" t="n"/>
      <c r="I252" s="8">
        <f>G252+H252</f>
        <v/>
      </c>
      <c r="J252" s="8">
        <f>D252+G252</f>
        <v/>
      </c>
      <c r="K252" s="8">
        <f>E252+H252</f>
        <v/>
      </c>
      <c r="L252" s="8">
        <f>J252+K252</f>
        <v/>
      </c>
      <c r="M252" s="9">
        <f>IF(C252=0,0,L252/C252*100)</f>
        <v/>
      </c>
    </row>
    <row r="253">
      <c r="A253" s="7" t="n">
        <v>9</v>
      </c>
      <c r="B253" s="8">
        <f>B13</f>
        <v/>
      </c>
      <c r="C253" s="8">
        <f>C13</f>
        <v/>
      </c>
      <c r="D253" s="14" t="n"/>
      <c r="E253" s="14" t="n"/>
      <c r="F253" s="8">
        <f>D253+E253</f>
        <v/>
      </c>
      <c r="G253" s="14" t="n"/>
      <c r="H253" s="14" t="n"/>
      <c r="I253" s="8">
        <f>G253+H253</f>
        <v/>
      </c>
      <c r="J253" s="8">
        <f>D253+G253</f>
        <v/>
      </c>
      <c r="K253" s="8">
        <f>E253+H253</f>
        <v/>
      </c>
      <c r="L253" s="8">
        <f>J253+K253</f>
        <v/>
      </c>
      <c r="M253" s="9">
        <f>IF(C253=0,0,L253/C253*100)</f>
        <v/>
      </c>
    </row>
    <row r="254">
      <c r="A254" s="7" t="n">
        <v>10</v>
      </c>
      <c r="B254" s="8">
        <f>B14</f>
        <v/>
      </c>
      <c r="C254" s="8">
        <f>C14</f>
        <v/>
      </c>
      <c r="D254" s="14" t="n"/>
      <c r="E254" s="14" t="n"/>
      <c r="F254" s="8">
        <f>D254+E254</f>
        <v/>
      </c>
      <c r="G254" s="14" t="n"/>
      <c r="H254" s="14" t="n"/>
      <c r="I254" s="8">
        <f>G254+H254</f>
        <v/>
      </c>
      <c r="J254" s="8">
        <f>D254+G254</f>
        <v/>
      </c>
      <c r="K254" s="8">
        <f>E254+H254</f>
        <v/>
      </c>
      <c r="L254" s="8">
        <f>J254+K254</f>
        <v/>
      </c>
      <c r="M254" s="9">
        <f>IF(C254=0,0,L254/C254*100)</f>
        <v/>
      </c>
    </row>
    <row r="255">
      <c r="A255" s="10" t="inlineStr">
        <is>
          <t>Total</t>
        </is>
      </c>
      <c r="B255" s="11">
        <f>SUM(B245:B254)</f>
        <v/>
      </c>
      <c r="C255" s="11">
        <f>SUM(C245:C254)</f>
        <v/>
      </c>
      <c r="D255" s="11">
        <f>SUM(D245:D254)</f>
        <v/>
      </c>
      <c r="E255" s="11">
        <f>SUM(E245:E254)</f>
        <v/>
      </c>
      <c r="F255" s="11">
        <f>D255+E255</f>
        <v/>
      </c>
      <c r="G255" s="11">
        <f>SUM(G245:G254)</f>
        <v/>
      </c>
      <c r="H255" s="11">
        <f>SUM(H245:H254)</f>
        <v/>
      </c>
      <c r="I255" s="11">
        <f>G255+H255</f>
        <v/>
      </c>
      <c r="J255" s="11">
        <f>D255+G255</f>
        <v/>
      </c>
      <c r="K255" s="11">
        <f>E255+H255</f>
        <v/>
      </c>
      <c r="L255" s="11">
        <f>J255+K255</f>
        <v/>
      </c>
      <c r="M255" s="12">
        <f>IF(C255=0,0,L255/C255*100)</f>
        <v/>
      </c>
    </row>
  </sheetData>
  <sheetProtection selectLockedCells="0" selectUnlockedCells="0" sheet="1" objects="0" insertRows="1" insertHyperlinks="1" autoFilter="1" scenarios="0" formatColumns="0" deleteColumns="1" insertColumns="1" pivotTables="1" deleteRows="1" formatCells="0" formatRows="0" sort="1"/>
  <mergeCells count="160">
    <mergeCell ref="B146:B148"/>
    <mergeCell ref="D195:F195"/>
    <mergeCell ref="M242:M244"/>
    <mergeCell ref="A210:A212"/>
    <mergeCell ref="B34:B36"/>
    <mergeCell ref="L3:L4"/>
    <mergeCell ref="A97:M97"/>
    <mergeCell ref="L83:L84"/>
    <mergeCell ref="J19:K19"/>
    <mergeCell ref="D179:F179"/>
    <mergeCell ref="A194:A196"/>
    <mergeCell ref="C194:C196"/>
    <mergeCell ref="A81:M81"/>
    <mergeCell ref="A130:A132"/>
    <mergeCell ref="A161:M161"/>
    <mergeCell ref="G195:I195"/>
    <mergeCell ref="M162:M164"/>
    <mergeCell ref="L147:L148"/>
    <mergeCell ref="A226:A228"/>
    <mergeCell ref="D114:L114"/>
    <mergeCell ref="C18:C20"/>
    <mergeCell ref="M146:M148"/>
    <mergeCell ref="D98:L98"/>
    <mergeCell ref="D226:L226"/>
    <mergeCell ref="L211:L212"/>
    <mergeCell ref="J147:K147"/>
    <mergeCell ref="A241:M241"/>
    <mergeCell ref="B242:B244"/>
    <mergeCell ref="M82:M84"/>
    <mergeCell ref="G131:I131"/>
    <mergeCell ref="A50:A52"/>
    <mergeCell ref="C50:C52"/>
    <mergeCell ref="G115:I115"/>
    <mergeCell ref="D34:L34"/>
    <mergeCell ref="B210:B212"/>
    <mergeCell ref="B98:B100"/>
    <mergeCell ref="G179:I179"/>
    <mergeCell ref="B178:B180"/>
    <mergeCell ref="J163:K163"/>
    <mergeCell ref="A33:M33"/>
    <mergeCell ref="D2:L2"/>
    <mergeCell ref="B162:B164"/>
    <mergeCell ref="C130:C132"/>
    <mergeCell ref="J243:K243"/>
    <mergeCell ref="D163:F163"/>
    <mergeCell ref="D66:L66"/>
    <mergeCell ref="C178:C180"/>
    <mergeCell ref="D147:F147"/>
    <mergeCell ref="D227:F227"/>
    <mergeCell ref="J99:K99"/>
    <mergeCell ref="D211:F211"/>
    <mergeCell ref="A114:A116"/>
    <mergeCell ref="D3:F3"/>
    <mergeCell ref="J83:K83"/>
    <mergeCell ref="D83:F83"/>
    <mergeCell ref="G51:I51"/>
    <mergeCell ref="A98:A100"/>
    <mergeCell ref="G227:I227"/>
    <mergeCell ref="C98:C100"/>
    <mergeCell ref="L35:L36"/>
    <mergeCell ref="L163:L164"/>
    <mergeCell ref="A225:M225"/>
    <mergeCell ref="D67:F67"/>
    <mergeCell ref="G211:I211"/>
    <mergeCell ref="A82:A84"/>
    <mergeCell ref="B130:B132"/>
    <mergeCell ref="L99:L100"/>
    <mergeCell ref="M226:M228"/>
    <mergeCell ref="M178:M180"/>
    <mergeCell ref="A146:A148"/>
    <mergeCell ref="A177:M177"/>
    <mergeCell ref="C146:C148"/>
    <mergeCell ref="J3:K3"/>
    <mergeCell ref="J51:K51"/>
    <mergeCell ref="A145:M145"/>
    <mergeCell ref="A129:M129"/>
    <mergeCell ref="G147:I147"/>
    <mergeCell ref="A18:A20"/>
    <mergeCell ref="L243:L244"/>
    <mergeCell ref="L131:L132"/>
    <mergeCell ref="M18:M20"/>
    <mergeCell ref="D242:L242"/>
    <mergeCell ref="A2:A4"/>
    <mergeCell ref="G19:I19"/>
    <mergeCell ref="C2:C4"/>
    <mergeCell ref="D194:L194"/>
    <mergeCell ref="A17:M17"/>
    <mergeCell ref="C82:C84"/>
    <mergeCell ref="G3:I3"/>
    <mergeCell ref="B226:B228"/>
    <mergeCell ref="L195:L196"/>
    <mergeCell ref="J131:K131"/>
    <mergeCell ref="G83:I83"/>
    <mergeCell ref="D162:L162"/>
    <mergeCell ref="C66:C68"/>
    <mergeCell ref="J211:K211"/>
    <mergeCell ref="A34:A36"/>
    <mergeCell ref="D146:L146"/>
    <mergeCell ref="J195:K195"/>
    <mergeCell ref="C34:C36"/>
    <mergeCell ref="B66:B68"/>
    <mergeCell ref="B194:B196"/>
    <mergeCell ref="B50:B52"/>
    <mergeCell ref="J179:K179"/>
    <mergeCell ref="A49:M49"/>
    <mergeCell ref="D51:F51"/>
    <mergeCell ref="J35:K35"/>
    <mergeCell ref="A1:M1"/>
    <mergeCell ref="C210:C212"/>
    <mergeCell ref="M114:M116"/>
    <mergeCell ref="D35:F35"/>
    <mergeCell ref="A178:A180"/>
    <mergeCell ref="D115:F115"/>
    <mergeCell ref="B2:B4"/>
    <mergeCell ref="A65:M65"/>
    <mergeCell ref="M98:M100"/>
    <mergeCell ref="L115:L116"/>
    <mergeCell ref="A162:A164"/>
    <mergeCell ref="D243:F243"/>
    <mergeCell ref="D99:F99"/>
    <mergeCell ref="C162:C164"/>
    <mergeCell ref="A193:M193"/>
    <mergeCell ref="A242:A244"/>
    <mergeCell ref="C114:C116"/>
    <mergeCell ref="C242:C244"/>
    <mergeCell ref="L179:L180"/>
    <mergeCell ref="J115:K115"/>
    <mergeCell ref="C226:C228"/>
    <mergeCell ref="A113:M113"/>
    <mergeCell ref="G243:I243"/>
    <mergeCell ref="J67:K67"/>
    <mergeCell ref="M210:M212"/>
    <mergeCell ref="M66:M68"/>
    <mergeCell ref="D210:L210"/>
    <mergeCell ref="A209:M209"/>
    <mergeCell ref="M194:M196"/>
    <mergeCell ref="B114:B116"/>
    <mergeCell ref="D18:L18"/>
    <mergeCell ref="G35:I35"/>
    <mergeCell ref="G163:I163"/>
    <mergeCell ref="M130:M132"/>
    <mergeCell ref="M50:M52"/>
    <mergeCell ref="D130:L130"/>
    <mergeCell ref="D82:L82"/>
    <mergeCell ref="G99:I99"/>
    <mergeCell ref="M34:M36"/>
    <mergeCell ref="J227:K227"/>
    <mergeCell ref="L51:L52"/>
    <mergeCell ref="L227:L228"/>
    <mergeCell ref="D50:L50"/>
    <mergeCell ref="M2:M4"/>
    <mergeCell ref="D178:L178"/>
    <mergeCell ref="B18:B20"/>
    <mergeCell ref="A66:A68"/>
    <mergeCell ref="D19:F19"/>
    <mergeCell ref="G67:I67"/>
    <mergeCell ref="B82:B84"/>
    <mergeCell ref="D131:F131"/>
    <mergeCell ref="L67:L68"/>
    <mergeCell ref="L19:L20"/>
  </mergeCells>
  <dataValidations count="1">
    <dataValidation sqref="D21 D22 D23 D24 D25 D26 D27 D28 D29 D30 D37 D38 D39 D40 D41 D42 D43 D44 D45 D46 D53 D54 D55 D56 D57 D58 D59 D60 D61 D62 D69 D70 D71 D72 D73 D74 D75 D76 D77 D78 D85 D86 D87 D88 D89 D90 D91 D92 D93 D94 D101 D102 D103 D104 D105 D106 D107 D108 D109 D110 D117 D118 D119 D120 D121 D122 D123 D124 D125 D126 D133 D134 D135 D136 D137 D138 D139 D140 D141 D142 D149 D150 D151 D152 D153 D154 D155 D156 D157 D158 D165 D166 D167 D168 D169 D170 D171 D172 D173 D174 D181 D182 D183 D184 D185 D186 D187 D188 D189 D190 D197 D198 D199 D200 D201 D202 D203 D204 D205 D206 D213 D214 D215 D216 D217 D218 D219 D220 D221 D222 D229 D230 D231 D232 D233 D234 D235 D236 D237 D238 D245 D246 D247 D248 D249 D250 D251 D252 D253 D254 E21 E22 E23 E24 E25 E26 E27 E28 E29 E30 E37 E38 E39 E40 E41 E42 E43 E44 E45 E46 E53 E54 E55 E56 E57 E58 E59 E60 E61 E62 E69 E70 E71 E72 E73 E74 E75 E76 E77 E78 E85 E86 E87 E88 E89 E90 E91 E92 E93 E94 E101 E102 E103 E104 E105 E106 E107 E108 E109 E110 E117 E118 E119 E120 E121 E122 E123 E124 E125 E126 E133 E134 E135 E136 E137 E138 E139 E140 E141 E142 E149 E150 E151 E152 E153 E154 E155 E156 E157 E158 E165 E166 E167 E168 E169 E170 E171 E172 E173 E174 E181 E182 E183 E184 E185 E186 E187 E188 E189 E190 E197 E198 E199 E200 E201 E202 E203 E204 E205 E206 E213 E214 E215 E216 E217 E218 E219 E220 E221 E222 E229 E230 E231 E232 E233 E234 E235 E236 E237 E238 E245 E246 E247 E248 E249 E250 E251 E252 E253 E254 G21 G22 G23 G24 G25 G26 G27 G28 G29 G30 G37 G38 G39 G40 G41 G42 G43 G44 G45 G46 G53 G54 G55 G56 G57 G58 G59 G60 G61 G62 G69 G70 G71 G72 G73 G74 G75 G76 G77 G78 G85 G86 G87 G88 G89 G90 G91 G92 G93 G94 G101 G102 G103 G104 G105 G106 G107 G108 G109 G110 G117 G118 G119 G120 G121 G122 G123 G124 G125 G126 G133 G134 G135 G136 G137 G138 G139 G140 G141 G142 G149 G150 G151 G152 G153 G154 G155 G156 G157 G158 G165 G166 G167 G168 G169 G170 G171 G172 G173 G174 G181 G182 G183 G184 G185 G186 G187 G188 G189 G190 G197 G198 G199 G200 G201 G202 G203 G204 G205 G206 G213 G214 G215 G216 G217 G218 G219 G220 G221 G222 G229 G230 G231 G232 G233 G234 G235 G236 G237 G238 G245 G246 G247 G248 G249 G250 G251 G252 G253 G254 H21 H22 H23 H24 H25 H26 H27 H28 H29 H30 H37 H38 H39 H40 H41 H42 H43 H44 H45 H46 H53 H54 H55 H56 H57 H58 H59 H60 H61 H62 H69 H70 H71 H72 H73 H74 H75 H76 H77 H78 H85 H86 H87 H88 H89 H90 H91 H92 H93 H94 H101 H102 H103 H104 H105 H106 H107 H108 H109 H110 H117 H118 H119 H120 H121 H122 H123 H124 H125 H126 H133 H134 H135 H136 H137 H138 H139 H140 H141 H142 H149 H150 H151 H152 H153 H154 H155 H156 H157 H158 H165 H166 H167 H168 H169 H170 H171 H172 H173 H174 H181 H182 H183 H184 H185 H186 H187 H188 H189 H190 H197 H198 H199 H200 H201 H202 H203 H204 H205 H206 H213 H214 H215 H216 H217 H218 H219 H220 H221 H222 H229 H230 H231 H232 H233 H234 H235 H236 H237 H238 H245 H246 H247 H248 H249 H250 H251 H252 H253 H254" showDropDown="0" showInputMessage="0" showErrorMessage="1" allowBlank="0" errorTitle="Whole number only" error="Enter a whole number of 0 or more." type="whole" operator="greaterThanOrEqual">
      <formula1>0</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39"/>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13"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10" customWidth="1" min="12" max="12"/>
    <col width="9" customWidth="1" min="13" max="13"/>
  </cols>
  <sheetData>
    <row r="1">
      <c r="A1" s="5" t="inlineStr">
        <is>
          <t>Gauradaha Municipality - Campaign Total (5-19 Oct 2026)</t>
        </is>
      </c>
    </row>
    <row r="2">
      <c r="A2" s="6" t="inlineStr">
        <is>
          <t>Ward no.</t>
        </is>
      </c>
      <c r="B2" s="6" t="inlineStr">
        <is>
          <t>Total population</t>
        </is>
      </c>
      <c r="C2" s="6" t="inlineStr">
        <is>
          <t>JE target population</t>
        </is>
      </c>
      <c r="D2" s="6" t="inlineStr">
        <is>
          <t>Vaccinated</t>
        </is>
      </c>
      <c r="E2" s="6" t="n"/>
      <c r="F2" s="6" t="n"/>
      <c r="G2" s="6" t="n"/>
      <c r="H2" s="6" t="n"/>
      <c r="I2" s="6" t="n"/>
      <c r="J2" s="6" t="n"/>
      <c r="K2" s="6" t="n"/>
      <c r="L2" s="6" t="n"/>
      <c r="M2" s="6" t="inlineStr">
        <is>
          <t>Progress %</t>
        </is>
      </c>
    </row>
    <row r="3">
      <c r="A3" s="6" t="n"/>
      <c r="B3" s="6" t="n"/>
      <c r="C3" s="6" t="n"/>
      <c r="D3" s="6" t="inlineStr">
        <is>
          <t>Age 30-60 yrs</t>
        </is>
      </c>
      <c r="E3" s="6" t="n"/>
      <c r="F3" s="6" t="n"/>
      <c r="G3" s="6" t="inlineStr">
        <is>
          <t>Age 60 above</t>
        </is>
      </c>
      <c r="H3" s="6" t="n"/>
      <c r="I3" s="6" t="n"/>
      <c r="J3" s="6" t="inlineStr">
        <is>
          <t>Total</t>
        </is>
      </c>
      <c r="K3" s="6" t="n"/>
      <c r="L3" s="6" t="inlineStr">
        <is>
          <t>Grand Total</t>
        </is>
      </c>
      <c r="M3" s="6" t="n"/>
    </row>
    <row r="4">
      <c r="A4" s="6" t="n"/>
      <c r="B4" s="6" t="n"/>
      <c r="C4" s="6" t="n"/>
      <c r="D4" s="6" t="inlineStr">
        <is>
          <t>F</t>
        </is>
      </c>
      <c r="E4" s="6" t="inlineStr">
        <is>
          <t>M</t>
        </is>
      </c>
      <c r="F4" s="6" t="inlineStr">
        <is>
          <t>Total</t>
        </is>
      </c>
      <c r="G4" s="6" t="inlineStr">
        <is>
          <t>F</t>
        </is>
      </c>
      <c r="H4" s="6" t="inlineStr">
        <is>
          <t>M</t>
        </is>
      </c>
      <c r="I4" s="6" t="inlineStr">
        <is>
          <t>Total</t>
        </is>
      </c>
      <c r="J4" s="6" t="inlineStr">
        <is>
          <t>F</t>
        </is>
      </c>
      <c r="K4" s="6" t="inlineStr">
        <is>
          <t>M</t>
        </is>
      </c>
      <c r="L4" s="6" t="n"/>
      <c r="M4" s="6" t="n"/>
    </row>
    <row r="5">
      <c r="A5" s="7" t="n">
        <v>1</v>
      </c>
      <c r="B5" s="8" t="n">
        <v>10136</v>
      </c>
      <c r="C5" s="8" t="n">
        <v>4865.28</v>
      </c>
      <c r="D5" s="8">
        <f>D20+D35+D50+D65+D80+D95+D110+D125+D140+D155+D170+D185+D200+D215+D230</f>
        <v/>
      </c>
      <c r="E5" s="8">
        <f>E20+E35+E50+E65+E80+E95+E110+E125+E140+E155+E170+E185+E200+E215+E230</f>
        <v/>
      </c>
      <c r="F5" s="8">
        <f>D5+E5</f>
        <v/>
      </c>
      <c r="G5" s="8">
        <f>G20+G35+G50+G65+G80+G95+G110+G125+G140+G155+G170+G185+G200+G215+G230</f>
        <v/>
      </c>
      <c r="H5" s="8">
        <f>H20+H35+H50+H65+H80+H95+H110+H125+H140+H155+H170+H185+H200+H215+H230</f>
        <v/>
      </c>
      <c r="I5" s="8">
        <f>G5+H5</f>
        <v/>
      </c>
      <c r="J5" s="8">
        <f>D5+G5</f>
        <v/>
      </c>
      <c r="K5" s="8">
        <f>E5+H5</f>
        <v/>
      </c>
      <c r="L5" s="8">
        <f>J5+K5</f>
        <v/>
      </c>
      <c r="M5" s="9">
        <f>IF(C5=0,0,L5/C5*100)</f>
        <v/>
      </c>
    </row>
    <row r="6">
      <c r="A6" s="7" t="n">
        <v>2</v>
      </c>
      <c r="B6" s="8" t="n">
        <v>5101</v>
      </c>
      <c r="C6" s="8" t="n">
        <v>2448.48</v>
      </c>
      <c r="D6" s="8">
        <f>D21+D36+D51+D66+D81+D96+D111+D126+D141+D156+D171+D186+D201+D216+D231</f>
        <v/>
      </c>
      <c r="E6" s="8">
        <f>E21+E36+E51+E66+E81+E96+E111+E126+E141+E156+E171+E186+E201+E216+E231</f>
        <v/>
      </c>
      <c r="F6" s="8">
        <f>D6+E6</f>
        <v/>
      </c>
      <c r="G6" s="8">
        <f>G21+G36+G51+G66+G81+G96+G111+G126+G141+G156+G171+G186+G201+G216+G231</f>
        <v/>
      </c>
      <c r="H6" s="8">
        <f>H21+H36+H51+H66+H81+H96+H111+H126+H141+H156+H171+H186+H201+H216+H231</f>
        <v/>
      </c>
      <c r="I6" s="8">
        <f>G6+H6</f>
        <v/>
      </c>
      <c r="J6" s="8">
        <f>D6+G6</f>
        <v/>
      </c>
      <c r="K6" s="8">
        <f>E6+H6</f>
        <v/>
      </c>
      <c r="L6" s="8">
        <f>J6+K6</f>
        <v/>
      </c>
      <c r="M6" s="9">
        <f>IF(C6=0,0,L6/C6*100)</f>
        <v/>
      </c>
    </row>
    <row r="7">
      <c r="A7" s="7" t="n">
        <v>3</v>
      </c>
      <c r="B7" s="8" t="n">
        <v>4836</v>
      </c>
      <c r="C7" s="8" t="n">
        <v>2321.28</v>
      </c>
      <c r="D7" s="8">
        <f>D22+D37+D52+D67+D82+D97+D112+D127+D142+D157+D172+D187+D202+D217+D232</f>
        <v/>
      </c>
      <c r="E7" s="8">
        <f>E22+E37+E52+E67+E82+E97+E112+E127+E142+E157+E172+E187+E202+E217+E232</f>
        <v/>
      </c>
      <c r="F7" s="8">
        <f>D7+E7</f>
        <v/>
      </c>
      <c r="G7" s="8">
        <f>G22+G37+G52+G67+G82+G97+G112+G127+G142+G157+G172+G187+G202+G217+G232</f>
        <v/>
      </c>
      <c r="H7" s="8">
        <f>H22+H37+H52+H67+H82+H97+H112+H127+H142+H157+H172+H187+H202+H217+H232</f>
        <v/>
      </c>
      <c r="I7" s="8">
        <f>G7+H7</f>
        <v/>
      </c>
      <c r="J7" s="8">
        <f>D7+G7</f>
        <v/>
      </c>
      <c r="K7" s="8">
        <f>E7+H7</f>
        <v/>
      </c>
      <c r="L7" s="8">
        <f>J7+K7</f>
        <v/>
      </c>
      <c r="M7" s="9">
        <f>IF(C7=0,0,L7/C7*100)</f>
        <v/>
      </c>
    </row>
    <row r="8">
      <c r="A8" s="7" t="n">
        <v>4</v>
      </c>
      <c r="B8" s="8" t="n">
        <v>7697</v>
      </c>
      <c r="C8" s="8" t="n">
        <v>3694.56</v>
      </c>
      <c r="D8" s="8">
        <f>D23+D38+D53+D68+D83+D98+D113+D128+D143+D158+D173+D188+D203+D218+D233</f>
        <v/>
      </c>
      <c r="E8" s="8">
        <f>E23+E38+E53+E68+E83+E98+E113+E128+E143+E158+E173+E188+E203+E218+E233</f>
        <v/>
      </c>
      <c r="F8" s="8">
        <f>D8+E8</f>
        <v/>
      </c>
      <c r="G8" s="8">
        <f>G23+G38+G53+G68+G83+G98+G113+G128+G143+G158+G173+G188+G203+G218+G233</f>
        <v/>
      </c>
      <c r="H8" s="8">
        <f>H23+H38+H53+H68+H83+H98+H113+H128+H143+H158+H173+H188+H203+H218+H233</f>
        <v/>
      </c>
      <c r="I8" s="8">
        <f>G8+H8</f>
        <v/>
      </c>
      <c r="J8" s="8">
        <f>D8+G8</f>
        <v/>
      </c>
      <c r="K8" s="8">
        <f>E8+H8</f>
        <v/>
      </c>
      <c r="L8" s="8">
        <f>J8+K8</f>
        <v/>
      </c>
      <c r="M8" s="9">
        <f>IF(C8=0,0,L8/C8*100)</f>
        <v/>
      </c>
    </row>
    <row r="9">
      <c r="A9" s="7" t="n">
        <v>5</v>
      </c>
      <c r="B9" s="8" t="n">
        <v>8418</v>
      </c>
      <c r="C9" s="8" t="n">
        <v>4040.639999999999</v>
      </c>
      <c r="D9" s="8">
        <f>D24+D39+D54+D69+D84+D99+D114+D129+D144+D159+D174+D189+D204+D219+D234</f>
        <v/>
      </c>
      <c r="E9" s="8">
        <f>E24+E39+E54+E69+E84+E99+E114+E129+E144+E159+E174+E189+E204+E219+E234</f>
        <v/>
      </c>
      <c r="F9" s="8">
        <f>D9+E9</f>
        <v/>
      </c>
      <c r="G9" s="8">
        <f>G24+G39+G54+G69+G84+G99+G114+G129+G144+G159+G174+G189+G204+G219+G234</f>
        <v/>
      </c>
      <c r="H9" s="8">
        <f>H24+H39+H54+H69+H84+H99+H114+H129+H144+H159+H174+H189+H204+H219+H234</f>
        <v/>
      </c>
      <c r="I9" s="8">
        <f>G9+H9</f>
        <v/>
      </c>
      <c r="J9" s="8">
        <f>D9+G9</f>
        <v/>
      </c>
      <c r="K9" s="8">
        <f>E9+H9</f>
        <v/>
      </c>
      <c r="L9" s="8">
        <f>J9+K9</f>
        <v/>
      </c>
      <c r="M9" s="9">
        <f>IF(C9=0,0,L9/C9*100)</f>
        <v/>
      </c>
    </row>
    <row r="10">
      <c r="A10" s="7" t="n">
        <v>6</v>
      </c>
      <c r="B10" s="8" t="n">
        <v>6965</v>
      </c>
      <c r="C10" s="8" t="n">
        <v>3343.2</v>
      </c>
      <c r="D10" s="8">
        <f>D25+D40+D55+D70+D85+D100+D115+D130+D145+D160+D175+D190+D205+D220+D235</f>
        <v/>
      </c>
      <c r="E10" s="8">
        <f>E25+E40+E55+E70+E85+E100+E115+E130+E145+E160+E175+E190+E205+E220+E235</f>
        <v/>
      </c>
      <c r="F10" s="8">
        <f>D10+E10</f>
        <v/>
      </c>
      <c r="G10" s="8">
        <f>G25+G40+G55+G70+G85+G100+G115+G130+G145+G160+G175+G190+G205+G220+G235</f>
        <v/>
      </c>
      <c r="H10" s="8">
        <f>H25+H40+H55+H70+H85+H100+H115+H130+H145+H160+H175+H190+H205+H220+H235</f>
        <v/>
      </c>
      <c r="I10" s="8">
        <f>G10+H10</f>
        <v/>
      </c>
      <c r="J10" s="8">
        <f>D10+G10</f>
        <v/>
      </c>
      <c r="K10" s="8">
        <f>E10+H10</f>
        <v/>
      </c>
      <c r="L10" s="8">
        <f>J10+K10</f>
        <v/>
      </c>
      <c r="M10" s="9">
        <f>IF(C10=0,0,L10/C10*100)</f>
        <v/>
      </c>
    </row>
    <row r="11">
      <c r="A11" s="7" t="n">
        <v>7</v>
      </c>
      <c r="B11" s="8" t="n">
        <v>7137</v>
      </c>
      <c r="C11" s="8" t="n">
        <v>3425.76</v>
      </c>
      <c r="D11" s="8">
        <f>D26+D41+D56+D71+D86+D101+D116+D131+D146+D161+D176+D191+D206+D221+D236</f>
        <v/>
      </c>
      <c r="E11" s="8">
        <f>E26+E41+E56+E71+E86+E101+E116+E131+E146+E161+E176+E191+E206+E221+E236</f>
        <v/>
      </c>
      <c r="F11" s="8">
        <f>D11+E11</f>
        <v/>
      </c>
      <c r="G11" s="8">
        <f>G26+G41+G56+G71+G86+G101+G116+G131+G146+G161+G176+G191+G206+G221+G236</f>
        <v/>
      </c>
      <c r="H11" s="8">
        <f>H26+H41+H56+H71+H86+H101+H116+H131+H146+H161+H176+H191+H206+H221+H236</f>
        <v/>
      </c>
      <c r="I11" s="8">
        <f>G11+H11</f>
        <v/>
      </c>
      <c r="J11" s="8">
        <f>D11+G11</f>
        <v/>
      </c>
      <c r="K11" s="8">
        <f>E11+H11</f>
        <v/>
      </c>
      <c r="L11" s="8">
        <f>J11+K11</f>
        <v/>
      </c>
      <c r="M11" s="9">
        <f>IF(C11=0,0,L11/C11*100)</f>
        <v/>
      </c>
    </row>
    <row r="12">
      <c r="A12" s="7" t="n">
        <v>8</v>
      </c>
      <c r="B12" s="8" t="n">
        <v>5799</v>
      </c>
      <c r="C12" s="8" t="n">
        <v>2783.52</v>
      </c>
      <c r="D12" s="8">
        <f>D27+D42+D57+D72+D87+D102+D117+D132+D147+D162+D177+D192+D207+D222+D237</f>
        <v/>
      </c>
      <c r="E12" s="8">
        <f>E27+E42+E57+E72+E87+E102+E117+E132+E147+E162+E177+E192+E207+E222+E237</f>
        <v/>
      </c>
      <c r="F12" s="8">
        <f>D12+E12</f>
        <v/>
      </c>
      <c r="G12" s="8">
        <f>G27+G42+G57+G72+G87+G102+G117+G132+G147+G162+G177+G192+G207+G222+G237</f>
        <v/>
      </c>
      <c r="H12" s="8">
        <f>H27+H42+H57+H72+H87+H102+H117+H132+H147+H162+H177+H192+H207+H222+H237</f>
        <v/>
      </c>
      <c r="I12" s="8">
        <f>G12+H12</f>
        <v/>
      </c>
      <c r="J12" s="8">
        <f>D12+G12</f>
        <v/>
      </c>
      <c r="K12" s="8">
        <f>E12+H12</f>
        <v/>
      </c>
      <c r="L12" s="8">
        <f>J12+K12</f>
        <v/>
      </c>
      <c r="M12" s="9">
        <f>IF(C12=0,0,L12/C12*100)</f>
        <v/>
      </c>
    </row>
    <row r="13">
      <c r="A13" s="7" t="n">
        <v>9</v>
      </c>
      <c r="B13" s="8" t="n">
        <v>6476</v>
      </c>
      <c r="C13" s="8" t="n">
        <v>3108.48</v>
      </c>
      <c r="D13" s="8">
        <f>D28+D43+D58+D73+D88+D103+D118+D133+D148+D163+D178+D193+D208+D223+D238</f>
        <v/>
      </c>
      <c r="E13" s="8">
        <f>E28+E43+E58+E73+E88+E103+E118+E133+E148+E163+E178+E193+E208+E223+E238</f>
        <v/>
      </c>
      <c r="F13" s="8">
        <f>D13+E13</f>
        <v/>
      </c>
      <c r="G13" s="8">
        <f>G28+G43+G58+G73+G88+G103+G118+G133+G148+G163+G178+G193+G208+G223+G238</f>
        <v/>
      </c>
      <c r="H13" s="8">
        <f>H28+H43+H58+H73+H88+H103+H118+H133+H148+H163+H178+H193+H208+H223+H238</f>
        <v/>
      </c>
      <c r="I13" s="8">
        <f>G13+H13</f>
        <v/>
      </c>
      <c r="J13" s="8">
        <f>D13+G13</f>
        <v/>
      </c>
      <c r="K13" s="8">
        <f>E13+H13</f>
        <v/>
      </c>
      <c r="L13" s="8">
        <f>J13+K13</f>
        <v/>
      </c>
      <c r="M13" s="9">
        <f>IF(C13=0,0,L13/C13*100)</f>
        <v/>
      </c>
    </row>
    <row r="14">
      <c r="A14" s="10" t="inlineStr">
        <is>
          <t>Total</t>
        </is>
      </c>
      <c r="B14" s="11">
        <f>SUM(B5:B13)</f>
        <v/>
      </c>
      <c r="C14" s="11">
        <f>SUM(C5:C13)</f>
        <v/>
      </c>
      <c r="D14" s="11">
        <f>SUM(D5:D13)</f>
        <v/>
      </c>
      <c r="E14" s="11">
        <f>SUM(E5:E13)</f>
        <v/>
      </c>
      <c r="F14" s="11">
        <f>D14+E14</f>
        <v/>
      </c>
      <c r="G14" s="11">
        <f>SUM(G5:G13)</f>
        <v/>
      </c>
      <c r="H14" s="11">
        <f>SUM(H5:H13)</f>
        <v/>
      </c>
      <c r="I14" s="11">
        <f>G14+H14</f>
        <v/>
      </c>
      <c r="J14" s="11">
        <f>D14+G14</f>
        <v/>
      </c>
      <c r="K14" s="11">
        <f>E14+H14</f>
        <v/>
      </c>
      <c r="L14" s="11">
        <f>J14+K14</f>
        <v/>
      </c>
      <c r="M14" s="12">
        <f>IF(C14=0,0,L14/C14*100)</f>
        <v/>
      </c>
    </row>
    <row r="16">
      <c r="A16" s="13" t="inlineStr">
        <is>
          <t>Day 1 - 2026-10-05 (Mon 19 Aswin 2083)</t>
        </is>
      </c>
    </row>
    <row r="17">
      <c r="A17" s="6" t="inlineStr">
        <is>
          <t>Ward no.</t>
        </is>
      </c>
      <c r="B17" s="6" t="inlineStr">
        <is>
          <t>Total population</t>
        </is>
      </c>
      <c r="C17" s="6" t="inlineStr">
        <is>
          <t>JE target population</t>
        </is>
      </c>
      <c r="D17" s="6" t="inlineStr">
        <is>
          <t>Vaccinated</t>
        </is>
      </c>
      <c r="E17" s="6" t="n"/>
      <c r="F17" s="6" t="n"/>
      <c r="G17" s="6" t="n"/>
      <c r="H17" s="6" t="n"/>
      <c r="I17" s="6" t="n"/>
      <c r="J17" s="6" t="n"/>
      <c r="K17" s="6" t="n"/>
      <c r="L17" s="6" t="n"/>
      <c r="M17" s="6" t="inlineStr">
        <is>
          <t>Progress %</t>
        </is>
      </c>
    </row>
    <row r="18">
      <c r="A18" s="6" t="n"/>
      <c r="B18" s="6" t="n"/>
      <c r="C18" s="6" t="n"/>
      <c r="D18" s="6" t="inlineStr">
        <is>
          <t>Age 30-60 yrs</t>
        </is>
      </c>
      <c r="E18" s="6" t="n"/>
      <c r="F18" s="6" t="n"/>
      <c r="G18" s="6" t="inlineStr">
        <is>
          <t>Age 60 above</t>
        </is>
      </c>
      <c r="H18" s="6" t="n"/>
      <c r="I18" s="6" t="n"/>
      <c r="J18" s="6" t="inlineStr">
        <is>
          <t>Total</t>
        </is>
      </c>
      <c r="K18" s="6" t="n"/>
      <c r="L18" s="6" t="inlineStr">
        <is>
          <t>Grand Total</t>
        </is>
      </c>
      <c r="M18" s="6" t="n"/>
    </row>
    <row r="19">
      <c r="A19" s="6" t="n"/>
      <c r="B19" s="6" t="n"/>
      <c r="C19" s="6" t="n"/>
      <c r="D19" s="6" t="inlineStr">
        <is>
          <t>F</t>
        </is>
      </c>
      <c r="E19" s="6" t="inlineStr">
        <is>
          <t>M</t>
        </is>
      </c>
      <c r="F19" s="6" t="inlineStr">
        <is>
          <t>Total</t>
        </is>
      </c>
      <c r="G19" s="6" t="inlineStr">
        <is>
          <t>F</t>
        </is>
      </c>
      <c r="H19" s="6" t="inlineStr">
        <is>
          <t>M</t>
        </is>
      </c>
      <c r="I19" s="6" t="inlineStr">
        <is>
          <t>Total</t>
        </is>
      </c>
      <c r="J19" s="6" t="inlineStr">
        <is>
          <t>F</t>
        </is>
      </c>
      <c r="K19" s="6" t="inlineStr">
        <is>
          <t>M</t>
        </is>
      </c>
      <c r="L19" s="6" t="n"/>
      <c r="M19" s="6" t="n"/>
    </row>
    <row r="20">
      <c r="A20" s="7" t="n">
        <v>1</v>
      </c>
      <c r="B20" s="8">
        <f>B5</f>
        <v/>
      </c>
      <c r="C20" s="8">
        <f>C5</f>
        <v/>
      </c>
      <c r="D20" s="14" t="n"/>
      <c r="E20" s="14" t="n"/>
      <c r="F20" s="8">
        <f>D20+E20</f>
        <v/>
      </c>
      <c r="G20" s="14" t="n"/>
      <c r="H20" s="14" t="n"/>
      <c r="I20" s="8">
        <f>G20+H20</f>
        <v/>
      </c>
      <c r="J20" s="8">
        <f>D20+G20</f>
        <v/>
      </c>
      <c r="K20" s="8">
        <f>E20+H20</f>
        <v/>
      </c>
      <c r="L20" s="8">
        <f>J20+K20</f>
        <v/>
      </c>
      <c r="M20" s="9">
        <f>IF(C20=0,0,L20/C20*100)</f>
        <v/>
      </c>
    </row>
    <row r="21">
      <c r="A21" s="7" t="n">
        <v>2</v>
      </c>
      <c r="B21" s="8">
        <f>B6</f>
        <v/>
      </c>
      <c r="C21" s="8">
        <f>C6</f>
        <v/>
      </c>
      <c r="D21" s="14" t="n"/>
      <c r="E21" s="14" t="n"/>
      <c r="F21" s="8">
        <f>D21+E21</f>
        <v/>
      </c>
      <c r="G21" s="14" t="n"/>
      <c r="H21" s="14" t="n"/>
      <c r="I21" s="8">
        <f>G21+H21</f>
        <v/>
      </c>
      <c r="J21" s="8">
        <f>D21+G21</f>
        <v/>
      </c>
      <c r="K21" s="8">
        <f>E21+H21</f>
        <v/>
      </c>
      <c r="L21" s="8">
        <f>J21+K21</f>
        <v/>
      </c>
      <c r="M21" s="9">
        <f>IF(C21=0,0,L21/C21*100)</f>
        <v/>
      </c>
    </row>
    <row r="22">
      <c r="A22" s="7" t="n">
        <v>3</v>
      </c>
      <c r="B22" s="8">
        <f>B7</f>
        <v/>
      </c>
      <c r="C22" s="8">
        <f>C7</f>
        <v/>
      </c>
      <c r="D22" s="14" t="n"/>
      <c r="E22" s="14" t="n"/>
      <c r="F22" s="8">
        <f>D22+E22</f>
        <v/>
      </c>
      <c r="G22" s="14" t="n"/>
      <c r="H22" s="14" t="n"/>
      <c r="I22" s="8">
        <f>G22+H22</f>
        <v/>
      </c>
      <c r="J22" s="8">
        <f>D22+G22</f>
        <v/>
      </c>
      <c r="K22" s="8">
        <f>E22+H22</f>
        <v/>
      </c>
      <c r="L22" s="8">
        <f>J22+K22</f>
        <v/>
      </c>
      <c r="M22" s="9">
        <f>IF(C22=0,0,L22/C22*100)</f>
        <v/>
      </c>
    </row>
    <row r="23">
      <c r="A23" s="7" t="n">
        <v>4</v>
      </c>
      <c r="B23" s="8">
        <f>B8</f>
        <v/>
      </c>
      <c r="C23" s="8">
        <f>C8</f>
        <v/>
      </c>
      <c r="D23" s="14" t="n"/>
      <c r="E23" s="14" t="n"/>
      <c r="F23" s="8">
        <f>D23+E23</f>
        <v/>
      </c>
      <c r="G23" s="14" t="n"/>
      <c r="H23" s="14" t="n"/>
      <c r="I23" s="8">
        <f>G23+H23</f>
        <v/>
      </c>
      <c r="J23" s="8">
        <f>D23+G23</f>
        <v/>
      </c>
      <c r="K23" s="8">
        <f>E23+H23</f>
        <v/>
      </c>
      <c r="L23" s="8">
        <f>J23+K23</f>
        <v/>
      </c>
      <c r="M23" s="9">
        <f>IF(C23=0,0,L23/C23*100)</f>
        <v/>
      </c>
    </row>
    <row r="24">
      <c r="A24" s="7" t="n">
        <v>5</v>
      </c>
      <c r="B24" s="8">
        <f>B9</f>
        <v/>
      </c>
      <c r="C24" s="8">
        <f>C9</f>
        <v/>
      </c>
      <c r="D24" s="14" t="n"/>
      <c r="E24" s="14" t="n"/>
      <c r="F24" s="8">
        <f>D24+E24</f>
        <v/>
      </c>
      <c r="G24" s="14" t="n"/>
      <c r="H24" s="14" t="n"/>
      <c r="I24" s="8">
        <f>G24+H24</f>
        <v/>
      </c>
      <c r="J24" s="8">
        <f>D24+G24</f>
        <v/>
      </c>
      <c r="K24" s="8">
        <f>E24+H24</f>
        <v/>
      </c>
      <c r="L24" s="8">
        <f>J24+K24</f>
        <v/>
      </c>
      <c r="M24" s="9">
        <f>IF(C24=0,0,L24/C24*100)</f>
        <v/>
      </c>
    </row>
    <row r="25">
      <c r="A25" s="7" t="n">
        <v>6</v>
      </c>
      <c r="B25" s="8">
        <f>B10</f>
        <v/>
      </c>
      <c r="C25" s="8">
        <f>C10</f>
        <v/>
      </c>
      <c r="D25" s="14" t="n"/>
      <c r="E25" s="14" t="n"/>
      <c r="F25" s="8">
        <f>D25+E25</f>
        <v/>
      </c>
      <c r="G25" s="14" t="n"/>
      <c r="H25" s="14" t="n"/>
      <c r="I25" s="8">
        <f>G25+H25</f>
        <v/>
      </c>
      <c r="J25" s="8">
        <f>D25+G25</f>
        <v/>
      </c>
      <c r="K25" s="8">
        <f>E25+H25</f>
        <v/>
      </c>
      <c r="L25" s="8">
        <f>J25+K25</f>
        <v/>
      </c>
      <c r="M25" s="9">
        <f>IF(C25=0,0,L25/C25*100)</f>
        <v/>
      </c>
    </row>
    <row r="26">
      <c r="A26" s="7" t="n">
        <v>7</v>
      </c>
      <c r="B26" s="8">
        <f>B11</f>
        <v/>
      </c>
      <c r="C26" s="8">
        <f>C11</f>
        <v/>
      </c>
      <c r="D26" s="14" t="n"/>
      <c r="E26" s="14" t="n"/>
      <c r="F26" s="8">
        <f>D26+E26</f>
        <v/>
      </c>
      <c r="G26" s="14" t="n"/>
      <c r="H26" s="14" t="n"/>
      <c r="I26" s="8">
        <f>G26+H26</f>
        <v/>
      </c>
      <c r="J26" s="8">
        <f>D26+G26</f>
        <v/>
      </c>
      <c r="K26" s="8">
        <f>E26+H26</f>
        <v/>
      </c>
      <c r="L26" s="8">
        <f>J26+K26</f>
        <v/>
      </c>
      <c r="M26" s="9">
        <f>IF(C26=0,0,L26/C26*100)</f>
        <v/>
      </c>
    </row>
    <row r="27">
      <c r="A27" s="7" t="n">
        <v>8</v>
      </c>
      <c r="B27" s="8">
        <f>B12</f>
        <v/>
      </c>
      <c r="C27" s="8">
        <f>C12</f>
        <v/>
      </c>
      <c r="D27" s="14" t="n"/>
      <c r="E27" s="14" t="n"/>
      <c r="F27" s="8">
        <f>D27+E27</f>
        <v/>
      </c>
      <c r="G27" s="14" t="n"/>
      <c r="H27" s="14" t="n"/>
      <c r="I27" s="8">
        <f>G27+H27</f>
        <v/>
      </c>
      <c r="J27" s="8">
        <f>D27+G27</f>
        <v/>
      </c>
      <c r="K27" s="8">
        <f>E27+H27</f>
        <v/>
      </c>
      <c r="L27" s="8">
        <f>J27+K27</f>
        <v/>
      </c>
      <c r="M27" s="9">
        <f>IF(C27=0,0,L27/C27*100)</f>
        <v/>
      </c>
    </row>
    <row r="28">
      <c r="A28" s="7" t="n">
        <v>9</v>
      </c>
      <c r="B28" s="8">
        <f>B13</f>
        <v/>
      </c>
      <c r="C28" s="8">
        <f>C13</f>
        <v/>
      </c>
      <c r="D28" s="14" t="n"/>
      <c r="E28" s="14" t="n"/>
      <c r="F28" s="8">
        <f>D28+E28</f>
        <v/>
      </c>
      <c r="G28" s="14" t="n"/>
      <c r="H28" s="14" t="n"/>
      <c r="I28" s="8">
        <f>G28+H28</f>
        <v/>
      </c>
      <c r="J28" s="8">
        <f>D28+G28</f>
        <v/>
      </c>
      <c r="K28" s="8">
        <f>E28+H28</f>
        <v/>
      </c>
      <c r="L28" s="8">
        <f>J28+K28</f>
        <v/>
      </c>
      <c r="M28" s="9">
        <f>IF(C28=0,0,L28/C28*100)</f>
        <v/>
      </c>
    </row>
    <row r="29">
      <c r="A29" s="10" t="inlineStr">
        <is>
          <t>Total</t>
        </is>
      </c>
      <c r="B29" s="11">
        <f>SUM(B20:B28)</f>
        <v/>
      </c>
      <c r="C29" s="11">
        <f>SUM(C20:C28)</f>
        <v/>
      </c>
      <c r="D29" s="11">
        <f>SUM(D20:D28)</f>
        <v/>
      </c>
      <c r="E29" s="11">
        <f>SUM(E20:E28)</f>
        <v/>
      </c>
      <c r="F29" s="11">
        <f>D29+E29</f>
        <v/>
      </c>
      <c r="G29" s="11">
        <f>SUM(G20:G28)</f>
        <v/>
      </c>
      <c r="H29" s="11">
        <f>SUM(H20:H28)</f>
        <v/>
      </c>
      <c r="I29" s="11">
        <f>G29+H29</f>
        <v/>
      </c>
      <c r="J29" s="11">
        <f>D29+G29</f>
        <v/>
      </c>
      <c r="K29" s="11">
        <f>E29+H29</f>
        <v/>
      </c>
      <c r="L29" s="11">
        <f>J29+K29</f>
        <v/>
      </c>
      <c r="M29" s="12">
        <f>IF(C29=0,0,L29/C29*100)</f>
        <v/>
      </c>
    </row>
    <row r="31">
      <c r="A31" s="13" t="inlineStr">
        <is>
          <t>Day 2 - 2026-10-06 (Tue 20 Aswin 2083)</t>
        </is>
      </c>
    </row>
    <row r="32">
      <c r="A32" s="6" t="inlineStr">
        <is>
          <t>Ward no.</t>
        </is>
      </c>
      <c r="B32" s="6" t="inlineStr">
        <is>
          <t>Total population</t>
        </is>
      </c>
      <c r="C32" s="6" t="inlineStr">
        <is>
          <t>JE target population</t>
        </is>
      </c>
      <c r="D32" s="6" t="inlineStr">
        <is>
          <t>Vaccinated</t>
        </is>
      </c>
      <c r="E32" s="6" t="n"/>
      <c r="F32" s="6" t="n"/>
      <c r="G32" s="6" t="n"/>
      <c r="H32" s="6" t="n"/>
      <c r="I32" s="6" t="n"/>
      <c r="J32" s="6" t="n"/>
      <c r="K32" s="6" t="n"/>
      <c r="L32" s="6" t="n"/>
      <c r="M32" s="6" t="inlineStr">
        <is>
          <t>Progress %</t>
        </is>
      </c>
    </row>
    <row r="33">
      <c r="A33" s="6" t="n"/>
      <c r="B33" s="6" t="n"/>
      <c r="C33" s="6" t="n"/>
      <c r="D33" s="6" t="inlineStr">
        <is>
          <t>Age 30-60 yrs</t>
        </is>
      </c>
      <c r="E33" s="6" t="n"/>
      <c r="F33" s="6" t="n"/>
      <c r="G33" s="6" t="inlineStr">
        <is>
          <t>Age 60 above</t>
        </is>
      </c>
      <c r="H33" s="6" t="n"/>
      <c r="I33" s="6" t="n"/>
      <c r="J33" s="6" t="inlineStr">
        <is>
          <t>Total</t>
        </is>
      </c>
      <c r="K33" s="6" t="n"/>
      <c r="L33" s="6" t="inlineStr">
        <is>
          <t>Grand Total</t>
        </is>
      </c>
      <c r="M33" s="6" t="n"/>
    </row>
    <row r="34">
      <c r="A34" s="6" t="n"/>
      <c r="B34" s="6" t="n"/>
      <c r="C34" s="6" t="n"/>
      <c r="D34" s="6" t="inlineStr">
        <is>
          <t>F</t>
        </is>
      </c>
      <c r="E34" s="6" t="inlineStr">
        <is>
          <t>M</t>
        </is>
      </c>
      <c r="F34" s="6" t="inlineStr">
        <is>
          <t>Total</t>
        </is>
      </c>
      <c r="G34" s="6" t="inlineStr">
        <is>
          <t>F</t>
        </is>
      </c>
      <c r="H34" s="6" t="inlineStr">
        <is>
          <t>M</t>
        </is>
      </c>
      <c r="I34" s="6" t="inlineStr">
        <is>
          <t>Total</t>
        </is>
      </c>
      <c r="J34" s="6" t="inlineStr">
        <is>
          <t>F</t>
        </is>
      </c>
      <c r="K34" s="6" t="inlineStr">
        <is>
          <t>M</t>
        </is>
      </c>
      <c r="L34" s="6" t="n"/>
      <c r="M34" s="6" t="n"/>
    </row>
    <row r="35">
      <c r="A35" s="7" t="n">
        <v>1</v>
      </c>
      <c r="B35" s="8">
        <f>B5</f>
        <v/>
      </c>
      <c r="C35" s="8">
        <f>C5</f>
        <v/>
      </c>
      <c r="D35" s="14" t="n"/>
      <c r="E35" s="14" t="n"/>
      <c r="F35" s="8">
        <f>D35+E35</f>
        <v/>
      </c>
      <c r="G35" s="14" t="n"/>
      <c r="H35" s="14" t="n"/>
      <c r="I35" s="8">
        <f>G35+H35</f>
        <v/>
      </c>
      <c r="J35" s="8">
        <f>D35+G35</f>
        <v/>
      </c>
      <c r="K35" s="8">
        <f>E35+H35</f>
        <v/>
      </c>
      <c r="L35" s="8">
        <f>J35+K35</f>
        <v/>
      </c>
      <c r="M35" s="9">
        <f>IF(C35=0,0,L35/C35*100)</f>
        <v/>
      </c>
    </row>
    <row r="36">
      <c r="A36" s="7" t="n">
        <v>2</v>
      </c>
      <c r="B36" s="8">
        <f>B6</f>
        <v/>
      </c>
      <c r="C36" s="8">
        <f>C6</f>
        <v/>
      </c>
      <c r="D36" s="14" t="n"/>
      <c r="E36" s="14" t="n"/>
      <c r="F36" s="8">
        <f>D36+E36</f>
        <v/>
      </c>
      <c r="G36" s="14" t="n"/>
      <c r="H36" s="14" t="n"/>
      <c r="I36" s="8">
        <f>G36+H36</f>
        <v/>
      </c>
      <c r="J36" s="8">
        <f>D36+G36</f>
        <v/>
      </c>
      <c r="K36" s="8">
        <f>E36+H36</f>
        <v/>
      </c>
      <c r="L36" s="8">
        <f>J36+K36</f>
        <v/>
      </c>
      <c r="M36" s="9">
        <f>IF(C36=0,0,L36/C36*100)</f>
        <v/>
      </c>
    </row>
    <row r="37">
      <c r="A37" s="7" t="n">
        <v>3</v>
      </c>
      <c r="B37" s="8">
        <f>B7</f>
        <v/>
      </c>
      <c r="C37" s="8">
        <f>C7</f>
        <v/>
      </c>
      <c r="D37" s="14" t="n"/>
      <c r="E37" s="14" t="n"/>
      <c r="F37" s="8">
        <f>D37+E37</f>
        <v/>
      </c>
      <c r="G37" s="14" t="n"/>
      <c r="H37" s="14" t="n"/>
      <c r="I37" s="8">
        <f>G37+H37</f>
        <v/>
      </c>
      <c r="J37" s="8">
        <f>D37+G37</f>
        <v/>
      </c>
      <c r="K37" s="8">
        <f>E37+H37</f>
        <v/>
      </c>
      <c r="L37" s="8">
        <f>J37+K37</f>
        <v/>
      </c>
      <c r="M37" s="9">
        <f>IF(C37=0,0,L37/C37*100)</f>
        <v/>
      </c>
    </row>
    <row r="38">
      <c r="A38" s="7" t="n">
        <v>4</v>
      </c>
      <c r="B38" s="8">
        <f>B8</f>
        <v/>
      </c>
      <c r="C38" s="8">
        <f>C8</f>
        <v/>
      </c>
      <c r="D38" s="14" t="n"/>
      <c r="E38" s="14" t="n"/>
      <c r="F38" s="8">
        <f>D38+E38</f>
        <v/>
      </c>
      <c r="G38" s="14" t="n"/>
      <c r="H38" s="14" t="n"/>
      <c r="I38" s="8">
        <f>G38+H38</f>
        <v/>
      </c>
      <c r="J38" s="8">
        <f>D38+G38</f>
        <v/>
      </c>
      <c r="K38" s="8">
        <f>E38+H38</f>
        <v/>
      </c>
      <c r="L38" s="8">
        <f>J38+K38</f>
        <v/>
      </c>
      <c r="M38" s="9">
        <f>IF(C38=0,0,L38/C38*100)</f>
        <v/>
      </c>
    </row>
    <row r="39">
      <c r="A39" s="7" t="n">
        <v>5</v>
      </c>
      <c r="B39" s="8">
        <f>B9</f>
        <v/>
      </c>
      <c r="C39" s="8">
        <f>C9</f>
        <v/>
      </c>
      <c r="D39" s="14" t="n"/>
      <c r="E39" s="14" t="n"/>
      <c r="F39" s="8">
        <f>D39+E39</f>
        <v/>
      </c>
      <c r="G39" s="14" t="n"/>
      <c r="H39" s="14" t="n"/>
      <c r="I39" s="8">
        <f>G39+H39</f>
        <v/>
      </c>
      <c r="J39" s="8">
        <f>D39+G39</f>
        <v/>
      </c>
      <c r="K39" s="8">
        <f>E39+H39</f>
        <v/>
      </c>
      <c r="L39" s="8">
        <f>J39+K39</f>
        <v/>
      </c>
      <c r="M39" s="9">
        <f>IF(C39=0,0,L39/C39*100)</f>
        <v/>
      </c>
    </row>
    <row r="40">
      <c r="A40" s="7" t="n">
        <v>6</v>
      </c>
      <c r="B40" s="8">
        <f>B10</f>
        <v/>
      </c>
      <c r="C40" s="8">
        <f>C10</f>
        <v/>
      </c>
      <c r="D40" s="14" t="n"/>
      <c r="E40" s="14" t="n"/>
      <c r="F40" s="8">
        <f>D40+E40</f>
        <v/>
      </c>
      <c r="G40" s="14" t="n"/>
      <c r="H40" s="14" t="n"/>
      <c r="I40" s="8">
        <f>G40+H40</f>
        <v/>
      </c>
      <c r="J40" s="8">
        <f>D40+G40</f>
        <v/>
      </c>
      <c r="K40" s="8">
        <f>E40+H40</f>
        <v/>
      </c>
      <c r="L40" s="8">
        <f>J40+K40</f>
        <v/>
      </c>
      <c r="M40" s="9">
        <f>IF(C40=0,0,L40/C40*100)</f>
        <v/>
      </c>
    </row>
    <row r="41">
      <c r="A41" s="7" t="n">
        <v>7</v>
      </c>
      <c r="B41" s="8">
        <f>B11</f>
        <v/>
      </c>
      <c r="C41" s="8">
        <f>C11</f>
        <v/>
      </c>
      <c r="D41" s="14" t="n"/>
      <c r="E41" s="14" t="n"/>
      <c r="F41" s="8">
        <f>D41+E41</f>
        <v/>
      </c>
      <c r="G41" s="14" t="n"/>
      <c r="H41" s="14" t="n"/>
      <c r="I41" s="8">
        <f>G41+H41</f>
        <v/>
      </c>
      <c r="J41" s="8">
        <f>D41+G41</f>
        <v/>
      </c>
      <c r="K41" s="8">
        <f>E41+H41</f>
        <v/>
      </c>
      <c r="L41" s="8">
        <f>J41+K41</f>
        <v/>
      </c>
      <c r="M41" s="9">
        <f>IF(C41=0,0,L41/C41*100)</f>
        <v/>
      </c>
    </row>
    <row r="42">
      <c r="A42" s="7" t="n">
        <v>8</v>
      </c>
      <c r="B42" s="8">
        <f>B12</f>
        <v/>
      </c>
      <c r="C42" s="8">
        <f>C12</f>
        <v/>
      </c>
      <c r="D42" s="14" t="n"/>
      <c r="E42" s="14" t="n"/>
      <c r="F42" s="8">
        <f>D42+E42</f>
        <v/>
      </c>
      <c r="G42" s="14" t="n"/>
      <c r="H42" s="14" t="n"/>
      <c r="I42" s="8">
        <f>G42+H42</f>
        <v/>
      </c>
      <c r="J42" s="8">
        <f>D42+G42</f>
        <v/>
      </c>
      <c r="K42" s="8">
        <f>E42+H42</f>
        <v/>
      </c>
      <c r="L42" s="8">
        <f>J42+K42</f>
        <v/>
      </c>
      <c r="M42" s="9">
        <f>IF(C42=0,0,L42/C42*100)</f>
        <v/>
      </c>
    </row>
    <row r="43">
      <c r="A43" s="7" t="n">
        <v>9</v>
      </c>
      <c r="B43" s="8">
        <f>B13</f>
        <v/>
      </c>
      <c r="C43" s="8">
        <f>C13</f>
        <v/>
      </c>
      <c r="D43" s="14" t="n"/>
      <c r="E43" s="14" t="n"/>
      <c r="F43" s="8">
        <f>D43+E43</f>
        <v/>
      </c>
      <c r="G43" s="14" t="n"/>
      <c r="H43" s="14" t="n"/>
      <c r="I43" s="8">
        <f>G43+H43</f>
        <v/>
      </c>
      <c r="J43" s="8">
        <f>D43+G43</f>
        <v/>
      </c>
      <c r="K43" s="8">
        <f>E43+H43</f>
        <v/>
      </c>
      <c r="L43" s="8">
        <f>J43+K43</f>
        <v/>
      </c>
      <c r="M43" s="9">
        <f>IF(C43=0,0,L43/C43*100)</f>
        <v/>
      </c>
    </row>
    <row r="44">
      <c r="A44" s="10" t="inlineStr">
        <is>
          <t>Total</t>
        </is>
      </c>
      <c r="B44" s="11">
        <f>SUM(B35:B43)</f>
        <v/>
      </c>
      <c r="C44" s="11">
        <f>SUM(C35:C43)</f>
        <v/>
      </c>
      <c r="D44" s="11">
        <f>SUM(D35:D43)</f>
        <v/>
      </c>
      <c r="E44" s="11">
        <f>SUM(E35:E43)</f>
        <v/>
      </c>
      <c r="F44" s="11">
        <f>D44+E44</f>
        <v/>
      </c>
      <c r="G44" s="11">
        <f>SUM(G35:G43)</f>
        <v/>
      </c>
      <c r="H44" s="11">
        <f>SUM(H35:H43)</f>
        <v/>
      </c>
      <c r="I44" s="11">
        <f>G44+H44</f>
        <v/>
      </c>
      <c r="J44" s="11">
        <f>D44+G44</f>
        <v/>
      </c>
      <c r="K44" s="11">
        <f>E44+H44</f>
        <v/>
      </c>
      <c r="L44" s="11">
        <f>J44+K44</f>
        <v/>
      </c>
      <c r="M44" s="12">
        <f>IF(C44=0,0,L44/C44*100)</f>
        <v/>
      </c>
    </row>
    <row r="46">
      <c r="A46" s="13" t="inlineStr">
        <is>
          <t>Day 3 - 2026-10-07 (Wed 21 Aswin 2083)</t>
        </is>
      </c>
    </row>
    <row r="47">
      <c r="A47" s="6" t="inlineStr">
        <is>
          <t>Ward no.</t>
        </is>
      </c>
      <c r="B47" s="6" t="inlineStr">
        <is>
          <t>Total population</t>
        </is>
      </c>
      <c r="C47" s="6" t="inlineStr">
        <is>
          <t>JE target population</t>
        </is>
      </c>
      <c r="D47" s="6" t="inlineStr">
        <is>
          <t>Vaccinated</t>
        </is>
      </c>
      <c r="E47" s="6" t="n"/>
      <c r="F47" s="6" t="n"/>
      <c r="G47" s="6" t="n"/>
      <c r="H47" s="6" t="n"/>
      <c r="I47" s="6" t="n"/>
      <c r="J47" s="6" t="n"/>
      <c r="K47" s="6" t="n"/>
      <c r="L47" s="6" t="n"/>
      <c r="M47" s="6" t="inlineStr">
        <is>
          <t>Progress %</t>
        </is>
      </c>
    </row>
    <row r="48">
      <c r="A48" s="6" t="n"/>
      <c r="B48" s="6" t="n"/>
      <c r="C48" s="6" t="n"/>
      <c r="D48" s="6" t="inlineStr">
        <is>
          <t>Age 30-60 yrs</t>
        </is>
      </c>
      <c r="E48" s="6" t="n"/>
      <c r="F48" s="6" t="n"/>
      <c r="G48" s="6" t="inlineStr">
        <is>
          <t>Age 60 above</t>
        </is>
      </c>
      <c r="H48" s="6" t="n"/>
      <c r="I48" s="6" t="n"/>
      <c r="J48" s="6" t="inlineStr">
        <is>
          <t>Total</t>
        </is>
      </c>
      <c r="K48" s="6" t="n"/>
      <c r="L48" s="6" t="inlineStr">
        <is>
          <t>Grand Total</t>
        </is>
      </c>
      <c r="M48" s="6" t="n"/>
    </row>
    <row r="49">
      <c r="A49" s="6" t="n"/>
      <c r="B49" s="6" t="n"/>
      <c r="C49" s="6" t="n"/>
      <c r="D49" s="6" t="inlineStr">
        <is>
          <t>F</t>
        </is>
      </c>
      <c r="E49" s="6" t="inlineStr">
        <is>
          <t>M</t>
        </is>
      </c>
      <c r="F49" s="6" t="inlineStr">
        <is>
          <t>Total</t>
        </is>
      </c>
      <c r="G49" s="6" t="inlineStr">
        <is>
          <t>F</t>
        </is>
      </c>
      <c r="H49" s="6" t="inlineStr">
        <is>
          <t>M</t>
        </is>
      </c>
      <c r="I49" s="6" t="inlineStr">
        <is>
          <t>Total</t>
        </is>
      </c>
      <c r="J49" s="6" t="inlineStr">
        <is>
          <t>F</t>
        </is>
      </c>
      <c r="K49" s="6" t="inlineStr">
        <is>
          <t>M</t>
        </is>
      </c>
      <c r="L49" s="6" t="n"/>
      <c r="M49" s="6" t="n"/>
    </row>
    <row r="50">
      <c r="A50" s="7" t="n">
        <v>1</v>
      </c>
      <c r="B50" s="8">
        <f>B5</f>
        <v/>
      </c>
      <c r="C50" s="8">
        <f>C5</f>
        <v/>
      </c>
      <c r="D50" s="14" t="n"/>
      <c r="E50" s="14" t="n"/>
      <c r="F50" s="8">
        <f>D50+E50</f>
        <v/>
      </c>
      <c r="G50" s="14" t="n"/>
      <c r="H50" s="14" t="n"/>
      <c r="I50" s="8">
        <f>G50+H50</f>
        <v/>
      </c>
      <c r="J50" s="8">
        <f>D50+G50</f>
        <v/>
      </c>
      <c r="K50" s="8">
        <f>E50+H50</f>
        <v/>
      </c>
      <c r="L50" s="8">
        <f>J50+K50</f>
        <v/>
      </c>
      <c r="M50" s="9">
        <f>IF(C50=0,0,L50/C50*100)</f>
        <v/>
      </c>
    </row>
    <row r="51">
      <c r="A51" s="7" t="n">
        <v>2</v>
      </c>
      <c r="B51" s="8">
        <f>B6</f>
        <v/>
      </c>
      <c r="C51" s="8">
        <f>C6</f>
        <v/>
      </c>
      <c r="D51" s="14" t="n"/>
      <c r="E51" s="14" t="n"/>
      <c r="F51" s="8">
        <f>D51+E51</f>
        <v/>
      </c>
      <c r="G51" s="14" t="n"/>
      <c r="H51" s="14" t="n"/>
      <c r="I51" s="8">
        <f>G51+H51</f>
        <v/>
      </c>
      <c r="J51" s="8">
        <f>D51+G51</f>
        <v/>
      </c>
      <c r="K51" s="8">
        <f>E51+H51</f>
        <v/>
      </c>
      <c r="L51" s="8">
        <f>J51+K51</f>
        <v/>
      </c>
      <c r="M51" s="9">
        <f>IF(C51=0,0,L51/C51*100)</f>
        <v/>
      </c>
    </row>
    <row r="52">
      <c r="A52" s="7" t="n">
        <v>3</v>
      </c>
      <c r="B52" s="8">
        <f>B7</f>
        <v/>
      </c>
      <c r="C52" s="8">
        <f>C7</f>
        <v/>
      </c>
      <c r="D52" s="14" t="n"/>
      <c r="E52" s="14" t="n"/>
      <c r="F52" s="8">
        <f>D52+E52</f>
        <v/>
      </c>
      <c r="G52" s="14" t="n"/>
      <c r="H52" s="14" t="n"/>
      <c r="I52" s="8">
        <f>G52+H52</f>
        <v/>
      </c>
      <c r="J52" s="8">
        <f>D52+G52</f>
        <v/>
      </c>
      <c r="K52" s="8">
        <f>E52+H52</f>
        <v/>
      </c>
      <c r="L52" s="8">
        <f>J52+K52</f>
        <v/>
      </c>
      <c r="M52" s="9">
        <f>IF(C52=0,0,L52/C52*100)</f>
        <v/>
      </c>
    </row>
    <row r="53">
      <c r="A53" s="7" t="n">
        <v>4</v>
      </c>
      <c r="B53" s="8">
        <f>B8</f>
        <v/>
      </c>
      <c r="C53" s="8">
        <f>C8</f>
        <v/>
      </c>
      <c r="D53" s="14" t="n"/>
      <c r="E53" s="14" t="n"/>
      <c r="F53" s="8">
        <f>D53+E53</f>
        <v/>
      </c>
      <c r="G53" s="14" t="n"/>
      <c r="H53" s="14" t="n"/>
      <c r="I53" s="8">
        <f>G53+H53</f>
        <v/>
      </c>
      <c r="J53" s="8">
        <f>D53+G53</f>
        <v/>
      </c>
      <c r="K53" s="8">
        <f>E53+H53</f>
        <v/>
      </c>
      <c r="L53" s="8">
        <f>J53+K53</f>
        <v/>
      </c>
      <c r="M53" s="9">
        <f>IF(C53=0,0,L53/C53*100)</f>
        <v/>
      </c>
    </row>
    <row r="54">
      <c r="A54" s="7" t="n">
        <v>5</v>
      </c>
      <c r="B54" s="8">
        <f>B9</f>
        <v/>
      </c>
      <c r="C54" s="8">
        <f>C9</f>
        <v/>
      </c>
      <c r="D54" s="14" t="n"/>
      <c r="E54" s="14" t="n"/>
      <c r="F54" s="8">
        <f>D54+E54</f>
        <v/>
      </c>
      <c r="G54" s="14" t="n"/>
      <c r="H54" s="14" t="n"/>
      <c r="I54" s="8">
        <f>G54+H54</f>
        <v/>
      </c>
      <c r="J54" s="8">
        <f>D54+G54</f>
        <v/>
      </c>
      <c r="K54" s="8">
        <f>E54+H54</f>
        <v/>
      </c>
      <c r="L54" s="8">
        <f>J54+K54</f>
        <v/>
      </c>
      <c r="M54" s="9">
        <f>IF(C54=0,0,L54/C54*100)</f>
        <v/>
      </c>
    </row>
    <row r="55">
      <c r="A55" s="7" t="n">
        <v>6</v>
      </c>
      <c r="B55" s="8">
        <f>B10</f>
        <v/>
      </c>
      <c r="C55" s="8">
        <f>C10</f>
        <v/>
      </c>
      <c r="D55" s="14" t="n"/>
      <c r="E55" s="14" t="n"/>
      <c r="F55" s="8">
        <f>D55+E55</f>
        <v/>
      </c>
      <c r="G55" s="14" t="n"/>
      <c r="H55" s="14" t="n"/>
      <c r="I55" s="8">
        <f>G55+H55</f>
        <v/>
      </c>
      <c r="J55" s="8">
        <f>D55+G55</f>
        <v/>
      </c>
      <c r="K55" s="8">
        <f>E55+H55</f>
        <v/>
      </c>
      <c r="L55" s="8">
        <f>J55+K55</f>
        <v/>
      </c>
      <c r="M55" s="9">
        <f>IF(C55=0,0,L55/C55*100)</f>
        <v/>
      </c>
    </row>
    <row r="56">
      <c r="A56" s="7" t="n">
        <v>7</v>
      </c>
      <c r="B56" s="8">
        <f>B11</f>
        <v/>
      </c>
      <c r="C56" s="8">
        <f>C11</f>
        <v/>
      </c>
      <c r="D56" s="14" t="n"/>
      <c r="E56" s="14" t="n"/>
      <c r="F56" s="8">
        <f>D56+E56</f>
        <v/>
      </c>
      <c r="G56" s="14" t="n"/>
      <c r="H56" s="14" t="n"/>
      <c r="I56" s="8">
        <f>G56+H56</f>
        <v/>
      </c>
      <c r="J56" s="8">
        <f>D56+G56</f>
        <v/>
      </c>
      <c r="K56" s="8">
        <f>E56+H56</f>
        <v/>
      </c>
      <c r="L56" s="8">
        <f>J56+K56</f>
        <v/>
      </c>
      <c r="M56" s="9">
        <f>IF(C56=0,0,L56/C56*100)</f>
        <v/>
      </c>
    </row>
    <row r="57">
      <c r="A57" s="7" t="n">
        <v>8</v>
      </c>
      <c r="B57" s="8">
        <f>B12</f>
        <v/>
      </c>
      <c r="C57" s="8">
        <f>C12</f>
        <v/>
      </c>
      <c r="D57" s="14" t="n"/>
      <c r="E57" s="14" t="n"/>
      <c r="F57" s="8">
        <f>D57+E57</f>
        <v/>
      </c>
      <c r="G57" s="14" t="n"/>
      <c r="H57" s="14" t="n"/>
      <c r="I57" s="8">
        <f>G57+H57</f>
        <v/>
      </c>
      <c r="J57" s="8">
        <f>D57+G57</f>
        <v/>
      </c>
      <c r="K57" s="8">
        <f>E57+H57</f>
        <v/>
      </c>
      <c r="L57" s="8">
        <f>J57+K57</f>
        <v/>
      </c>
      <c r="M57" s="9">
        <f>IF(C57=0,0,L57/C57*100)</f>
        <v/>
      </c>
    </row>
    <row r="58">
      <c r="A58" s="7" t="n">
        <v>9</v>
      </c>
      <c r="B58" s="8">
        <f>B13</f>
        <v/>
      </c>
      <c r="C58" s="8">
        <f>C13</f>
        <v/>
      </c>
      <c r="D58" s="14" t="n"/>
      <c r="E58" s="14" t="n"/>
      <c r="F58" s="8">
        <f>D58+E58</f>
        <v/>
      </c>
      <c r="G58" s="14" t="n"/>
      <c r="H58" s="14" t="n"/>
      <c r="I58" s="8">
        <f>G58+H58</f>
        <v/>
      </c>
      <c r="J58" s="8">
        <f>D58+G58</f>
        <v/>
      </c>
      <c r="K58" s="8">
        <f>E58+H58</f>
        <v/>
      </c>
      <c r="L58" s="8">
        <f>J58+K58</f>
        <v/>
      </c>
      <c r="M58" s="9">
        <f>IF(C58=0,0,L58/C58*100)</f>
        <v/>
      </c>
    </row>
    <row r="59">
      <c r="A59" s="10" t="inlineStr">
        <is>
          <t>Total</t>
        </is>
      </c>
      <c r="B59" s="11">
        <f>SUM(B50:B58)</f>
        <v/>
      </c>
      <c r="C59" s="11">
        <f>SUM(C50:C58)</f>
        <v/>
      </c>
      <c r="D59" s="11">
        <f>SUM(D50:D58)</f>
        <v/>
      </c>
      <c r="E59" s="11">
        <f>SUM(E50:E58)</f>
        <v/>
      </c>
      <c r="F59" s="11">
        <f>D59+E59</f>
        <v/>
      </c>
      <c r="G59" s="11">
        <f>SUM(G50:G58)</f>
        <v/>
      </c>
      <c r="H59" s="11">
        <f>SUM(H50:H58)</f>
        <v/>
      </c>
      <c r="I59" s="11">
        <f>G59+H59</f>
        <v/>
      </c>
      <c r="J59" s="11">
        <f>D59+G59</f>
        <v/>
      </c>
      <c r="K59" s="11">
        <f>E59+H59</f>
        <v/>
      </c>
      <c r="L59" s="11">
        <f>J59+K59</f>
        <v/>
      </c>
      <c r="M59" s="12">
        <f>IF(C59=0,0,L59/C59*100)</f>
        <v/>
      </c>
    </row>
    <row r="61">
      <c r="A61" s="13" t="inlineStr">
        <is>
          <t>Day 4 - 2026-10-08 (Thu 22 Aswin 2083)</t>
        </is>
      </c>
    </row>
    <row r="62">
      <c r="A62" s="6" t="inlineStr">
        <is>
          <t>Ward no.</t>
        </is>
      </c>
      <c r="B62" s="6" t="inlineStr">
        <is>
          <t>Total population</t>
        </is>
      </c>
      <c r="C62" s="6" t="inlineStr">
        <is>
          <t>JE target population</t>
        </is>
      </c>
      <c r="D62" s="6" t="inlineStr">
        <is>
          <t>Vaccinated</t>
        </is>
      </c>
      <c r="E62" s="6" t="n"/>
      <c r="F62" s="6" t="n"/>
      <c r="G62" s="6" t="n"/>
      <c r="H62" s="6" t="n"/>
      <c r="I62" s="6" t="n"/>
      <c r="J62" s="6" t="n"/>
      <c r="K62" s="6" t="n"/>
      <c r="L62" s="6" t="n"/>
      <c r="M62" s="6" t="inlineStr">
        <is>
          <t>Progress %</t>
        </is>
      </c>
    </row>
    <row r="63">
      <c r="A63" s="6" t="n"/>
      <c r="B63" s="6" t="n"/>
      <c r="C63" s="6" t="n"/>
      <c r="D63" s="6" t="inlineStr">
        <is>
          <t>Age 30-60 yrs</t>
        </is>
      </c>
      <c r="E63" s="6" t="n"/>
      <c r="F63" s="6" t="n"/>
      <c r="G63" s="6" t="inlineStr">
        <is>
          <t>Age 60 above</t>
        </is>
      </c>
      <c r="H63" s="6" t="n"/>
      <c r="I63" s="6" t="n"/>
      <c r="J63" s="6" t="inlineStr">
        <is>
          <t>Total</t>
        </is>
      </c>
      <c r="K63" s="6" t="n"/>
      <c r="L63" s="6" t="inlineStr">
        <is>
          <t>Grand Total</t>
        </is>
      </c>
      <c r="M63" s="6" t="n"/>
    </row>
    <row r="64">
      <c r="A64" s="6" t="n"/>
      <c r="B64" s="6" t="n"/>
      <c r="C64" s="6" t="n"/>
      <c r="D64" s="6" t="inlineStr">
        <is>
          <t>F</t>
        </is>
      </c>
      <c r="E64" s="6" t="inlineStr">
        <is>
          <t>M</t>
        </is>
      </c>
      <c r="F64" s="6" t="inlineStr">
        <is>
          <t>Total</t>
        </is>
      </c>
      <c r="G64" s="6" t="inlineStr">
        <is>
          <t>F</t>
        </is>
      </c>
      <c r="H64" s="6" t="inlineStr">
        <is>
          <t>M</t>
        </is>
      </c>
      <c r="I64" s="6" t="inlineStr">
        <is>
          <t>Total</t>
        </is>
      </c>
      <c r="J64" s="6" t="inlineStr">
        <is>
          <t>F</t>
        </is>
      </c>
      <c r="K64" s="6" t="inlineStr">
        <is>
          <t>M</t>
        </is>
      </c>
      <c r="L64" s="6" t="n"/>
      <c r="M64" s="6" t="n"/>
    </row>
    <row r="65">
      <c r="A65" s="7" t="n">
        <v>1</v>
      </c>
      <c r="B65" s="8">
        <f>B5</f>
        <v/>
      </c>
      <c r="C65" s="8">
        <f>C5</f>
        <v/>
      </c>
      <c r="D65" s="14" t="n"/>
      <c r="E65" s="14" t="n"/>
      <c r="F65" s="8">
        <f>D65+E65</f>
        <v/>
      </c>
      <c r="G65" s="14" t="n"/>
      <c r="H65" s="14" t="n"/>
      <c r="I65" s="8">
        <f>G65+H65</f>
        <v/>
      </c>
      <c r="J65" s="8">
        <f>D65+G65</f>
        <v/>
      </c>
      <c r="K65" s="8">
        <f>E65+H65</f>
        <v/>
      </c>
      <c r="L65" s="8">
        <f>J65+K65</f>
        <v/>
      </c>
      <c r="M65" s="9">
        <f>IF(C65=0,0,L65/C65*100)</f>
        <v/>
      </c>
    </row>
    <row r="66">
      <c r="A66" s="7" t="n">
        <v>2</v>
      </c>
      <c r="B66" s="8">
        <f>B6</f>
        <v/>
      </c>
      <c r="C66" s="8">
        <f>C6</f>
        <v/>
      </c>
      <c r="D66" s="14" t="n"/>
      <c r="E66" s="14" t="n"/>
      <c r="F66" s="8">
        <f>D66+E66</f>
        <v/>
      </c>
      <c r="G66" s="14" t="n"/>
      <c r="H66" s="14" t="n"/>
      <c r="I66" s="8">
        <f>G66+H66</f>
        <v/>
      </c>
      <c r="J66" s="8">
        <f>D66+G66</f>
        <v/>
      </c>
      <c r="K66" s="8">
        <f>E66+H66</f>
        <v/>
      </c>
      <c r="L66" s="8">
        <f>J66+K66</f>
        <v/>
      </c>
      <c r="M66" s="9">
        <f>IF(C66=0,0,L66/C66*100)</f>
        <v/>
      </c>
    </row>
    <row r="67">
      <c r="A67" s="7" t="n">
        <v>3</v>
      </c>
      <c r="B67" s="8">
        <f>B7</f>
        <v/>
      </c>
      <c r="C67" s="8">
        <f>C7</f>
        <v/>
      </c>
      <c r="D67" s="14" t="n"/>
      <c r="E67" s="14" t="n"/>
      <c r="F67" s="8">
        <f>D67+E67</f>
        <v/>
      </c>
      <c r="G67" s="14" t="n"/>
      <c r="H67" s="14" t="n"/>
      <c r="I67" s="8">
        <f>G67+H67</f>
        <v/>
      </c>
      <c r="J67" s="8">
        <f>D67+G67</f>
        <v/>
      </c>
      <c r="K67" s="8">
        <f>E67+H67</f>
        <v/>
      </c>
      <c r="L67" s="8">
        <f>J67+K67</f>
        <v/>
      </c>
      <c r="M67" s="9">
        <f>IF(C67=0,0,L67/C67*100)</f>
        <v/>
      </c>
    </row>
    <row r="68">
      <c r="A68" s="7" t="n">
        <v>4</v>
      </c>
      <c r="B68" s="8">
        <f>B8</f>
        <v/>
      </c>
      <c r="C68" s="8">
        <f>C8</f>
        <v/>
      </c>
      <c r="D68" s="14" t="n"/>
      <c r="E68" s="14" t="n"/>
      <c r="F68" s="8">
        <f>D68+E68</f>
        <v/>
      </c>
      <c r="G68" s="14" t="n"/>
      <c r="H68" s="14" t="n"/>
      <c r="I68" s="8">
        <f>G68+H68</f>
        <v/>
      </c>
      <c r="J68" s="8">
        <f>D68+G68</f>
        <v/>
      </c>
      <c r="K68" s="8">
        <f>E68+H68</f>
        <v/>
      </c>
      <c r="L68" s="8">
        <f>J68+K68</f>
        <v/>
      </c>
      <c r="M68" s="9">
        <f>IF(C68=0,0,L68/C68*100)</f>
        <v/>
      </c>
    </row>
    <row r="69">
      <c r="A69" s="7" t="n">
        <v>5</v>
      </c>
      <c r="B69" s="8">
        <f>B9</f>
        <v/>
      </c>
      <c r="C69" s="8">
        <f>C9</f>
        <v/>
      </c>
      <c r="D69" s="14" t="n"/>
      <c r="E69" s="14" t="n"/>
      <c r="F69" s="8">
        <f>D69+E69</f>
        <v/>
      </c>
      <c r="G69" s="14" t="n"/>
      <c r="H69" s="14" t="n"/>
      <c r="I69" s="8">
        <f>G69+H69</f>
        <v/>
      </c>
      <c r="J69" s="8">
        <f>D69+G69</f>
        <v/>
      </c>
      <c r="K69" s="8">
        <f>E69+H69</f>
        <v/>
      </c>
      <c r="L69" s="8">
        <f>J69+K69</f>
        <v/>
      </c>
      <c r="M69" s="9">
        <f>IF(C69=0,0,L69/C69*100)</f>
        <v/>
      </c>
    </row>
    <row r="70">
      <c r="A70" s="7" t="n">
        <v>6</v>
      </c>
      <c r="B70" s="8">
        <f>B10</f>
        <v/>
      </c>
      <c r="C70" s="8">
        <f>C10</f>
        <v/>
      </c>
      <c r="D70" s="14" t="n"/>
      <c r="E70" s="14" t="n"/>
      <c r="F70" s="8">
        <f>D70+E70</f>
        <v/>
      </c>
      <c r="G70" s="14" t="n"/>
      <c r="H70" s="14" t="n"/>
      <c r="I70" s="8">
        <f>G70+H70</f>
        <v/>
      </c>
      <c r="J70" s="8">
        <f>D70+G70</f>
        <v/>
      </c>
      <c r="K70" s="8">
        <f>E70+H70</f>
        <v/>
      </c>
      <c r="L70" s="8">
        <f>J70+K70</f>
        <v/>
      </c>
      <c r="M70" s="9">
        <f>IF(C70=0,0,L70/C70*100)</f>
        <v/>
      </c>
    </row>
    <row r="71">
      <c r="A71" s="7" t="n">
        <v>7</v>
      </c>
      <c r="B71" s="8">
        <f>B11</f>
        <v/>
      </c>
      <c r="C71" s="8">
        <f>C11</f>
        <v/>
      </c>
      <c r="D71" s="14" t="n"/>
      <c r="E71" s="14" t="n"/>
      <c r="F71" s="8">
        <f>D71+E71</f>
        <v/>
      </c>
      <c r="G71" s="14" t="n"/>
      <c r="H71" s="14" t="n"/>
      <c r="I71" s="8">
        <f>G71+H71</f>
        <v/>
      </c>
      <c r="J71" s="8">
        <f>D71+G71</f>
        <v/>
      </c>
      <c r="K71" s="8">
        <f>E71+H71</f>
        <v/>
      </c>
      <c r="L71" s="8">
        <f>J71+K71</f>
        <v/>
      </c>
      <c r="M71" s="9">
        <f>IF(C71=0,0,L71/C71*100)</f>
        <v/>
      </c>
    </row>
    <row r="72">
      <c r="A72" s="7" t="n">
        <v>8</v>
      </c>
      <c r="B72" s="8">
        <f>B12</f>
        <v/>
      </c>
      <c r="C72" s="8">
        <f>C12</f>
        <v/>
      </c>
      <c r="D72" s="14" t="n"/>
      <c r="E72" s="14" t="n"/>
      <c r="F72" s="8">
        <f>D72+E72</f>
        <v/>
      </c>
      <c r="G72" s="14" t="n"/>
      <c r="H72" s="14" t="n"/>
      <c r="I72" s="8">
        <f>G72+H72</f>
        <v/>
      </c>
      <c r="J72" s="8">
        <f>D72+G72</f>
        <v/>
      </c>
      <c r="K72" s="8">
        <f>E72+H72</f>
        <v/>
      </c>
      <c r="L72" s="8">
        <f>J72+K72</f>
        <v/>
      </c>
      <c r="M72" s="9">
        <f>IF(C72=0,0,L72/C72*100)</f>
        <v/>
      </c>
    </row>
    <row r="73">
      <c r="A73" s="7" t="n">
        <v>9</v>
      </c>
      <c r="B73" s="8">
        <f>B13</f>
        <v/>
      </c>
      <c r="C73" s="8">
        <f>C13</f>
        <v/>
      </c>
      <c r="D73" s="14" t="n"/>
      <c r="E73" s="14" t="n"/>
      <c r="F73" s="8">
        <f>D73+E73</f>
        <v/>
      </c>
      <c r="G73" s="14" t="n"/>
      <c r="H73" s="14" t="n"/>
      <c r="I73" s="8">
        <f>G73+H73</f>
        <v/>
      </c>
      <c r="J73" s="8">
        <f>D73+G73</f>
        <v/>
      </c>
      <c r="K73" s="8">
        <f>E73+H73</f>
        <v/>
      </c>
      <c r="L73" s="8">
        <f>J73+K73</f>
        <v/>
      </c>
      <c r="M73" s="9">
        <f>IF(C73=0,0,L73/C73*100)</f>
        <v/>
      </c>
    </row>
    <row r="74">
      <c r="A74" s="10" t="inlineStr">
        <is>
          <t>Total</t>
        </is>
      </c>
      <c r="B74" s="11">
        <f>SUM(B65:B73)</f>
        <v/>
      </c>
      <c r="C74" s="11">
        <f>SUM(C65:C73)</f>
        <v/>
      </c>
      <c r="D74" s="11">
        <f>SUM(D65:D73)</f>
        <v/>
      </c>
      <c r="E74" s="11">
        <f>SUM(E65:E73)</f>
        <v/>
      </c>
      <c r="F74" s="11">
        <f>D74+E74</f>
        <v/>
      </c>
      <c r="G74" s="11">
        <f>SUM(G65:G73)</f>
        <v/>
      </c>
      <c r="H74" s="11">
        <f>SUM(H65:H73)</f>
        <v/>
      </c>
      <c r="I74" s="11">
        <f>G74+H74</f>
        <v/>
      </c>
      <c r="J74" s="11">
        <f>D74+G74</f>
        <v/>
      </c>
      <c r="K74" s="11">
        <f>E74+H74</f>
        <v/>
      </c>
      <c r="L74" s="11">
        <f>J74+K74</f>
        <v/>
      </c>
      <c r="M74" s="12">
        <f>IF(C74=0,0,L74/C74*100)</f>
        <v/>
      </c>
    </row>
    <row r="76">
      <c r="A76" s="13" t="inlineStr">
        <is>
          <t>Day 5 - 2026-10-09 (Fri 23 Aswin 2083)</t>
        </is>
      </c>
    </row>
    <row r="77">
      <c r="A77" s="6" t="inlineStr">
        <is>
          <t>Ward no.</t>
        </is>
      </c>
      <c r="B77" s="6" t="inlineStr">
        <is>
          <t>Total population</t>
        </is>
      </c>
      <c r="C77" s="6" t="inlineStr">
        <is>
          <t>JE target population</t>
        </is>
      </c>
      <c r="D77" s="6" t="inlineStr">
        <is>
          <t>Vaccinated</t>
        </is>
      </c>
      <c r="E77" s="6" t="n"/>
      <c r="F77" s="6" t="n"/>
      <c r="G77" s="6" t="n"/>
      <c r="H77" s="6" t="n"/>
      <c r="I77" s="6" t="n"/>
      <c r="J77" s="6" t="n"/>
      <c r="K77" s="6" t="n"/>
      <c r="L77" s="6" t="n"/>
      <c r="M77" s="6" t="inlineStr">
        <is>
          <t>Progress %</t>
        </is>
      </c>
    </row>
    <row r="78">
      <c r="A78" s="6" t="n"/>
      <c r="B78" s="6" t="n"/>
      <c r="C78" s="6" t="n"/>
      <c r="D78" s="6" t="inlineStr">
        <is>
          <t>Age 30-60 yrs</t>
        </is>
      </c>
      <c r="E78" s="6" t="n"/>
      <c r="F78" s="6" t="n"/>
      <c r="G78" s="6" t="inlineStr">
        <is>
          <t>Age 60 above</t>
        </is>
      </c>
      <c r="H78" s="6" t="n"/>
      <c r="I78" s="6" t="n"/>
      <c r="J78" s="6" t="inlineStr">
        <is>
          <t>Total</t>
        </is>
      </c>
      <c r="K78" s="6" t="n"/>
      <c r="L78" s="6" t="inlineStr">
        <is>
          <t>Grand Total</t>
        </is>
      </c>
      <c r="M78" s="6" t="n"/>
    </row>
    <row r="79">
      <c r="A79" s="6" t="n"/>
      <c r="B79" s="6" t="n"/>
      <c r="C79" s="6" t="n"/>
      <c r="D79" s="6" t="inlineStr">
        <is>
          <t>F</t>
        </is>
      </c>
      <c r="E79" s="6" t="inlineStr">
        <is>
          <t>M</t>
        </is>
      </c>
      <c r="F79" s="6" t="inlineStr">
        <is>
          <t>Total</t>
        </is>
      </c>
      <c r="G79" s="6" t="inlineStr">
        <is>
          <t>F</t>
        </is>
      </c>
      <c r="H79" s="6" t="inlineStr">
        <is>
          <t>M</t>
        </is>
      </c>
      <c r="I79" s="6" t="inlineStr">
        <is>
          <t>Total</t>
        </is>
      </c>
      <c r="J79" s="6" t="inlineStr">
        <is>
          <t>F</t>
        </is>
      </c>
      <c r="K79" s="6" t="inlineStr">
        <is>
          <t>M</t>
        </is>
      </c>
      <c r="L79" s="6" t="n"/>
      <c r="M79" s="6" t="n"/>
    </row>
    <row r="80">
      <c r="A80" s="7" t="n">
        <v>1</v>
      </c>
      <c r="B80" s="8">
        <f>B5</f>
        <v/>
      </c>
      <c r="C80" s="8">
        <f>C5</f>
        <v/>
      </c>
      <c r="D80" s="14" t="n"/>
      <c r="E80" s="14" t="n"/>
      <c r="F80" s="8">
        <f>D80+E80</f>
        <v/>
      </c>
      <c r="G80" s="14" t="n"/>
      <c r="H80" s="14" t="n"/>
      <c r="I80" s="8">
        <f>G80+H80</f>
        <v/>
      </c>
      <c r="J80" s="8">
        <f>D80+G80</f>
        <v/>
      </c>
      <c r="K80" s="8">
        <f>E80+H80</f>
        <v/>
      </c>
      <c r="L80" s="8">
        <f>J80+K80</f>
        <v/>
      </c>
      <c r="M80" s="9">
        <f>IF(C80=0,0,L80/C80*100)</f>
        <v/>
      </c>
    </row>
    <row r="81">
      <c r="A81" s="7" t="n">
        <v>2</v>
      </c>
      <c r="B81" s="8">
        <f>B6</f>
        <v/>
      </c>
      <c r="C81" s="8">
        <f>C6</f>
        <v/>
      </c>
      <c r="D81" s="14" t="n"/>
      <c r="E81" s="14" t="n"/>
      <c r="F81" s="8">
        <f>D81+E81</f>
        <v/>
      </c>
      <c r="G81" s="14" t="n"/>
      <c r="H81" s="14" t="n"/>
      <c r="I81" s="8">
        <f>G81+H81</f>
        <v/>
      </c>
      <c r="J81" s="8">
        <f>D81+G81</f>
        <v/>
      </c>
      <c r="K81" s="8">
        <f>E81+H81</f>
        <v/>
      </c>
      <c r="L81" s="8">
        <f>J81+K81</f>
        <v/>
      </c>
      <c r="M81" s="9">
        <f>IF(C81=0,0,L81/C81*100)</f>
        <v/>
      </c>
    </row>
    <row r="82">
      <c r="A82" s="7" t="n">
        <v>3</v>
      </c>
      <c r="B82" s="8">
        <f>B7</f>
        <v/>
      </c>
      <c r="C82" s="8">
        <f>C7</f>
        <v/>
      </c>
      <c r="D82" s="14" t="n"/>
      <c r="E82" s="14" t="n"/>
      <c r="F82" s="8">
        <f>D82+E82</f>
        <v/>
      </c>
      <c r="G82" s="14" t="n"/>
      <c r="H82" s="14" t="n"/>
      <c r="I82" s="8">
        <f>G82+H82</f>
        <v/>
      </c>
      <c r="J82" s="8">
        <f>D82+G82</f>
        <v/>
      </c>
      <c r="K82" s="8">
        <f>E82+H82</f>
        <v/>
      </c>
      <c r="L82" s="8">
        <f>J82+K82</f>
        <v/>
      </c>
      <c r="M82" s="9">
        <f>IF(C82=0,0,L82/C82*100)</f>
        <v/>
      </c>
    </row>
    <row r="83">
      <c r="A83" s="7" t="n">
        <v>4</v>
      </c>
      <c r="B83" s="8">
        <f>B8</f>
        <v/>
      </c>
      <c r="C83" s="8">
        <f>C8</f>
        <v/>
      </c>
      <c r="D83" s="14" t="n"/>
      <c r="E83" s="14" t="n"/>
      <c r="F83" s="8">
        <f>D83+E83</f>
        <v/>
      </c>
      <c r="G83" s="14" t="n"/>
      <c r="H83" s="14" t="n"/>
      <c r="I83" s="8">
        <f>G83+H83</f>
        <v/>
      </c>
      <c r="J83" s="8">
        <f>D83+G83</f>
        <v/>
      </c>
      <c r="K83" s="8">
        <f>E83+H83</f>
        <v/>
      </c>
      <c r="L83" s="8">
        <f>J83+K83</f>
        <v/>
      </c>
      <c r="M83" s="9">
        <f>IF(C83=0,0,L83/C83*100)</f>
        <v/>
      </c>
    </row>
    <row r="84">
      <c r="A84" s="7" t="n">
        <v>5</v>
      </c>
      <c r="B84" s="8">
        <f>B9</f>
        <v/>
      </c>
      <c r="C84" s="8">
        <f>C9</f>
        <v/>
      </c>
      <c r="D84" s="14" t="n"/>
      <c r="E84" s="14" t="n"/>
      <c r="F84" s="8">
        <f>D84+E84</f>
        <v/>
      </c>
      <c r="G84" s="14" t="n"/>
      <c r="H84" s="14" t="n"/>
      <c r="I84" s="8">
        <f>G84+H84</f>
        <v/>
      </c>
      <c r="J84" s="8">
        <f>D84+G84</f>
        <v/>
      </c>
      <c r="K84" s="8">
        <f>E84+H84</f>
        <v/>
      </c>
      <c r="L84" s="8">
        <f>J84+K84</f>
        <v/>
      </c>
      <c r="M84" s="9">
        <f>IF(C84=0,0,L84/C84*100)</f>
        <v/>
      </c>
    </row>
    <row r="85">
      <c r="A85" s="7" t="n">
        <v>6</v>
      </c>
      <c r="B85" s="8">
        <f>B10</f>
        <v/>
      </c>
      <c r="C85" s="8">
        <f>C10</f>
        <v/>
      </c>
      <c r="D85" s="14" t="n"/>
      <c r="E85" s="14" t="n"/>
      <c r="F85" s="8">
        <f>D85+E85</f>
        <v/>
      </c>
      <c r="G85" s="14" t="n"/>
      <c r="H85" s="14" t="n"/>
      <c r="I85" s="8">
        <f>G85+H85</f>
        <v/>
      </c>
      <c r="J85" s="8">
        <f>D85+G85</f>
        <v/>
      </c>
      <c r="K85" s="8">
        <f>E85+H85</f>
        <v/>
      </c>
      <c r="L85" s="8">
        <f>J85+K85</f>
        <v/>
      </c>
      <c r="M85" s="9">
        <f>IF(C85=0,0,L85/C85*100)</f>
        <v/>
      </c>
    </row>
    <row r="86">
      <c r="A86" s="7" t="n">
        <v>7</v>
      </c>
      <c r="B86" s="8">
        <f>B11</f>
        <v/>
      </c>
      <c r="C86" s="8">
        <f>C11</f>
        <v/>
      </c>
      <c r="D86" s="14" t="n"/>
      <c r="E86" s="14" t="n"/>
      <c r="F86" s="8">
        <f>D86+E86</f>
        <v/>
      </c>
      <c r="G86" s="14" t="n"/>
      <c r="H86" s="14" t="n"/>
      <c r="I86" s="8">
        <f>G86+H86</f>
        <v/>
      </c>
      <c r="J86" s="8">
        <f>D86+G86</f>
        <v/>
      </c>
      <c r="K86" s="8">
        <f>E86+H86</f>
        <v/>
      </c>
      <c r="L86" s="8">
        <f>J86+K86</f>
        <v/>
      </c>
      <c r="M86" s="9">
        <f>IF(C86=0,0,L86/C86*100)</f>
        <v/>
      </c>
    </row>
    <row r="87">
      <c r="A87" s="7" t="n">
        <v>8</v>
      </c>
      <c r="B87" s="8">
        <f>B12</f>
        <v/>
      </c>
      <c r="C87" s="8">
        <f>C12</f>
        <v/>
      </c>
      <c r="D87" s="14" t="n"/>
      <c r="E87" s="14" t="n"/>
      <c r="F87" s="8">
        <f>D87+E87</f>
        <v/>
      </c>
      <c r="G87" s="14" t="n"/>
      <c r="H87" s="14" t="n"/>
      <c r="I87" s="8">
        <f>G87+H87</f>
        <v/>
      </c>
      <c r="J87" s="8">
        <f>D87+G87</f>
        <v/>
      </c>
      <c r="K87" s="8">
        <f>E87+H87</f>
        <v/>
      </c>
      <c r="L87" s="8">
        <f>J87+K87</f>
        <v/>
      </c>
      <c r="M87" s="9">
        <f>IF(C87=0,0,L87/C87*100)</f>
        <v/>
      </c>
    </row>
    <row r="88">
      <c r="A88" s="7" t="n">
        <v>9</v>
      </c>
      <c r="B88" s="8">
        <f>B13</f>
        <v/>
      </c>
      <c r="C88" s="8">
        <f>C13</f>
        <v/>
      </c>
      <c r="D88" s="14" t="n"/>
      <c r="E88" s="14" t="n"/>
      <c r="F88" s="8">
        <f>D88+E88</f>
        <v/>
      </c>
      <c r="G88" s="14" t="n"/>
      <c r="H88" s="14" t="n"/>
      <c r="I88" s="8">
        <f>G88+H88</f>
        <v/>
      </c>
      <c r="J88" s="8">
        <f>D88+G88</f>
        <v/>
      </c>
      <c r="K88" s="8">
        <f>E88+H88</f>
        <v/>
      </c>
      <c r="L88" s="8">
        <f>J88+K88</f>
        <v/>
      </c>
      <c r="M88" s="9">
        <f>IF(C88=0,0,L88/C88*100)</f>
        <v/>
      </c>
    </row>
    <row r="89">
      <c r="A89" s="10" t="inlineStr">
        <is>
          <t>Total</t>
        </is>
      </c>
      <c r="B89" s="11">
        <f>SUM(B80:B88)</f>
        <v/>
      </c>
      <c r="C89" s="11">
        <f>SUM(C80:C88)</f>
        <v/>
      </c>
      <c r="D89" s="11">
        <f>SUM(D80:D88)</f>
        <v/>
      </c>
      <c r="E89" s="11">
        <f>SUM(E80:E88)</f>
        <v/>
      </c>
      <c r="F89" s="11">
        <f>D89+E89</f>
        <v/>
      </c>
      <c r="G89" s="11">
        <f>SUM(G80:G88)</f>
        <v/>
      </c>
      <c r="H89" s="11">
        <f>SUM(H80:H88)</f>
        <v/>
      </c>
      <c r="I89" s="11">
        <f>G89+H89</f>
        <v/>
      </c>
      <c r="J89" s="11">
        <f>D89+G89</f>
        <v/>
      </c>
      <c r="K89" s="11">
        <f>E89+H89</f>
        <v/>
      </c>
      <c r="L89" s="11">
        <f>J89+K89</f>
        <v/>
      </c>
      <c r="M89" s="12">
        <f>IF(C89=0,0,L89/C89*100)</f>
        <v/>
      </c>
    </row>
    <row r="91">
      <c r="A91" s="13" t="inlineStr">
        <is>
          <t>Day 6 - 2026-10-10 (Sat 24 Aswin 2083)</t>
        </is>
      </c>
    </row>
    <row r="92">
      <c r="A92" s="6" t="inlineStr">
        <is>
          <t>Ward no.</t>
        </is>
      </c>
      <c r="B92" s="6" t="inlineStr">
        <is>
          <t>Total population</t>
        </is>
      </c>
      <c r="C92" s="6" t="inlineStr">
        <is>
          <t>JE target population</t>
        </is>
      </c>
      <c r="D92" s="6" t="inlineStr">
        <is>
          <t>Vaccinated</t>
        </is>
      </c>
      <c r="E92" s="6" t="n"/>
      <c r="F92" s="6" t="n"/>
      <c r="G92" s="6" t="n"/>
      <c r="H92" s="6" t="n"/>
      <c r="I92" s="6" t="n"/>
      <c r="J92" s="6" t="n"/>
      <c r="K92" s="6" t="n"/>
      <c r="L92" s="6" t="n"/>
      <c r="M92" s="6" t="inlineStr">
        <is>
          <t>Progress %</t>
        </is>
      </c>
    </row>
    <row r="93">
      <c r="A93" s="6" t="n"/>
      <c r="B93" s="6" t="n"/>
      <c r="C93" s="6" t="n"/>
      <c r="D93" s="6" t="inlineStr">
        <is>
          <t>Age 30-60 yrs</t>
        </is>
      </c>
      <c r="E93" s="6" t="n"/>
      <c r="F93" s="6" t="n"/>
      <c r="G93" s="6" t="inlineStr">
        <is>
          <t>Age 60 above</t>
        </is>
      </c>
      <c r="H93" s="6" t="n"/>
      <c r="I93" s="6" t="n"/>
      <c r="J93" s="6" t="inlineStr">
        <is>
          <t>Total</t>
        </is>
      </c>
      <c r="K93" s="6" t="n"/>
      <c r="L93" s="6" t="inlineStr">
        <is>
          <t>Grand Total</t>
        </is>
      </c>
      <c r="M93" s="6" t="n"/>
    </row>
    <row r="94">
      <c r="A94" s="6" t="n"/>
      <c r="B94" s="6" t="n"/>
      <c r="C94" s="6" t="n"/>
      <c r="D94" s="6" t="inlineStr">
        <is>
          <t>F</t>
        </is>
      </c>
      <c r="E94" s="6" t="inlineStr">
        <is>
          <t>M</t>
        </is>
      </c>
      <c r="F94" s="6" t="inlineStr">
        <is>
          <t>Total</t>
        </is>
      </c>
      <c r="G94" s="6" t="inlineStr">
        <is>
          <t>F</t>
        </is>
      </c>
      <c r="H94" s="6" t="inlineStr">
        <is>
          <t>M</t>
        </is>
      </c>
      <c r="I94" s="6" t="inlineStr">
        <is>
          <t>Total</t>
        </is>
      </c>
      <c r="J94" s="6" t="inlineStr">
        <is>
          <t>F</t>
        </is>
      </c>
      <c r="K94" s="6" t="inlineStr">
        <is>
          <t>M</t>
        </is>
      </c>
      <c r="L94" s="6" t="n"/>
      <c r="M94" s="6" t="n"/>
    </row>
    <row r="95">
      <c r="A95" s="7" t="n">
        <v>1</v>
      </c>
      <c r="B95" s="8">
        <f>B5</f>
        <v/>
      </c>
      <c r="C95" s="8">
        <f>C5</f>
        <v/>
      </c>
      <c r="D95" s="14" t="n"/>
      <c r="E95" s="14" t="n"/>
      <c r="F95" s="8">
        <f>D95+E95</f>
        <v/>
      </c>
      <c r="G95" s="14" t="n"/>
      <c r="H95" s="14" t="n"/>
      <c r="I95" s="8">
        <f>G95+H95</f>
        <v/>
      </c>
      <c r="J95" s="8">
        <f>D95+G95</f>
        <v/>
      </c>
      <c r="K95" s="8">
        <f>E95+H95</f>
        <v/>
      </c>
      <c r="L95" s="8">
        <f>J95+K95</f>
        <v/>
      </c>
      <c r="M95" s="9">
        <f>IF(C95=0,0,L95/C95*100)</f>
        <v/>
      </c>
    </row>
    <row r="96">
      <c r="A96" s="7" t="n">
        <v>2</v>
      </c>
      <c r="B96" s="8">
        <f>B6</f>
        <v/>
      </c>
      <c r="C96" s="8">
        <f>C6</f>
        <v/>
      </c>
      <c r="D96" s="14" t="n"/>
      <c r="E96" s="14" t="n"/>
      <c r="F96" s="8">
        <f>D96+E96</f>
        <v/>
      </c>
      <c r="G96" s="14" t="n"/>
      <c r="H96" s="14" t="n"/>
      <c r="I96" s="8">
        <f>G96+H96</f>
        <v/>
      </c>
      <c r="J96" s="8">
        <f>D96+G96</f>
        <v/>
      </c>
      <c r="K96" s="8">
        <f>E96+H96</f>
        <v/>
      </c>
      <c r="L96" s="8">
        <f>J96+K96</f>
        <v/>
      </c>
      <c r="M96" s="9">
        <f>IF(C96=0,0,L96/C96*100)</f>
        <v/>
      </c>
    </row>
    <row r="97">
      <c r="A97" s="7" t="n">
        <v>3</v>
      </c>
      <c r="B97" s="8">
        <f>B7</f>
        <v/>
      </c>
      <c r="C97" s="8">
        <f>C7</f>
        <v/>
      </c>
      <c r="D97" s="14" t="n"/>
      <c r="E97" s="14" t="n"/>
      <c r="F97" s="8">
        <f>D97+E97</f>
        <v/>
      </c>
      <c r="G97" s="14" t="n"/>
      <c r="H97" s="14" t="n"/>
      <c r="I97" s="8">
        <f>G97+H97</f>
        <v/>
      </c>
      <c r="J97" s="8">
        <f>D97+G97</f>
        <v/>
      </c>
      <c r="K97" s="8">
        <f>E97+H97</f>
        <v/>
      </c>
      <c r="L97" s="8">
        <f>J97+K97</f>
        <v/>
      </c>
      <c r="M97" s="9">
        <f>IF(C97=0,0,L97/C97*100)</f>
        <v/>
      </c>
    </row>
    <row r="98">
      <c r="A98" s="7" t="n">
        <v>4</v>
      </c>
      <c r="B98" s="8">
        <f>B8</f>
        <v/>
      </c>
      <c r="C98" s="8">
        <f>C8</f>
        <v/>
      </c>
      <c r="D98" s="14" t="n"/>
      <c r="E98" s="14" t="n"/>
      <c r="F98" s="8">
        <f>D98+E98</f>
        <v/>
      </c>
      <c r="G98" s="14" t="n"/>
      <c r="H98" s="14" t="n"/>
      <c r="I98" s="8">
        <f>G98+H98</f>
        <v/>
      </c>
      <c r="J98" s="8">
        <f>D98+G98</f>
        <v/>
      </c>
      <c r="K98" s="8">
        <f>E98+H98</f>
        <v/>
      </c>
      <c r="L98" s="8">
        <f>J98+K98</f>
        <v/>
      </c>
      <c r="M98" s="9">
        <f>IF(C98=0,0,L98/C98*100)</f>
        <v/>
      </c>
    </row>
    <row r="99">
      <c r="A99" s="7" t="n">
        <v>5</v>
      </c>
      <c r="B99" s="8">
        <f>B9</f>
        <v/>
      </c>
      <c r="C99" s="8">
        <f>C9</f>
        <v/>
      </c>
      <c r="D99" s="14" t="n"/>
      <c r="E99" s="14" t="n"/>
      <c r="F99" s="8">
        <f>D99+E99</f>
        <v/>
      </c>
      <c r="G99" s="14" t="n"/>
      <c r="H99" s="14" t="n"/>
      <c r="I99" s="8">
        <f>G99+H99</f>
        <v/>
      </c>
      <c r="J99" s="8">
        <f>D99+G99</f>
        <v/>
      </c>
      <c r="K99" s="8">
        <f>E99+H99</f>
        <v/>
      </c>
      <c r="L99" s="8">
        <f>J99+K99</f>
        <v/>
      </c>
      <c r="M99" s="9">
        <f>IF(C99=0,0,L99/C99*100)</f>
        <v/>
      </c>
    </row>
    <row r="100">
      <c r="A100" s="7" t="n">
        <v>6</v>
      </c>
      <c r="B100" s="8">
        <f>B10</f>
        <v/>
      </c>
      <c r="C100" s="8">
        <f>C10</f>
        <v/>
      </c>
      <c r="D100" s="14" t="n"/>
      <c r="E100" s="14" t="n"/>
      <c r="F100" s="8">
        <f>D100+E100</f>
        <v/>
      </c>
      <c r="G100" s="14" t="n"/>
      <c r="H100" s="14" t="n"/>
      <c r="I100" s="8">
        <f>G100+H100</f>
        <v/>
      </c>
      <c r="J100" s="8">
        <f>D100+G100</f>
        <v/>
      </c>
      <c r="K100" s="8">
        <f>E100+H100</f>
        <v/>
      </c>
      <c r="L100" s="8">
        <f>J100+K100</f>
        <v/>
      </c>
      <c r="M100" s="9">
        <f>IF(C100=0,0,L100/C100*100)</f>
        <v/>
      </c>
    </row>
    <row r="101">
      <c r="A101" s="7" t="n">
        <v>7</v>
      </c>
      <c r="B101" s="8">
        <f>B11</f>
        <v/>
      </c>
      <c r="C101" s="8">
        <f>C11</f>
        <v/>
      </c>
      <c r="D101" s="14" t="n"/>
      <c r="E101" s="14" t="n"/>
      <c r="F101" s="8">
        <f>D101+E101</f>
        <v/>
      </c>
      <c r="G101" s="14" t="n"/>
      <c r="H101" s="14" t="n"/>
      <c r="I101" s="8">
        <f>G101+H101</f>
        <v/>
      </c>
      <c r="J101" s="8">
        <f>D101+G101</f>
        <v/>
      </c>
      <c r="K101" s="8">
        <f>E101+H101</f>
        <v/>
      </c>
      <c r="L101" s="8">
        <f>J101+K101</f>
        <v/>
      </c>
      <c r="M101" s="9">
        <f>IF(C101=0,0,L101/C101*100)</f>
        <v/>
      </c>
    </row>
    <row r="102">
      <c r="A102" s="7" t="n">
        <v>8</v>
      </c>
      <c r="B102" s="8">
        <f>B12</f>
        <v/>
      </c>
      <c r="C102" s="8">
        <f>C12</f>
        <v/>
      </c>
      <c r="D102" s="14" t="n"/>
      <c r="E102" s="14" t="n"/>
      <c r="F102" s="8">
        <f>D102+E102</f>
        <v/>
      </c>
      <c r="G102" s="14" t="n"/>
      <c r="H102" s="14" t="n"/>
      <c r="I102" s="8">
        <f>G102+H102</f>
        <v/>
      </c>
      <c r="J102" s="8">
        <f>D102+G102</f>
        <v/>
      </c>
      <c r="K102" s="8">
        <f>E102+H102</f>
        <v/>
      </c>
      <c r="L102" s="8">
        <f>J102+K102</f>
        <v/>
      </c>
      <c r="M102" s="9">
        <f>IF(C102=0,0,L102/C102*100)</f>
        <v/>
      </c>
    </row>
    <row r="103">
      <c r="A103" s="7" t="n">
        <v>9</v>
      </c>
      <c r="B103" s="8">
        <f>B13</f>
        <v/>
      </c>
      <c r="C103" s="8">
        <f>C13</f>
        <v/>
      </c>
      <c r="D103" s="14" t="n"/>
      <c r="E103" s="14" t="n"/>
      <c r="F103" s="8">
        <f>D103+E103</f>
        <v/>
      </c>
      <c r="G103" s="14" t="n"/>
      <c r="H103" s="14" t="n"/>
      <c r="I103" s="8">
        <f>G103+H103</f>
        <v/>
      </c>
      <c r="J103" s="8">
        <f>D103+G103</f>
        <v/>
      </c>
      <c r="K103" s="8">
        <f>E103+H103</f>
        <v/>
      </c>
      <c r="L103" s="8">
        <f>J103+K103</f>
        <v/>
      </c>
      <c r="M103" s="9">
        <f>IF(C103=0,0,L103/C103*100)</f>
        <v/>
      </c>
    </row>
    <row r="104">
      <c r="A104" s="10" t="inlineStr">
        <is>
          <t>Total</t>
        </is>
      </c>
      <c r="B104" s="11">
        <f>SUM(B95:B103)</f>
        <v/>
      </c>
      <c r="C104" s="11">
        <f>SUM(C95:C103)</f>
        <v/>
      </c>
      <c r="D104" s="11">
        <f>SUM(D95:D103)</f>
        <v/>
      </c>
      <c r="E104" s="11">
        <f>SUM(E95:E103)</f>
        <v/>
      </c>
      <c r="F104" s="11">
        <f>D104+E104</f>
        <v/>
      </c>
      <c r="G104" s="11">
        <f>SUM(G95:G103)</f>
        <v/>
      </c>
      <c r="H104" s="11">
        <f>SUM(H95:H103)</f>
        <v/>
      </c>
      <c r="I104" s="11">
        <f>G104+H104</f>
        <v/>
      </c>
      <c r="J104" s="11">
        <f>D104+G104</f>
        <v/>
      </c>
      <c r="K104" s="11">
        <f>E104+H104</f>
        <v/>
      </c>
      <c r="L104" s="11">
        <f>J104+K104</f>
        <v/>
      </c>
      <c r="M104" s="12">
        <f>IF(C104=0,0,L104/C104*100)</f>
        <v/>
      </c>
    </row>
    <row r="106">
      <c r="A106" s="13" t="inlineStr">
        <is>
          <t>Day 7 - 2026-10-11 (Sun 25 Aswin 2083)</t>
        </is>
      </c>
    </row>
    <row r="107">
      <c r="A107" s="6" t="inlineStr">
        <is>
          <t>Ward no.</t>
        </is>
      </c>
      <c r="B107" s="6" t="inlineStr">
        <is>
          <t>Total population</t>
        </is>
      </c>
      <c r="C107" s="6" t="inlineStr">
        <is>
          <t>JE target population</t>
        </is>
      </c>
      <c r="D107" s="6" t="inlineStr">
        <is>
          <t>Vaccinated</t>
        </is>
      </c>
      <c r="E107" s="6" t="n"/>
      <c r="F107" s="6" t="n"/>
      <c r="G107" s="6" t="n"/>
      <c r="H107" s="6" t="n"/>
      <c r="I107" s="6" t="n"/>
      <c r="J107" s="6" t="n"/>
      <c r="K107" s="6" t="n"/>
      <c r="L107" s="6" t="n"/>
      <c r="M107" s="6" t="inlineStr">
        <is>
          <t>Progress %</t>
        </is>
      </c>
    </row>
    <row r="108">
      <c r="A108" s="6" t="n"/>
      <c r="B108" s="6" t="n"/>
      <c r="C108" s="6" t="n"/>
      <c r="D108" s="6" t="inlineStr">
        <is>
          <t>Age 30-60 yrs</t>
        </is>
      </c>
      <c r="E108" s="6" t="n"/>
      <c r="F108" s="6" t="n"/>
      <c r="G108" s="6" t="inlineStr">
        <is>
          <t>Age 60 above</t>
        </is>
      </c>
      <c r="H108" s="6" t="n"/>
      <c r="I108" s="6" t="n"/>
      <c r="J108" s="6" t="inlineStr">
        <is>
          <t>Total</t>
        </is>
      </c>
      <c r="K108" s="6" t="n"/>
      <c r="L108" s="6" t="inlineStr">
        <is>
          <t>Grand Total</t>
        </is>
      </c>
      <c r="M108" s="6" t="n"/>
    </row>
    <row r="109">
      <c r="A109" s="6" t="n"/>
      <c r="B109" s="6" t="n"/>
      <c r="C109" s="6" t="n"/>
      <c r="D109" s="6" t="inlineStr">
        <is>
          <t>F</t>
        </is>
      </c>
      <c r="E109" s="6" t="inlineStr">
        <is>
          <t>M</t>
        </is>
      </c>
      <c r="F109" s="6" t="inlineStr">
        <is>
          <t>Total</t>
        </is>
      </c>
      <c r="G109" s="6" t="inlineStr">
        <is>
          <t>F</t>
        </is>
      </c>
      <c r="H109" s="6" t="inlineStr">
        <is>
          <t>M</t>
        </is>
      </c>
      <c r="I109" s="6" t="inlineStr">
        <is>
          <t>Total</t>
        </is>
      </c>
      <c r="J109" s="6" t="inlineStr">
        <is>
          <t>F</t>
        </is>
      </c>
      <c r="K109" s="6" t="inlineStr">
        <is>
          <t>M</t>
        </is>
      </c>
      <c r="L109" s="6" t="n"/>
      <c r="M109" s="6" t="n"/>
    </row>
    <row r="110">
      <c r="A110" s="7" t="n">
        <v>1</v>
      </c>
      <c r="B110" s="8">
        <f>B5</f>
        <v/>
      </c>
      <c r="C110" s="8">
        <f>C5</f>
        <v/>
      </c>
      <c r="D110" s="14" t="n"/>
      <c r="E110" s="14" t="n"/>
      <c r="F110" s="8">
        <f>D110+E110</f>
        <v/>
      </c>
      <c r="G110" s="14" t="n"/>
      <c r="H110" s="14" t="n"/>
      <c r="I110" s="8">
        <f>G110+H110</f>
        <v/>
      </c>
      <c r="J110" s="8">
        <f>D110+G110</f>
        <v/>
      </c>
      <c r="K110" s="8">
        <f>E110+H110</f>
        <v/>
      </c>
      <c r="L110" s="8">
        <f>J110+K110</f>
        <v/>
      </c>
      <c r="M110" s="9">
        <f>IF(C110=0,0,L110/C110*100)</f>
        <v/>
      </c>
    </row>
    <row r="111">
      <c r="A111" s="7" t="n">
        <v>2</v>
      </c>
      <c r="B111" s="8">
        <f>B6</f>
        <v/>
      </c>
      <c r="C111" s="8">
        <f>C6</f>
        <v/>
      </c>
      <c r="D111" s="14" t="n"/>
      <c r="E111" s="14" t="n"/>
      <c r="F111" s="8">
        <f>D111+E111</f>
        <v/>
      </c>
      <c r="G111" s="14" t="n"/>
      <c r="H111" s="14" t="n"/>
      <c r="I111" s="8">
        <f>G111+H111</f>
        <v/>
      </c>
      <c r="J111" s="8">
        <f>D111+G111</f>
        <v/>
      </c>
      <c r="K111" s="8">
        <f>E111+H111</f>
        <v/>
      </c>
      <c r="L111" s="8">
        <f>J111+K111</f>
        <v/>
      </c>
      <c r="M111" s="9">
        <f>IF(C111=0,0,L111/C111*100)</f>
        <v/>
      </c>
    </row>
    <row r="112">
      <c r="A112" s="7" t="n">
        <v>3</v>
      </c>
      <c r="B112" s="8">
        <f>B7</f>
        <v/>
      </c>
      <c r="C112" s="8">
        <f>C7</f>
        <v/>
      </c>
      <c r="D112" s="14" t="n"/>
      <c r="E112" s="14" t="n"/>
      <c r="F112" s="8">
        <f>D112+E112</f>
        <v/>
      </c>
      <c r="G112" s="14" t="n"/>
      <c r="H112" s="14" t="n"/>
      <c r="I112" s="8">
        <f>G112+H112</f>
        <v/>
      </c>
      <c r="J112" s="8">
        <f>D112+G112</f>
        <v/>
      </c>
      <c r="K112" s="8">
        <f>E112+H112</f>
        <v/>
      </c>
      <c r="L112" s="8">
        <f>J112+K112</f>
        <v/>
      </c>
      <c r="M112" s="9">
        <f>IF(C112=0,0,L112/C112*100)</f>
        <v/>
      </c>
    </row>
    <row r="113">
      <c r="A113" s="7" t="n">
        <v>4</v>
      </c>
      <c r="B113" s="8">
        <f>B8</f>
        <v/>
      </c>
      <c r="C113" s="8">
        <f>C8</f>
        <v/>
      </c>
      <c r="D113" s="14" t="n"/>
      <c r="E113" s="14" t="n"/>
      <c r="F113" s="8">
        <f>D113+E113</f>
        <v/>
      </c>
      <c r="G113" s="14" t="n"/>
      <c r="H113" s="14" t="n"/>
      <c r="I113" s="8">
        <f>G113+H113</f>
        <v/>
      </c>
      <c r="J113" s="8">
        <f>D113+G113</f>
        <v/>
      </c>
      <c r="K113" s="8">
        <f>E113+H113</f>
        <v/>
      </c>
      <c r="L113" s="8">
        <f>J113+K113</f>
        <v/>
      </c>
      <c r="M113" s="9">
        <f>IF(C113=0,0,L113/C113*100)</f>
        <v/>
      </c>
    </row>
    <row r="114">
      <c r="A114" s="7" t="n">
        <v>5</v>
      </c>
      <c r="B114" s="8">
        <f>B9</f>
        <v/>
      </c>
      <c r="C114" s="8">
        <f>C9</f>
        <v/>
      </c>
      <c r="D114" s="14" t="n"/>
      <c r="E114" s="14" t="n"/>
      <c r="F114" s="8">
        <f>D114+E114</f>
        <v/>
      </c>
      <c r="G114" s="14" t="n"/>
      <c r="H114" s="14" t="n"/>
      <c r="I114" s="8">
        <f>G114+H114</f>
        <v/>
      </c>
      <c r="J114" s="8">
        <f>D114+G114</f>
        <v/>
      </c>
      <c r="K114" s="8">
        <f>E114+H114</f>
        <v/>
      </c>
      <c r="L114" s="8">
        <f>J114+K114</f>
        <v/>
      </c>
      <c r="M114" s="9">
        <f>IF(C114=0,0,L114/C114*100)</f>
        <v/>
      </c>
    </row>
    <row r="115">
      <c r="A115" s="7" t="n">
        <v>6</v>
      </c>
      <c r="B115" s="8">
        <f>B10</f>
        <v/>
      </c>
      <c r="C115" s="8">
        <f>C10</f>
        <v/>
      </c>
      <c r="D115" s="14" t="n"/>
      <c r="E115" s="14" t="n"/>
      <c r="F115" s="8">
        <f>D115+E115</f>
        <v/>
      </c>
      <c r="G115" s="14" t="n"/>
      <c r="H115" s="14" t="n"/>
      <c r="I115" s="8">
        <f>G115+H115</f>
        <v/>
      </c>
      <c r="J115" s="8">
        <f>D115+G115</f>
        <v/>
      </c>
      <c r="K115" s="8">
        <f>E115+H115</f>
        <v/>
      </c>
      <c r="L115" s="8">
        <f>J115+K115</f>
        <v/>
      </c>
      <c r="M115" s="9">
        <f>IF(C115=0,0,L115/C115*100)</f>
        <v/>
      </c>
    </row>
    <row r="116">
      <c r="A116" s="7" t="n">
        <v>7</v>
      </c>
      <c r="B116" s="8">
        <f>B11</f>
        <v/>
      </c>
      <c r="C116" s="8">
        <f>C11</f>
        <v/>
      </c>
      <c r="D116" s="14" t="n"/>
      <c r="E116" s="14" t="n"/>
      <c r="F116" s="8">
        <f>D116+E116</f>
        <v/>
      </c>
      <c r="G116" s="14" t="n"/>
      <c r="H116" s="14" t="n"/>
      <c r="I116" s="8">
        <f>G116+H116</f>
        <v/>
      </c>
      <c r="J116" s="8">
        <f>D116+G116</f>
        <v/>
      </c>
      <c r="K116" s="8">
        <f>E116+H116</f>
        <v/>
      </c>
      <c r="L116" s="8">
        <f>J116+K116</f>
        <v/>
      </c>
      <c r="M116" s="9">
        <f>IF(C116=0,0,L116/C116*100)</f>
        <v/>
      </c>
    </row>
    <row r="117">
      <c r="A117" s="7" t="n">
        <v>8</v>
      </c>
      <c r="B117" s="8">
        <f>B12</f>
        <v/>
      </c>
      <c r="C117" s="8">
        <f>C12</f>
        <v/>
      </c>
      <c r="D117" s="14" t="n"/>
      <c r="E117" s="14" t="n"/>
      <c r="F117" s="8">
        <f>D117+E117</f>
        <v/>
      </c>
      <c r="G117" s="14" t="n"/>
      <c r="H117" s="14" t="n"/>
      <c r="I117" s="8">
        <f>G117+H117</f>
        <v/>
      </c>
      <c r="J117" s="8">
        <f>D117+G117</f>
        <v/>
      </c>
      <c r="K117" s="8">
        <f>E117+H117</f>
        <v/>
      </c>
      <c r="L117" s="8">
        <f>J117+K117</f>
        <v/>
      </c>
      <c r="M117" s="9">
        <f>IF(C117=0,0,L117/C117*100)</f>
        <v/>
      </c>
    </row>
    <row r="118">
      <c r="A118" s="7" t="n">
        <v>9</v>
      </c>
      <c r="B118" s="8">
        <f>B13</f>
        <v/>
      </c>
      <c r="C118" s="8">
        <f>C13</f>
        <v/>
      </c>
      <c r="D118" s="14" t="n"/>
      <c r="E118" s="14" t="n"/>
      <c r="F118" s="8">
        <f>D118+E118</f>
        <v/>
      </c>
      <c r="G118" s="14" t="n"/>
      <c r="H118" s="14" t="n"/>
      <c r="I118" s="8">
        <f>G118+H118</f>
        <v/>
      </c>
      <c r="J118" s="8">
        <f>D118+G118</f>
        <v/>
      </c>
      <c r="K118" s="8">
        <f>E118+H118</f>
        <v/>
      </c>
      <c r="L118" s="8">
        <f>J118+K118</f>
        <v/>
      </c>
      <c r="M118" s="9">
        <f>IF(C118=0,0,L118/C118*100)</f>
        <v/>
      </c>
    </row>
    <row r="119">
      <c r="A119" s="10" t="inlineStr">
        <is>
          <t>Total</t>
        </is>
      </c>
      <c r="B119" s="11">
        <f>SUM(B110:B118)</f>
        <v/>
      </c>
      <c r="C119" s="11">
        <f>SUM(C110:C118)</f>
        <v/>
      </c>
      <c r="D119" s="11">
        <f>SUM(D110:D118)</f>
        <v/>
      </c>
      <c r="E119" s="11">
        <f>SUM(E110:E118)</f>
        <v/>
      </c>
      <c r="F119" s="11">
        <f>D119+E119</f>
        <v/>
      </c>
      <c r="G119" s="11">
        <f>SUM(G110:G118)</f>
        <v/>
      </c>
      <c r="H119" s="11">
        <f>SUM(H110:H118)</f>
        <v/>
      </c>
      <c r="I119" s="11">
        <f>G119+H119</f>
        <v/>
      </c>
      <c r="J119" s="11">
        <f>D119+G119</f>
        <v/>
      </c>
      <c r="K119" s="11">
        <f>E119+H119</f>
        <v/>
      </c>
      <c r="L119" s="11">
        <f>J119+K119</f>
        <v/>
      </c>
      <c r="M119" s="12">
        <f>IF(C119=0,0,L119/C119*100)</f>
        <v/>
      </c>
    </row>
    <row r="121">
      <c r="A121" s="13" t="inlineStr">
        <is>
          <t>Day 8 - 2026-10-12 (Mon 26 Aswin 2083)</t>
        </is>
      </c>
    </row>
    <row r="122">
      <c r="A122" s="6" t="inlineStr">
        <is>
          <t>Ward no.</t>
        </is>
      </c>
      <c r="B122" s="6" t="inlineStr">
        <is>
          <t>Total population</t>
        </is>
      </c>
      <c r="C122" s="6" t="inlineStr">
        <is>
          <t>JE target population</t>
        </is>
      </c>
      <c r="D122" s="6" t="inlineStr">
        <is>
          <t>Vaccinated</t>
        </is>
      </c>
      <c r="E122" s="6" t="n"/>
      <c r="F122" s="6" t="n"/>
      <c r="G122" s="6" t="n"/>
      <c r="H122" s="6" t="n"/>
      <c r="I122" s="6" t="n"/>
      <c r="J122" s="6" t="n"/>
      <c r="K122" s="6" t="n"/>
      <c r="L122" s="6" t="n"/>
      <c r="M122" s="6" t="inlineStr">
        <is>
          <t>Progress %</t>
        </is>
      </c>
    </row>
    <row r="123">
      <c r="A123" s="6" t="n"/>
      <c r="B123" s="6" t="n"/>
      <c r="C123" s="6" t="n"/>
      <c r="D123" s="6" t="inlineStr">
        <is>
          <t>Age 30-60 yrs</t>
        </is>
      </c>
      <c r="E123" s="6" t="n"/>
      <c r="F123" s="6" t="n"/>
      <c r="G123" s="6" t="inlineStr">
        <is>
          <t>Age 60 above</t>
        </is>
      </c>
      <c r="H123" s="6" t="n"/>
      <c r="I123" s="6" t="n"/>
      <c r="J123" s="6" t="inlineStr">
        <is>
          <t>Total</t>
        </is>
      </c>
      <c r="K123" s="6" t="n"/>
      <c r="L123" s="6" t="inlineStr">
        <is>
          <t>Grand Total</t>
        </is>
      </c>
      <c r="M123" s="6" t="n"/>
    </row>
    <row r="124">
      <c r="A124" s="6" t="n"/>
      <c r="B124" s="6" t="n"/>
      <c r="C124" s="6" t="n"/>
      <c r="D124" s="6" t="inlineStr">
        <is>
          <t>F</t>
        </is>
      </c>
      <c r="E124" s="6" t="inlineStr">
        <is>
          <t>M</t>
        </is>
      </c>
      <c r="F124" s="6" t="inlineStr">
        <is>
          <t>Total</t>
        </is>
      </c>
      <c r="G124" s="6" t="inlineStr">
        <is>
          <t>F</t>
        </is>
      </c>
      <c r="H124" s="6" t="inlineStr">
        <is>
          <t>M</t>
        </is>
      </c>
      <c r="I124" s="6" t="inlineStr">
        <is>
          <t>Total</t>
        </is>
      </c>
      <c r="J124" s="6" t="inlineStr">
        <is>
          <t>F</t>
        </is>
      </c>
      <c r="K124" s="6" t="inlineStr">
        <is>
          <t>M</t>
        </is>
      </c>
      <c r="L124" s="6" t="n"/>
      <c r="M124" s="6" t="n"/>
    </row>
    <row r="125">
      <c r="A125" s="7" t="n">
        <v>1</v>
      </c>
      <c r="B125" s="8">
        <f>B5</f>
        <v/>
      </c>
      <c r="C125" s="8">
        <f>C5</f>
        <v/>
      </c>
      <c r="D125" s="14" t="n"/>
      <c r="E125" s="14" t="n"/>
      <c r="F125" s="8">
        <f>D125+E125</f>
        <v/>
      </c>
      <c r="G125" s="14" t="n"/>
      <c r="H125" s="14" t="n"/>
      <c r="I125" s="8">
        <f>G125+H125</f>
        <v/>
      </c>
      <c r="J125" s="8">
        <f>D125+G125</f>
        <v/>
      </c>
      <c r="K125" s="8">
        <f>E125+H125</f>
        <v/>
      </c>
      <c r="L125" s="8">
        <f>J125+K125</f>
        <v/>
      </c>
      <c r="M125" s="9">
        <f>IF(C125=0,0,L125/C125*100)</f>
        <v/>
      </c>
    </row>
    <row r="126">
      <c r="A126" s="7" t="n">
        <v>2</v>
      </c>
      <c r="B126" s="8">
        <f>B6</f>
        <v/>
      </c>
      <c r="C126" s="8">
        <f>C6</f>
        <v/>
      </c>
      <c r="D126" s="14" t="n"/>
      <c r="E126" s="14" t="n"/>
      <c r="F126" s="8">
        <f>D126+E126</f>
        <v/>
      </c>
      <c r="G126" s="14" t="n"/>
      <c r="H126" s="14" t="n"/>
      <c r="I126" s="8">
        <f>G126+H126</f>
        <v/>
      </c>
      <c r="J126" s="8">
        <f>D126+G126</f>
        <v/>
      </c>
      <c r="K126" s="8">
        <f>E126+H126</f>
        <v/>
      </c>
      <c r="L126" s="8">
        <f>J126+K126</f>
        <v/>
      </c>
      <c r="M126" s="9">
        <f>IF(C126=0,0,L126/C126*100)</f>
        <v/>
      </c>
    </row>
    <row r="127">
      <c r="A127" s="7" t="n">
        <v>3</v>
      </c>
      <c r="B127" s="8">
        <f>B7</f>
        <v/>
      </c>
      <c r="C127" s="8">
        <f>C7</f>
        <v/>
      </c>
      <c r="D127" s="14" t="n"/>
      <c r="E127" s="14" t="n"/>
      <c r="F127" s="8">
        <f>D127+E127</f>
        <v/>
      </c>
      <c r="G127" s="14" t="n"/>
      <c r="H127" s="14" t="n"/>
      <c r="I127" s="8">
        <f>G127+H127</f>
        <v/>
      </c>
      <c r="J127" s="8">
        <f>D127+G127</f>
        <v/>
      </c>
      <c r="K127" s="8">
        <f>E127+H127</f>
        <v/>
      </c>
      <c r="L127" s="8">
        <f>J127+K127</f>
        <v/>
      </c>
      <c r="M127" s="9">
        <f>IF(C127=0,0,L127/C127*100)</f>
        <v/>
      </c>
    </row>
    <row r="128">
      <c r="A128" s="7" t="n">
        <v>4</v>
      </c>
      <c r="B128" s="8">
        <f>B8</f>
        <v/>
      </c>
      <c r="C128" s="8">
        <f>C8</f>
        <v/>
      </c>
      <c r="D128" s="14" t="n"/>
      <c r="E128" s="14" t="n"/>
      <c r="F128" s="8">
        <f>D128+E128</f>
        <v/>
      </c>
      <c r="G128" s="14" t="n"/>
      <c r="H128" s="14" t="n"/>
      <c r="I128" s="8">
        <f>G128+H128</f>
        <v/>
      </c>
      <c r="J128" s="8">
        <f>D128+G128</f>
        <v/>
      </c>
      <c r="K128" s="8">
        <f>E128+H128</f>
        <v/>
      </c>
      <c r="L128" s="8">
        <f>J128+K128</f>
        <v/>
      </c>
      <c r="M128" s="9">
        <f>IF(C128=0,0,L128/C128*100)</f>
        <v/>
      </c>
    </row>
    <row r="129">
      <c r="A129" s="7" t="n">
        <v>5</v>
      </c>
      <c r="B129" s="8">
        <f>B9</f>
        <v/>
      </c>
      <c r="C129" s="8">
        <f>C9</f>
        <v/>
      </c>
      <c r="D129" s="14" t="n"/>
      <c r="E129" s="14" t="n"/>
      <c r="F129" s="8">
        <f>D129+E129</f>
        <v/>
      </c>
      <c r="G129" s="14" t="n"/>
      <c r="H129" s="14" t="n"/>
      <c r="I129" s="8">
        <f>G129+H129</f>
        <v/>
      </c>
      <c r="J129" s="8">
        <f>D129+G129</f>
        <v/>
      </c>
      <c r="K129" s="8">
        <f>E129+H129</f>
        <v/>
      </c>
      <c r="L129" s="8">
        <f>J129+K129</f>
        <v/>
      </c>
      <c r="M129" s="9">
        <f>IF(C129=0,0,L129/C129*100)</f>
        <v/>
      </c>
    </row>
    <row r="130">
      <c r="A130" s="7" t="n">
        <v>6</v>
      </c>
      <c r="B130" s="8">
        <f>B10</f>
        <v/>
      </c>
      <c r="C130" s="8">
        <f>C10</f>
        <v/>
      </c>
      <c r="D130" s="14" t="n"/>
      <c r="E130" s="14" t="n"/>
      <c r="F130" s="8">
        <f>D130+E130</f>
        <v/>
      </c>
      <c r="G130" s="14" t="n"/>
      <c r="H130" s="14" t="n"/>
      <c r="I130" s="8">
        <f>G130+H130</f>
        <v/>
      </c>
      <c r="J130" s="8">
        <f>D130+G130</f>
        <v/>
      </c>
      <c r="K130" s="8">
        <f>E130+H130</f>
        <v/>
      </c>
      <c r="L130" s="8">
        <f>J130+K130</f>
        <v/>
      </c>
      <c r="M130" s="9">
        <f>IF(C130=0,0,L130/C130*100)</f>
        <v/>
      </c>
    </row>
    <row r="131">
      <c r="A131" s="7" t="n">
        <v>7</v>
      </c>
      <c r="B131" s="8">
        <f>B11</f>
        <v/>
      </c>
      <c r="C131" s="8">
        <f>C11</f>
        <v/>
      </c>
      <c r="D131" s="14" t="n"/>
      <c r="E131" s="14" t="n"/>
      <c r="F131" s="8">
        <f>D131+E131</f>
        <v/>
      </c>
      <c r="G131" s="14" t="n"/>
      <c r="H131" s="14" t="n"/>
      <c r="I131" s="8">
        <f>G131+H131</f>
        <v/>
      </c>
      <c r="J131" s="8">
        <f>D131+G131</f>
        <v/>
      </c>
      <c r="K131" s="8">
        <f>E131+H131</f>
        <v/>
      </c>
      <c r="L131" s="8">
        <f>J131+K131</f>
        <v/>
      </c>
      <c r="M131" s="9">
        <f>IF(C131=0,0,L131/C131*100)</f>
        <v/>
      </c>
    </row>
    <row r="132">
      <c r="A132" s="7" t="n">
        <v>8</v>
      </c>
      <c r="B132" s="8">
        <f>B12</f>
        <v/>
      </c>
      <c r="C132" s="8">
        <f>C12</f>
        <v/>
      </c>
      <c r="D132" s="14" t="n"/>
      <c r="E132" s="14" t="n"/>
      <c r="F132" s="8">
        <f>D132+E132</f>
        <v/>
      </c>
      <c r="G132" s="14" t="n"/>
      <c r="H132" s="14" t="n"/>
      <c r="I132" s="8">
        <f>G132+H132</f>
        <v/>
      </c>
      <c r="J132" s="8">
        <f>D132+G132</f>
        <v/>
      </c>
      <c r="K132" s="8">
        <f>E132+H132</f>
        <v/>
      </c>
      <c r="L132" s="8">
        <f>J132+K132</f>
        <v/>
      </c>
      <c r="M132" s="9">
        <f>IF(C132=0,0,L132/C132*100)</f>
        <v/>
      </c>
    </row>
    <row r="133">
      <c r="A133" s="7" t="n">
        <v>9</v>
      </c>
      <c r="B133" s="8">
        <f>B13</f>
        <v/>
      </c>
      <c r="C133" s="8">
        <f>C13</f>
        <v/>
      </c>
      <c r="D133" s="14" t="n"/>
      <c r="E133" s="14" t="n"/>
      <c r="F133" s="8">
        <f>D133+E133</f>
        <v/>
      </c>
      <c r="G133" s="14" t="n"/>
      <c r="H133" s="14" t="n"/>
      <c r="I133" s="8">
        <f>G133+H133</f>
        <v/>
      </c>
      <c r="J133" s="8">
        <f>D133+G133</f>
        <v/>
      </c>
      <c r="K133" s="8">
        <f>E133+H133</f>
        <v/>
      </c>
      <c r="L133" s="8">
        <f>J133+K133</f>
        <v/>
      </c>
      <c r="M133" s="9">
        <f>IF(C133=0,0,L133/C133*100)</f>
        <v/>
      </c>
    </row>
    <row r="134">
      <c r="A134" s="10" t="inlineStr">
        <is>
          <t>Total</t>
        </is>
      </c>
      <c r="B134" s="11">
        <f>SUM(B125:B133)</f>
        <v/>
      </c>
      <c r="C134" s="11">
        <f>SUM(C125:C133)</f>
        <v/>
      </c>
      <c r="D134" s="11">
        <f>SUM(D125:D133)</f>
        <v/>
      </c>
      <c r="E134" s="11">
        <f>SUM(E125:E133)</f>
        <v/>
      </c>
      <c r="F134" s="11">
        <f>D134+E134</f>
        <v/>
      </c>
      <c r="G134" s="11">
        <f>SUM(G125:G133)</f>
        <v/>
      </c>
      <c r="H134" s="11">
        <f>SUM(H125:H133)</f>
        <v/>
      </c>
      <c r="I134" s="11">
        <f>G134+H134</f>
        <v/>
      </c>
      <c r="J134" s="11">
        <f>D134+G134</f>
        <v/>
      </c>
      <c r="K134" s="11">
        <f>E134+H134</f>
        <v/>
      </c>
      <c r="L134" s="11">
        <f>J134+K134</f>
        <v/>
      </c>
      <c r="M134" s="12">
        <f>IF(C134=0,0,L134/C134*100)</f>
        <v/>
      </c>
    </row>
    <row r="136">
      <c r="A136" s="13" t="inlineStr">
        <is>
          <t>Day 9 - 2026-10-13 (Tue 27 Aswin 2083)</t>
        </is>
      </c>
    </row>
    <row r="137">
      <c r="A137" s="6" t="inlineStr">
        <is>
          <t>Ward no.</t>
        </is>
      </c>
      <c r="B137" s="6" t="inlineStr">
        <is>
          <t>Total population</t>
        </is>
      </c>
      <c r="C137" s="6" t="inlineStr">
        <is>
          <t>JE target population</t>
        </is>
      </c>
      <c r="D137" s="6" t="inlineStr">
        <is>
          <t>Vaccinated</t>
        </is>
      </c>
      <c r="E137" s="6" t="n"/>
      <c r="F137" s="6" t="n"/>
      <c r="G137" s="6" t="n"/>
      <c r="H137" s="6" t="n"/>
      <c r="I137" s="6" t="n"/>
      <c r="J137" s="6" t="n"/>
      <c r="K137" s="6" t="n"/>
      <c r="L137" s="6" t="n"/>
      <c r="M137" s="6" t="inlineStr">
        <is>
          <t>Progress %</t>
        </is>
      </c>
    </row>
    <row r="138">
      <c r="A138" s="6" t="n"/>
      <c r="B138" s="6" t="n"/>
      <c r="C138" s="6" t="n"/>
      <c r="D138" s="6" t="inlineStr">
        <is>
          <t>Age 30-60 yrs</t>
        </is>
      </c>
      <c r="E138" s="6" t="n"/>
      <c r="F138" s="6" t="n"/>
      <c r="G138" s="6" t="inlineStr">
        <is>
          <t>Age 60 above</t>
        </is>
      </c>
      <c r="H138" s="6" t="n"/>
      <c r="I138" s="6" t="n"/>
      <c r="J138" s="6" t="inlineStr">
        <is>
          <t>Total</t>
        </is>
      </c>
      <c r="K138" s="6" t="n"/>
      <c r="L138" s="6" t="inlineStr">
        <is>
          <t>Grand Total</t>
        </is>
      </c>
      <c r="M138" s="6" t="n"/>
    </row>
    <row r="139">
      <c r="A139" s="6" t="n"/>
      <c r="B139" s="6" t="n"/>
      <c r="C139" s="6" t="n"/>
      <c r="D139" s="6" t="inlineStr">
        <is>
          <t>F</t>
        </is>
      </c>
      <c r="E139" s="6" t="inlineStr">
        <is>
          <t>M</t>
        </is>
      </c>
      <c r="F139" s="6" t="inlineStr">
        <is>
          <t>Total</t>
        </is>
      </c>
      <c r="G139" s="6" t="inlineStr">
        <is>
          <t>F</t>
        </is>
      </c>
      <c r="H139" s="6" t="inlineStr">
        <is>
          <t>M</t>
        </is>
      </c>
      <c r="I139" s="6" t="inlineStr">
        <is>
          <t>Total</t>
        </is>
      </c>
      <c r="J139" s="6" t="inlineStr">
        <is>
          <t>F</t>
        </is>
      </c>
      <c r="K139" s="6" t="inlineStr">
        <is>
          <t>M</t>
        </is>
      </c>
      <c r="L139" s="6" t="n"/>
      <c r="M139" s="6" t="n"/>
    </row>
    <row r="140">
      <c r="A140" s="7" t="n">
        <v>1</v>
      </c>
      <c r="B140" s="8">
        <f>B5</f>
        <v/>
      </c>
      <c r="C140" s="8">
        <f>C5</f>
        <v/>
      </c>
      <c r="D140" s="14" t="n"/>
      <c r="E140" s="14" t="n"/>
      <c r="F140" s="8">
        <f>D140+E140</f>
        <v/>
      </c>
      <c r="G140" s="14" t="n"/>
      <c r="H140" s="14" t="n"/>
      <c r="I140" s="8">
        <f>G140+H140</f>
        <v/>
      </c>
      <c r="J140" s="8">
        <f>D140+G140</f>
        <v/>
      </c>
      <c r="K140" s="8">
        <f>E140+H140</f>
        <v/>
      </c>
      <c r="L140" s="8">
        <f>J140+K140</f>
        <v/>
      </c>
      <c r="M140" s="9">
        <f>IF(C140=0,0,L140/C140*100)</f>
        <v/>
      </c>
    </row>
    <row r="141">
      <c r="A141" s="7" t="n">
        <v>2</v>
      </c>
      <c r="B141" s="8">
        <f>B6</f>
        <v/>
      </c>
      <c r="C141" s="8">
        <f>C6</f>
        <v/>
      </c>
      <c r="D141" s="14" t="n"/>
      <c r="E141" s="14" t="n"/>
      <c r="F141" s="8">
        <f>D141+E141</f>
        <v/>
      </c>
      <c r="G141" s="14" t="n"/>
      <c r="H141" s="14" t="n"/>
      <c r="I141" s="8">
        <f>G141+H141</f>
        <v/>
      </c>
      <c r="J141" s="8">
        <f>D141+G141</f>
        <v/>
      </c>
      <c r="K141" s="8">
        <f>E141+H141</f>
        <v/>
      </c>
      <c r="L141" s="8">
        <f>J141+K141</f>
        <v/>
      </c>
      <c r="M141" s="9">
        <f>IF(C141=0,0,L141/C141*100)</f>
        <v/>
      </c>
    </row>
    <row r="142">
      <c r="A142" s="7" t="n">
        <v>3</v>
      </c>
      <c r="B142" s="8">
        <f>B7</f>
        <v/>
      </c>
      <c r="C142" s="8">
        <f>C7</f>
        <v/>
      </c>
      <c r="D142" s="14" t="n"/>
      <c r="E142" s="14" t="n"/>
      <c r="F142" s="8">
        <f>D142+E142</f>
        <v/>
      </c>
      <c r="G142" s="14" t="n"/>
      <c r="H142" s="14" t="n"/>
      <c r="I142" s="8">
        <f>G142+H142</f>
        <v/>
      </c>
      <c r="J142" s="8">
        <f>D142+G142</f>
        <v/>
      </c>
      <c r="K142" s="8">
        <f>E142+H142</f>
        <v/>
      </c>
      <c r="L142" s="8">
        <f>J142+K142</f>
        <v/>
      </c>
      <c r="M142" s="9">
        <f>IF(C142=0,0,L142/C142*100)</f>
        <v/>
      </c>
    </row>
    <row r="143">
      <c r="A143" s="7" t="n">
        <v>4</v>
      </c>
      <c r="B143" s="8">
        <f>B8</f>
        <v/>
      </c>
      <c r="C143" s="8">
        <f>C8</f>
        <v/>
      </c>
      <c r="D143" s="14" t="n"/>
      <c r="E143" s="14" t="n"/>
      <c r="F143" s="8">
        <f>D143+E143</f>
        <v/>
      </c>
      <c r="G143" s="14" t="n"/>
      <c r="H143" s="14" t="n"/>
      <c r="I143" s="8">
        <f>G143+H143</f>
        <v/>
      </c>
      <c r="J143" s="8">
        <f>D143+G143</f>
        <v/>
      </c>
      <c r="K143" s="8">
        <f>E143+H143</f>
        <v/>
      </c>
      <c r="L143" s="8">
        <f>J143+K143</f>
        <v/>
      </c>
      <c r="M143" s="9">
        <f>IF(C143=0,0,L143/C143*100)</f>
        <v/>
      </c>
    </row>
    <row r="144">
      <c r="A144" s="7" t="n">
        <v>5</v>
      </c>
      <c r="B144" s="8">
        <f>B9</f>
        <v/>
      </c>
      <c r="C144" s="8">
        <f>C9</f>
        <v/>
      </c>
      <c r="D144" s="14" t="n"/>
      <c r="E144" s="14" t="n"/>
      <c r="F144" s="8">
        <f>D144+E144</f>
        <v/>
      </c>
      <c r="G144" s="14" t="n"/>
      <c r="H144" s="14" t="n"/>
      <c r="I144" s="8">
        <f>G144+H144</f>
        <v/>
      </c>
      <c r="J144" s="8">
        <f>D144+G144</f>
        <v/>
      </c>
      <c r="K144" s="8">
        <f>E144+H144</f>
        <v/>
      </c>
      <c r="L144" s="8">
        <f>J144+K144</f>
        <v/>
      </c>
      <c r="M144" s="9">
        <f>IF(C144=0,0,L144/C144*100)</f>
        <v/>
      </c>
    </row>
    <row r="145">
      <c r="A145" s="7" t="n">
        <v>6</v>
      </c>
      <c r="B145" s="8">
        <f>B10</f>
        <v/>
      </c>
      <c r="C145" s="8">
        <f>C10</f>
        <v/>
      </c>
      <c r="D145" s="14" t="n"/>
      <c r="E145" s="14" t="n"/>
      <c r="F145" s="8">
        <f>D145+E145</f>
        <v/>
      </c>
      <c r="G145" s="14" t="n"/>
      <c r="H145" s="14" t="n"/>
      <c r="I145" s="8">
        <f>G145+H145</f>
        <v/>
      </c>
      <c r="J145" s="8">
        <f>D145+G145</f>
        <v/>
      </c>
      <c r="K145" s="8">
        <f>E145+H145</f>
        <v/>
      </c>
      <c r="L145" s="8">
        <f>J145+K145</f>
        <v/>
      </c>
      <c r="M145" s="9">
        <f>IF(C145=0,0,L145/C145*100)</f>
        <v/>
      </c>
    </row>
    <row r="146">
      <c r="A146" s="7" t="n">
        <v>7</v>
      </c>
      <c r="B146" s="8">
        <f>B11</f>
        <v/>
      </c>
      <c r="C146" s="8">
        <f>C11</f>
        <v/>
      </c>
      <c r="D146" s="14" t="n"/>
      <c r="E146" s="14" t="n"/>
      <c r="F146" s="8">
        <f>D146+E146</f>
        <v/>
      </c>
      <c r="G146" s="14" t="n"/>
      <c r="H146" s="14" t="n"/>
      <c r="I146" s="8">
        <f>G146+H146</f>
        <v/>
      </c>
      <c r="J146" s="8">
        <f>D146+G146</f>
        <v/>
      </c>
      <c r="K146" s="8">
        <f>E146+H146</f>
        <v/>
      </c>
      <c r="L146" s="8">
        <f>J146+K146</f>
        <v/>
      </c>
      <c r="M146" s="9">
        <f>IF(C146=0,0,L146/C146*100)</f>
        <v/>
      </c>
    </row>
    <row r="147">
      <c r="A147" s="7" t="n">
        <v>8</v>
      </c>
      <c r="B147" s="8">
        <f>B12</f>
        <v/>
      </c>
      <c r="C147" s="8">
        <f>C12</f>
        <v/>
      </c>
      <c r="D147" s="14" t="n"/>
      <c r="E147" s="14" t="n"/>
      <c r="F147" s="8">
        <f>D147+E147</f>
        <v/>
      </c>
      <c r="G147" s="14" t="n"/>
      <c r="H147" s="14" t="n"/>
      <c r="I147" s="8">
        <f>G147+H147</f>
        <v/>
      </c>
      <c r="J147" s="8">
        <f>D147+G147</f>
        <v/>
      </c>
      <c r="K147" s="8">
        <f>E147+H147</f>
        <v/>
      </c>
      <c r="L147" s="8">
        <f>J147+K147</f>
        <v/>
      </c>
      <c r="M147" s="9">
        <f>IF(C147=0,0,L147/C147*100)</f>
        <v/>
      </c>
    </row>
    <row r="148">
      <c r="A148" s="7" t="n">
        <v>9</v>
      </c>
      <c r="B148" s="8">
        <f>B13</f>
        <v/>
      </c>
      <c r="C148" s="8">
        <f>C13</f>
        <v/>
      </c>
      <c r="D148" s="14" t="n"/>
      <c r="E148" s="14" t="n"/>
      <c r="F148" s="8">
        <f>D148+E148</f>
        <v/>
      </c>
      <c r="G148" s="14" t="n"/>
      <c r="H148" s="14" t="n"/>
      <c r="I148" s="8">
        <f>G148+H148</f>
        <v/>
      </c>
      <c r="J148" s="8">
        <f>D148+G148</f>
        <v/>
      </c>
      <c r="K148" s="8">
        <f>E148+H148</f>
        <v/>
      </c>
      <c r="L148" s="8">
        <f>J148+K148</f>
        <v/>
      </c>
      <c r="M148" s="9">
        <f>IF(C148=0,0,L148/C148*100)</f>
        <v/>
      </c>
    </row>
    <row r="149">
      <c r="A149" s="10" t="inlineStr">
        <is>
          <t>Total</t>
        </is>
      </c>
      <c r="B149" s="11">
        <f>SUM(B140:B148)</f>
        <v/>
      </c>
      <c r="C149" s="11">
        <f>SUM(C140:C148)</f>
        <v/>
      </c>
      <c r="D149" s="11">
        <f>SUM(D140:D148)</f>
        <v/>
      </c>
      <c r="E149" s="11">
        <f>SUM(E140:E148)</f>
        <v/>
      </c>
      <c r="F149" s="11">
        <f>D149+E149</f>
        <v/>
      </c>
      <c r="G149" s="11">
        <f>SUM(G140:G148)</f>
        <v/>
      </c>
      <c r="H149" s="11">
        <f>SUM(H140:H148)</f>
        <v/>
      </c>
      <c r="I149" s="11">
        <f>G149+H149</f>
        <v/>
      </c>
      <c r="J149" s="11">
        <f>D149+G149</f>
        <v/>
      </c>
      <c r="K149" s="11">
        <f>E149+H149</f>
        <v/>
      </c>
      <c r="L149" s="11">
        <f>J149+K149</f>
        <v/>
      </c>
      <c r="M149" s="12">
        <f>IF(C149=0,0,L149/C149*100)</f>
        <v/>
      </c>
    </row>
    <row r="151">
      <c r="A151" s="13" t="inlineStr">
        <is>
          <t>Day 10 - 2026-10-14 (Wed 28 Aswin 2083)</t>
        </is>
      </c>
    </row>
    <row r="152">
      <c r="A152" s="6" t="inlineStr">
        <is>
          <t>Ward no.</t>
        </is>
      </c>
      <c r="B152" s="6" t="inlineStr">
        <is>
          <t>Total population</t>
        </is>
      </c>
      <c r="C152" s="6" t="inlineStr">
        <is>
          <t>JE target population</t>
        </is>
      </c>
      <c r="D152" s="6" t="inlineStr">
        <is>
          <t>Vaccinated</t>
        </is>
      </c>
      <c r="E152" s="6" t="n"/>
      <c r="F152" s="6" t="n"/>
      <c r="G152" s="6" t="n"/>
      <c r="H152" s="6" t="n"/>
      <c r="I152" s="6" t="n"/>
      <c r="J152" s="6" t="n"/>
      <c r="K152" s="6" t="n"/>
      <c r="L152" s="6" t="n"/>
      <c r="M152" s="6" t="inlineStr">
        <is>
          <t>Progress %</t>
        </is>
      </c>
    </row>
    <row r="153">
      <c r="A153" s="6" t="n"/>
      <c r="B153" s="6" t="n"/>
      <c r="C153" s="6" t="n"/>
      <c r="D153" s="6" t="inlineStr">
        <is>
          <t>Age 30-60 yrs</t>
        </is>
      </c>
      <c r="E153" s="6" t="n"/>
      <c r="F153" s="6" t="n"/>
      <c r="G153" s="6" t="inlineStr">
        <is>
          <t>Age 60 above</t>
        </is>
      </c>
      <c r="H153" s="6" t="n"/>
      <c r="I153" s="6" t="n"/>
      <c r="J153" s="6" t="inlineStr">
        <is>
          <t>Total</t>
        </is>
      </c>
      <c r="K153" s="6" t="n"/>
      <c r="L153" s="6" t="inlineStr">
        <is>
          <t>Grand Total</t>
        </is>
      </c>
      <c r="M153" s="6" t="n"/>
    </row>
    <row r="154">
      <c r="A154" s="6" t="n"/>
      <c r="B154" s="6" t="n"/>
      <c r="C154" s="6" t="n"/>
      <c r="D154" s="6" t="inlineStr">
        <is>
          <t>F</t>
        </is>
      </c>
      <c r="E154" s="6" t="inlineStr">
        <is>
          <t>M</t>
        </is>
      </c>
      <c r="F154" s="6" t="inlineStr">
        <is>
          <t>Total</t>
        </is>
      </c>
      <c r="G154" s="6" t="inlineStr">
        <is>
          <t>F</t>
        </is>
      </c>
      <c r="H154" s="6" t="inlineStr">
        <is>
          <t>M</t>
        </is>
      </c>
      <c r="I154" s="6" t="inlineStr">
        <is>
          <t>Total</t>
        </is>
      </c>
      <c r="J154" s="6" t="inlineStr">
        <is>
          <t>F</t>
        </is>
      </c>
      <c r="K154" s="6" t="inlineStr">
        <is>
          <t>M</t>
        </is>
      </c>
      <c r="L154" s="6" t="n"/>
      <c r="M154" s="6" t="n"/>
    </row>
    <row r="155">
      <c r="A155" s="7" t="n">
        <v>1</v>
      </c>
      <c r="B155" s="8">
        <f>B5</f>
        <v/>
      </c>
      <c r="C155" s="8">
        <f>C5</f>
        <v/>
      </c>
      <c r="D155" s="14" t="n"/>
      <c r="E155" s="14" t="n"/>
      <c r="F155" s="8">
        <f>D155+E155</f>
        <v/>
      </c>
      <c r="G155" s="14" t="n"/>
      <c r="H155" s="14" t="n"/>
      <c r="I155" s="8">
        <f>G155+H155</f>
        <v/>
      </c>
      <c r="J155" s="8">
        <f>D155+G155</f>
        <v/>
      </c>
      <c r="K155" s="8">
        <f>E155+H155</f>
        <v/>
      </c>
      <c r="L155" s="8">
        <f>J155+K155</f>
        <v/>
      </c>
      <c r="M155" s="9">
        <f>IF(C155=0,0,L155/C155*100)</f>
        <v/>
      </c>
    </row>
    <row r="156">
      <c r="A156" s="7" t="n">
        <v>2</v>
      </c>
      <c r="B156" s="8">
        <f>B6</f>
        <v/>
      </c>
      <c r="C156" s="8">
        <f>C6</f>
        <v/>
      </c>
      <c r="D156" s="14" t="n"/>
      <c r="E156" s="14" t="n"/>
      <c r="F156" s="8">
        <f>D156+E156</f>
        <v/>
      </c>
      <c r="G156" s="14" t="n"/>
      <c r="H156" s="14" t="n"/>
      <c r="I156" s="8">
        <f>G156+H156</f>
        <v/>
      </c>
      <c r="J156" s="8">
        <f>D156+G156</f>
        <v/>
      </c>
      <c r="K156" s="8">
        <f>E156+H156</f>
        <v/>
      </c>
      <c r="L156" s="8">
        <f>J156+K156</f>
        <v/>
      </c>
      <c r="M156" s="9">
        <f>IF(C156=0,0,L156/C156*100)</f>
        <v/>
      </c>
    </row>
    <row r="157">
      <c r="A157" s="7" t="n">
        <v>3</v>
      </c>
      <c r="B157" s="8">
        <f>B7</f>
        <v/>
      </c>
      <c r="C157" s="8">
        <f>C7</f>
        <v/>
      </c>
      <c r="D157" s="14" t="n"/>
      <c r="E157" s="14" t="n"/>
      <c r="F157" s="8">
        <f>D157+E157</f>
        <v/>
      </c>
      <c r="G157" s="14" t="n"/>
      <c r="H157" s="14" t="n"/>
      <c r="I157" s="8">
        <f>G157+H157</f>
        <v/>
      </c>
      <c r="J157" s="8">
        <f>D157+G157</f>
        <v/>
      </c>
      <c r="K157" s="8">
        <f>E157+H157</f>
        <v/>
      </c>
      <c r="L157" s="8">
        <f>J157+K157</f>
        <v/>
      </c>
      <c r="M157" s="9">
        <f>IF(C157=0,0,L157/C157*100)</f>
        <v/>
      </c>
    </row>
    <row r="158">
      <c r="A158" s="7" t="n">
        <v>4</v>
      </c>
      <c r="B158" s="8">
        <f>B8</f>
        <v/>
      </c>
      <c r="C158" s="8">
        <f>C8</f>
        <v/>
      </c>
      <c r="D158" s="14" t="n"/>
      <c r="E158" s="14" t="n"/>
      <c r="F158" s="8">
        <f>D158+E158</f>
        <v/>
      </c>
      <c r="G158" s="14" t="n"/>
      <c r="H158" s="14" t="n"/>
      <c r="I158" s="8">
        <f>G158+H158</f>
        <v/>
      </c>
      <c r="J158" s="8">
        <f>D158+G158</f>
        <v/>
      </c>
      <c r="K158" s="8">
        <f>E158+H158</f>
        <v/>
      </c>
      <c r="L158" s="8">
        <f>J158+K158</f>
        <v/>
      </c>
      <c r="M158" s="9">
        <f>IF(C158=0,0,L158/C158*100)</f>
        <v/>
      </c>
    </row>
    <row r="159">
      <c r="A159" s="7" t="n">
        <v>5</v>
      </c>
      <c r="B159" s="8">
        <f>B9</f>
        <v/>
      </c>
      <c r="C159" s="8">
        <f>C9</f>
        <v/>
      </c>
      <c r="D159" s="14" t="n"/>
      <c r="E159" s="14" t="n"/>
      <c r="F159" s="8">
        <f>D159+E159</f>
        <v/>
      </c>
      <c r="G159" s="14" t="n"/>
      <c r="H159" s="14" t="n"/>
      <c r="I159" s="8">
        <f>G159+H159</f>
        <v/>
      </c>
      <c r="J159" s="8">
        <f>D159+G159</f>
        <v/>
      </c>
      <c r="K159" s="8">
        <f>E159+H159</f>
        <v/>
      </c>
      <c r="L159" s="8">
        <f>J159+K159</f>
        <v/>
      </c>
      <c r="M159" s="9">
        <f>IF(C159=0,0,L159/C159*100)</f>
        <v/>
      </c>
    </row>
    <row r="160">
      <c r="A160" s="7" t="n">
        <v>6</v>
      </c>
      <c r="B160" s="8">
        <f>B10</f>
        <v/>
      </c>
      <c r="C160" s="8">
        <f>C10</f>
        <v/>
      </c>
      <c r="D160" s="14" t="n"/>
      <c r="E160" s="14" t="n"/>
      <c r="F160" s="8">
        <f>D160+E160</f>
        <v/>
      </c>
      <c r="G160" s="14" t="n"/>
      <c r="H160" s="14" t="n"/>
      <c r="I160" s="8">
        <f>G160+H160</f>
        <v/>
      </c>
      <c r="J160" s="8">
        <f>D160+G160</f>
        <v/>
      </c>
      <c r="K160" s="8">
        <f>E160+H160</f>
        <v/>
      </c>
      <c r="L160" s="8">
        <f>J160+K160</f>
        <v/>
      </c>
      <c r="M160" s="9">
        <f>IF(C160=0,0,L160/C160*100)</f>
        <v/>
      </c>
    </row>
    <row r="161">
      <c r="A161" s="7" t="n">
        <v>7</v>
      </c>
      <c r="B161" s="8">
        <f>B11</f>
        <v/>
      </c>
      <c r="C161" s="8">
        <f>C11</f>
        <v/>
      </c>
      <c r="D161" s="14" t="n"/>
      <c r="E161" s="14" t="n"/>
      <c r="F161" s="8">
        <f>D161+E161</f>
        <v/>
      </c>
      <c r="G161" s="14" t="n"/>
      <c r="H161" s="14" t="n"/>
      <c r="I161" s="8">
        <f>G161+H161</f>
        <v/>
      </c>
      <c r="J161" s="8">
        <f>D161+G161</f>
        <v/>
      </c>
      <c r="K161" s="8">
        <f>E161+H161</f>
        <v/>
      </c>
      <c r="L161" s="8">
        <f>J161+K161</f>
        <v/>
      </c>
      <c r="M161" s="9">
        <f>IF(C161=0,0,L161/C161*100)</f>
        <v/>
      </c>
    </row>
    <row r="162">
      <c r="A162" s="7" t="n">
        <v>8</v>
      </c>
      <c r="B162" s="8">
        <f>B12</f>
        <v/>
      </c>
      <c r="C162" s="8">
        <f>C12</f>
        <v/>
      </c>
      <c r="D162" s="14" t="n"/>
      <c r="E162" s="14" t="n"/>
      <c r="F162" s="8">
        <f>D162+E162</f>
        <v/>
      </c>
      <c r="G162" s="14" t="n"/>
      <c r="H162" s="14" t="n"/>
      <c r="I162" s="8">
        <f>G162+H162</f>
        <v/>
      </c>
      <c r="J162" s="8">
        <f>D162+G162</f>
        <v/>
      </c>
      <c r="K162" s="8">
        <f>E162+H162</f>
        <v/>
      </c>
      <c r="L162" s="8">
        <f>J162+K162</f>
        <v/>
      </c>
      <c r="M162" s="9">
        <f>IF(C162=0,0,L162/C162*100)</f>
        <v/>
      </c>
    </row>
    <row r="163">
      <c r="A163" s="7" t="n">
        <v>9</v>
      </c>
      <c r="B163" s="8">
        <f>B13</f>
        <v/>
      </c>
      <c r="C163" s="8">
        <f>C13</f>
        <v/>
      </c>
      <c r="D163" s="14" t="n"/>
      <c r="E163" s="14" t="n"/>
      <c r="F163" s="8">
        <f>D163+E163</f>
        <v/>
      </c>
      <c r="G163" s="14" t="n"/>
      <c r="H163" s="14" t="n"/>
      <c r="I163" s="8">
        <f>G163+H163</f>
        <v/>
      </c>
      <c r="J163" s="8">
        <f>D163+G163</f>
        <v/>
      </c>
      <c r="K163" s="8">
        <f>E163+H163</f>
        <v/>
      </c>
      <c r="L163" s="8">
        <f>J163+K163</f>
        <v/>
      </c>
      <c r="M163" s="9">
        <f>IF(C163=0,0,L163/C163*100)</f>
        <v/>
      </c>
    </row>
    <row r="164">
      <c r="A164" s="10" t="inlineStr">
        <is>
          <t>Total</t>
        </is>
      </c>
      <c r="B164" s="11">
        <f>SUM(B155:B163)</f>
        <v/>
      </c>
      <c r="C164" s="11">
        <f>SUM(C155:C163)</f>
        <v/>
      </c>
      <c r="D164" s="11">
        <f>SUM(D155:D163)</f>
        <v/>
      </c>
      <c r="E164" s="11">
        <f>SUM(E155:E163)</f>
        <v/>
      </c>
      <c r="F164" s="11">
        <f>D164+E164</f>
        <v/>
      </c>
      <c r="G164" s="11">
        <f>SUM(G155:G163)</f>
        <v/>
      </c>
      <c r="H164" s="11">
        <f>SUM(H155:H163)</f>
        <v/>
      </c>
      <c r="I164" s="11">
        <f>G164+H164</f>
        <v/>
      </c>
      <c r="J164" s="11">
        <f>D164+G164</f>
        <v/>
      </c>
      <c r="K164" s="11">
        <f>E164+H164</f>
        <v/>
      </c>
      <c r="L164" s="11">
        <f>J164+K164</f>
        <v/>
      </c>
      <c r="M164" s="12">
        <f>IF(C164=0,0,L164/C164*100)</f>
        <v/>
      </c>
    </row>
    <row r="166">
      <c r="A166" s="13" t="inlineStr">
        <is>
          <t>Day 11 - 2026-10-15 (Thu 29 Aswin 2083)</t>
        </is>
      </c>
    </row>
    <row r="167">
      <c r="A167" s="6" t="inlineStr">
        <is>
          <t>Ward no.</t>
        </is>
      </c>
      <c r="B167" s="6" t="inlineStr">
        <is>
          <t>Total population</t>
        </is>
      </c>
      <c r="C167" s="6" t="inlineStr">
        <is>
          <t>JE target population</t>
        </is>
      </c>
      <c r="D167" s="6" t="inlineStr">
        <is>
          <t>Vaccinated</t>
        </is>
      </c>
      <c r="E167" s="6" t="n"/>
      <c r="F167" s="6" t="n"/>
      <c r="G167" s="6" t="n"/>
      <c r="H167" s="6" t="n"/>
      <c r="I167" s="6" t="n"/>
      <c r="J167" s="6" t="n"/>
      <c r="K167" s="6" t="n"/>
      <c r="L167" s="6" t="n"/>
      <c r="M167" s="6" t="inlineStr">
        <is>
          <t>Progress %</t>
        </is>
      </c>
    </row>
    <row r="168">
      <c r="A168" s="6" t="n"/>
      <c r="B168" s="6" t="n"/>
      <c r="C168" s="6" t="n"/>
      <c r="D168" s="6" t="inlineStr">
        <is>
          <t>Age 30-60 yrs</t>
        </is>
      </c>
      <c r="E168" s="6" t="n"/>
      <c r="F168" s="6" t="n"/>
      <c r="G168" s="6" t="inlineStr">
        <is>
          <t>Age 60 above</t>
        </is>
      </c>
      <c r="H168" s="6" t="n"/>
      <c r="I168" s="6" t="n"/>
      <c r="J168" s="6" t="inlineStr">
        <is>
          <t>Total</t>
        </is>
      </c>
      <c r="K168" s="6" t="n"/>
      <c r="L168" s="6" t="inlineStr">
        <is>
          <t>Grand Total</t>
        </is>
      </c>
      <c r="M168" s="6" t="n"/>
    </row>
    <row r="169">
      <c r="A169" s="6" t="n"/>
      <c r="B169" s="6" t="n"/>
      <c r="C169" s="6" t="n"/>
      <c r="D169" s="6" t="inlineStr">
        <is>
          <t>F</t>
        </is>
      </c>
      <c r="E169" s="6" t="inlineStr">
        <is>
          <t>M</t>
        </is>
      </c>
      <c r="F169" s="6" t="inlineStr">
        <is>
          <t>Total</t>
        </is>
      </c>
      <c r="G169" s="6" t="inlineStr">
        <is>
          <t>F</t>
        </is>
      </c>
      <c r="H169" s="6" t="inlineStr">
        <is>
          <t>M</t>
        </is>
      </c>
      <c r="I169" s="6" t="inlineStr">
        <is>
          <t>Total</t>
        </is>
      </c>
      <c r="J169" s="6" t="inlineStr">
        <is>
          <t>F</t>
        </is>
      </c>
      <c r="K169" s="6" t="inlineStr">
        <is>
          <t>M</t>
        </is>
      </c>
      <c r="L169" s="6" t="n"/>
      <c r="M169" s="6" t="n"/>
    </row>
    <row r="170">
      <c r="A170" s="7" t="n">
        <v>1</v>
      </c>
      <c r="B170" s="8">
        <f>B5</f>
        <v/>
      </c>
      <c r="C170" s="8">
        <f>C5</f>
        <v/>
      </c>
      <c r="D170" s="14" t="n"/>
      <c r="E170" s="14" t="n"/>
      <c r="F170" s="8">
        <f>D170+E170</f>
        <v/>
      </c>
      <c r="G170" s="14" t="n"/>
      <c r="H170" s="14" t="n"/>
      <c r="I170" s="8">
        <f>G170+H170</f>
        <v/>
      </c>
      <c r="J170" s="8">
        <f>D170+G170</f>
        <v/>
      </c>
      <c r="K170" s="8">
        <f>E170+H170</f>
        <v/>
      </c>
      <c r="L170" s="8">
        <f>J170+K170</f>
        <v/>
      </c>
      <c r="M170" s="9">
        <f>IF(C170=0,0,L170/C170*100)</f>
        <v/>
      </c>
    </row>
    <row r="171">
      <c r="A171" s="7" t="n">
        <v>2</v>
      </c>
      <c r="B171" s="8">
        <f>B6</f>
        <v/>
      </c>
      <c r="C171" s="8">
        <f>C6</f>
        <v/>
      </c>
      <c r="D171" s="14" t="n"/>
      <c r="E171" s="14" t="n"/>
      <c r="F171" s="8">
        <f>D171+E171</f>
        <v/>
      </c>
      <c r="G171" s="14" t="n"/>
      <c r="H171" s="14" t="n"/>
      <c r="I171" s="8">
        <f>G171+H171</f>
        <v/>
      </c>
      <c r="J171" s="8">
        <f>D171+G171</f>
        <v/>
      </c>
      <c r="K171" s="8">
        <f>E171+H171</f>
        <v/>
      </c>
      <c r="L171" s="8">
        <f>J171+K171</f>
        <v/>
      </c>
      <c r="M171" s="9">
        <f>IF(C171=0,0,L171/C171*100)</f>
        <v/>
      </c>
    </row>
    <row r="172">
      <c r="A172" s="7" t="n">
        <v>3</v>
      </c>
      <c r="B172" s="8">
        <f>B7</f>
        <v/>
      </c>
      <c r="C172" s="8">
        <f>C7</f>
        <v/>
      </c>
      <c r="D172" s="14" t="n"/>
      <c r="E172" s="14" t="n"/>
      <c r="F172" s="8">
        <f>D172+E172</f>
        <v/>
      </c>
      <c r="G172" s="14" t="n"/>
      <c r="H172" s="14" t="n"/>
      <c r="I172" s="8">
        <f>G172+H172</f>
        <v/>
      </c>
      <c r="J172" s="8">
        <f>D172+G172</f>
        <v/>
      </c>
      <c r="K172" s="8">
        <f>E172+H172</f>
        <v/>
      </c>
      <c r="L172" s="8">
        <f>J172+K172</f>
        <v/>
      </c>
      <c r="M172" s="9">
        <f>IF(C172=0,0,L172/C172*100)</f>
        <v/>
      </c>
    </row>
    <row r="173">
      <c r="A173" s="7" t="n">
        <v>4</v>
      </c>
      <c r="B173" s="8">
        <f>B8</f>
        <v/>
      </c>
      <c r="C173" s="8">
        <f>C8</f>
        <v/>
      </c>
      <c r="D173" s="14" t="n"/>
      <c r="E173" s="14" t="n"/>
      <c r="F173" s="8">
        <f>D173+E173</f>
        <v/>
      </c>
      <c r="G173" s="14" t="n"/>
      <c r="H173" s="14" t="n"/>
      <c r="I173" s="8">
        <f>G173+H173</f>
        <v/>
      </c>
      <c r="J173" s="8">
        <f>D173+G173</f>
        <v/>
      </c>
      <c r="K173" s="8">
        <f>E173+H173</f>
        <v/>
      </c>
      <c r="L173" s="8">
        <f>J173+K173</f>
        <v/>
      </c>
      <c r="M173" s="9">
        <f>IF(C173=0,0,L173/C173*100)</f>
        <v/>
      </c>
    </row>
    <row r="174">
      <c r="A174" s="7" t="n">
        <v>5</v>
      </c>
      <c r="B174" s="8">
        <f>B9</f>
        <v/>
      </c>
      <c r="C174" s="8">
        <f>C9</f>
        <v/>
      </c>
      <c r="D174" s="14" t="n"/>
      <c r="E174" s="14" t="n"/>
      <c r="F174" s="8">
        <f>D174+E174</f>
        <v/>
      </c>
      <c r="G174" s="14" t="n"/>
      <c r="H174" s="14" t="n"/>
      <c r="I174" s="8">
        <f>G174+H174</f>
        <v/>
      </c>
      <c r="J174" s="8">
        <f>D174+G174</f>
        <v/>
      </c>
      <c r="K174" s="8">
        <f>E174+H174</f>
        <v/>
      </c>
      <c r="L174" s="8">
        <f>J174+K174</f>
        <v/>
      </c>
      <c r="M174" s="9">
        <f>IF(C174=0,0,L174/C174*100)</f>
        <v/>
      </c>
    </row>
    <row r="175">
      <c r="A175" s="7" t="n">
        <v>6</v>
      </c>
      <c r="B175" s="8">
        <f>B10</f>
        <v/>
      </c>
      <c r="C175" s="8">
        <f>C10</f>
        <v/>
      </c>
      <c r="D175" s="14" t="n"/>
      <c r="E175" s="14" t="n"/>
      <c r="F175" s="8">
        <f>D175+E175</f>
        <v/>
      </c>
      <c r="G175" s="14" t="n"/>
      <c r="H175" s="14" t="n"/>
      <c r="I175" s="8">
        <f>G175+H175</f>
        <v/>
      </c>
      <c r="J175" s="8">
        <f>D175+G175</f>
        <v/>
      </c>
      <c r="K175" s="8">
        <f>E175+H175</f>
        <v/>
      </c>
      <c r="L175" s="8">
        <f>J175+K175</f>
        <v/>
      </c>
      <c r="M175" s="9">
        <f>IF(C175=0,0,L175/C175*100)</f>
        <v/>
      </c>
    </row>
    <row r="176">
      <c r="A176" s="7" t="n">
        <v>7</v>
      </c>
      <c r="B176" s="8">
        <f>B11</f>
        <v/>
      </c>
      <c r="C176" s="8">
        <f>C11</f>
        <v/>
      </c>
      <c r="D176" s="14" t="n"/>
      <c r="E176" s="14" t="n"/>
      <c r="F176" s="8">
        <f>D176+E176</f>
        <v/>
      </c>
      <c r="G176" s="14" t="n"/>
      <c r="H176" s="14" t="n"/>
      <c r="I176" s="8">
        <f>G176+H176</f>
        <v/>
      </c>
      <c r="J176" s="8">
        <f>D176+G176</f>
        <v/>
      </c>
      <c r="K176" s="8">
        <f>E176+H176</f>
        <v/>
      </c>
      <c r="L176" s="8">
        <f>J176+K176</f>
        <v/>
      </c>
      <c r="M176" s="9">
        <f>IF(C176=0,0,L176/C176*100)</f>
        <v/>
      </c>
    </row>
    <row r="177">
      <c r="A177" s="7" t="n">
        <v>8</v>
      </c>
      <c r="B177" s="8">
        <f>B12</f>
        <v/>
      </c>
      <c r="C177" s="8">
        <f>C12</f>
        <v/>
      </c>
      <c r="D177" s="14" t="n"/>
      <c r="E177" s="14" t="n"/>
      <c r="F177" s="8">
        <f>D177+E177</f>
        <v/>
      </c>
      <c r="G177" s="14" t="n"/>
      <c r="H177" s="14" t="n"/>
      <c r="I177" s="8">
        <f>G177+H177</f>
        <v/>
      </c>
      <c r="J177" s="8">
        <f>D177+G177</f>
        <v/>
      </c>
      <c r="K177" s="8">
        <f>E177+H177</f>
        <v/>
      </c>
      <c r="L177" s="8">
        <f>J177+K177</f>
        <v/>
      </c>
      <c r="M177" s="9">
        <f>IF(C177=0,0,L177/C177*100)</f>
        <v/>
      </c>
    </row>
    <row r="178">
      <c r="A178" s="7" t="n">
        <v>9</v>
      </c>
      <c r="B178" s="8">
        <f>B13</f>
        <v/>
      </c>
      <c r="C178" s="8">
        <f>C13</f>
        <v/>
      </c>
      <c r="D178" s="14" t="n"/>
      <c r="E178" s="14" t="n"/>
      <c r="F178" s="8">
        <f>D178+E178</f>
        <v/>
      </c>
      <c r="G178" s="14" t="n"/>
      <c r="H178" s="14" t="n"/>
      <c r="I178" s="8">
        <f>G178+H178</f>
        <v/>
      </c>
      <c r="J178" s="8">
        <f>D178+G178</f>
        <v/>
      </c>
      <c r="K178" s="8">
        <f>E178+H178</f>
        <v/>
      </c>
      <c r="L178" s="8">
        <f>J178+K178</f>
        <v/>
      </c>
      <c r="M178" s="9">
        <f>IF(C178=0,0,L178/C178*100)</f>
        <v/>
      </c>
    </row>
    <row r="179">
      <c r="A179" s="10" t="inlineStr">
        <is>
          <t>Total</t>
        </is>
      </c>
      <c r="B179" s="11">
        <f>SUM(B170:B178)</f>
        <v/>
      </c>
      <c r="C179" s="11">
        <f>SUM(C170:C178)</f>
        <v/>
      </c>
      <c r="D179" s="11">
        <f>SUM(D170:D178)</f>
        <v/>
      </c>
      <c r="E179" s="11">
        <f>SUM(E170:E178)</f>
        <v/>
      </c>
      <c r="F179" s="11">
        <f>D179+E179</f>
        <v/>
      </c>
      <c r="G179" s="11">
        <f>SUM(G170:G178)</f>
        <v/>
      </c>
      <c r="H179" s="11">
        <f>SUM(H170:H178)</f>
        <v/>
      </c>
      <c r="I179" s="11">
        <f>G179+H179</f>
        <v/>
      </c>
      <c r="J179" s="11">
        <f>D179+G179</f>
        <v/>
      </c>
      <c r="K179" s="11">
        <f>E179+H179</f>
        <v/>
      </c>
      <c r="L179" s="11">
        <f>J179+K179</f>
        <v/>
      </c>
      <c r="M179" s="12">
        <f>IF(C179=0,0,L179/C179*100)</f>
        <v/>
      </c>
    </row>
    <row r="181">
      <c r="A181" s="13" t="inlineStr">
        <is>
          <t>Day 12 - 2026-10-16 (Fri 30 Aswin 2083)</t>
        </is>
      </c>
    </row>
    <row r="182">
      <c r="A182" s="6" t="inlineStr">
        <is>
          <t>Ward no.</t>
        </is>
      </c>
      <c r="B182" s="6" t="inlineStr">
        <is>
          <t>Total population</t>
        </is>
      </c>
      <c r="C182" s="6" t="inlineStr">
        <is>
          <t>JE target population</t>
        </is>
      </c>
      <c r="D182" s="6" t="inlineStr">
        <is>
          <t>Vaccinated</t>
        </is>
      </c>
      <c r="E182" s="6" t="n"/>
      <c r="F182" s="6" t="n"/>
      <c r="G182" s="6" t="n"/>
      <c r="H182" s="6" t="n"/>
      <c r="I182" s="6" t="n"/>
      <c r="J182" s="6" t="n"/>
      <c r="K182" s="6" t="n"/>
      <c r="L182" s="6" t="n"/>
      <c r="M182" s="6" t="inlineStr">
        <is>
          <t>Progress %</t>
        </is>
      </c>
    </row>
    <row r="183">
      <c r="A183" s="6" t="n"/>
      <c r="B183" s="6" t="n"/>
      <c r="C183" s="6" t="n"/>
      <c r="D183" s="6" t="inlineStr">
        <is>
          <t>Age 30-60 yrs</t>
        </is>
      </c>
      <c r="E183" s="6" t="n"/>
      <c r="F183" s="6" t="n"/>
      <c r="G183" s="6" t="inlineStr">
        <is>
          <t>Age 60 above</t>
        </is>
      </c>
      <c r="H183" s="6" t="n"/>
      <c r="I183" s="6" t="n"/>
      <c r="J183" s="6" t="inlineStr">
        <is>
          <t>Total</t>
        </is>
      </c>
      <c r="K183" s="6" t="n"/>
      <c r="L183" s="6" t="inlineStr">
        <is>
          <t>Grand Total</t>
        </is>
      </c>
      <c r="M183" s="6" t="n"/>
    </row>
    <row r="184">
      <c r="A184" s="6" t="n"/>
      <c r="B184" s="6" t="n"/>
      <c r="C184" s="6" t="n"/>
      <c r="D184" s="6" t="inlineStr">
        <is>
          <t>F</t>
        </is>
      </c>
      <c r="E184" s="6" t="inlineStr">
        <is>
          <t>M</t>
        </is>
      </c>
      <c r="F184" s="6" t="inlineStr">
        <is>
          <t>Total</t>
        </is>
      </c>
      <c r="G184" s="6" t="inlineStr">
        <is>
          <t>F</t>
        </is>
      </c>
      <c r="H184" s="6" t="inlineStr">
        <is>
          <t>M</t>
        </is>
      </c>
      <c r="I184" s="6" t="inlineStr">
        <is>
          <t>Total</t>
        </is>
      </c>
      <c r="J184" s="6" t="inlineStr">
        <is>
          <t>F</t>
        </is>
      </c>
      <c r="K184" s="6" t="inlineStr">
        <is>
          <t>M</t>
        </is>
      </c>
      <c r="L184" s="6" t="n"/>
      <c r="M184" s="6" t="n"/>
    </row>
    <row r="185">
      <c r="A185" s="7" t="n">
        <v>1</v>
      </c>
      <c r="B185" s="8">
        <f>B5</f>
        <v/>
      </c>
      <c r="C185" s="8">
        <f>C5</f>
        <v/>
      </c>
      <c r="D185" s="14" t="n"/>
      <c r="E185" s="14" t="n"/>
      <c r="F185" s="8">
        <f>D185+E185</f>
        <v/>
      </c>
      <c r="G185" s="14" t="n"/>
      <c r="H185" s="14" t="n"/>
      <c r="I185" s="8">
        <f>G185+H185</f>
        <v/>
      </c>
      <c r="J185" s="8">
        <f>D185+G185</f>
        <v/>
      </c>
      <c r="K185" s="8">
        <f>E185+H185</f>
        <v/>
      </c>
      <c r="L185" s="8">
        <f>J185+K185</f>
        <v/>
      </c>
      <c r="M185" s="9">
        <f>IF(C185=0,0,L185/C185*100)</f>
        <v/>
      </c>
    </row>
    <row r="186">
      <c r="A186" s="7" t="n">
        <v>2</v>
      </c>
      <c r="B186" s="8">
        <f>B6</f>
        <v/>
      </c>
      <c r="C186" s="8">
        <f>C6</f>
        <v/>
      </c>
      <c r="D186" s="14" t="n"/>
      <c r="E186" s="14" t="n"/>
      <c r="F186" s="8">
        <f>D186+E186</f>
        <v/>
      </c>
      <c r="G186" s="14" t="n"/>
      <c r="H186" s="14" t="n"/>
      <c r="I186" s="8">
        <f>G186+H186</f>
        <v/>
      </c>
      <c r="J186" s="8">
        <f>D186+G186</f>
        <v/>
      </c>
      <c r="K186" s="8">
        <f>E186+H186</f>
        <v/>
      </c>
      <c r="L186" s="8">
        <f>J186+K186</f>
        <v/>
      </c>
      <c r="M186" s="9">
        <f>IF(C186=0,0,L186/C186*100)</f>
        <v/>
      </c>
    </row>
    <row r="187">
      <c r="A187" s="7" t="n">
        <v>3</v>
      </c>
      <c r="B187" s="8">
        <f>B7</f>
        <v/>
      </c>
      <c r="C187" s="8">
        <f>C7</f>
        <v/>
      </c>
      <c r="D187" s="14" t="n"/>
      <c r="E187" s="14" t="n"/>
      <c r="F187" s="8">
        <f>D187+E187</f>
        <v/>
      </c>
      <c r="G187" s="14" t="n"/>
      <c r="H187" s="14" t="n"/>
      <c r="I187" s="8">
        <f>G187+H187</f>
        <v/>
      </c>
      <c r="J187" s="8">
        <f>D187+G187</f>
        <v/>
      </c>
      <c r="K187" s="8">
        <f>E187+H187</f>
        <v/>
      </c>
      <c r="L187" s="8">
        <f>J187+K187</f>
        <v/>
      </c>
      <c r="M187" s="9">
        <f>IF(C187=0,0,L187/C187*100)</f>
        <v/>
      </c>
    </row>
    <row r="188">
      <c r="A188" s="7" t="n">
        <v>4</v>
      </c>
      <c r="B188" s="8">
        <f>B8</f>
        <v/>
      </c>
      <c r="C188" s="8">
        <f>C8</f>
        <v/>
      </c>
      <c r="D188" s="14" t="n"/>
      <c r="E188" s="14" t="n"/>
      <c r="F188" s="8">
        <f>D188+E188</f>
        <v/>
      </c>
      <c r="G188" s="14" t="n"/>
      <c r="H188" s="14" t="n"/>
      <c r="I188" s="8">
        <f>G188+H188</f>
        <v/>
      </c>
      <c r="J188" s="8">
        <f>D188+G188</f>
        <v/>
      </c>
      <c r="K188" s="8">
        <f>E188+H188</f>
        <v/>
      </c>
      <c r="L188" s="8">
        <f>J188+K188</f>
        <v/>
      </c>
      <c r="M188" s="9">
        <f>IF(C188=0,0,L188/C188*100)</f>
        <v/>
      </c>
    </row>
    <row r="189">
      <c r="A189" s="7" t="n">
        <v>5</v>
      </c>
      <c r="B189" s="8">
        <f>B9</f>
        <v/>
      </c>
      <c r="C189" s="8">
        <f>C9</f>
        <v/>
      </c>
      <c r="D189" s="14" t="n"/>
      <c r="E189" s="14" t="n"/>
      <c r="F189" s="8">
        <f>D189+E189</f>
        <v/>
      </c>
      <c r="G189" s="14" t="n"/>
      <c r="H189" s="14" t="n"/>
      <c r="I189" s="8">
        <f>G189+H189</f>
        <v/>
      </c>
      <c r="J189" s="8">
        <f>D189+G189</f>
        <v/>
      </c>
      <c r="K189" s="8">
        <f>E189+H189</f>
        <v/>
      </c>
      <c r="L189" s="8">
        <f>J189+K189</f>
        <v/>
      </c>
      <c r="M189" s="9">
        <f>IF(C189=0,0,L189/C189*100)</f>
        <v/>
      </c>
    </row>
    <row r="190">
      <c r="A190" s="7" t="n">
        <v>6</v>
      </c>
      <c r="B190" s="8">
        <f>B10</f>
        <v/>
      </c>
      <c r="C190" s="8">
        <f>C10</f>
        <v/>
      </c>
      <c r="D190" s="14" t="n"/>
      <c r="E190" s="14" t="n"/>
      <c r="F190" s="8">
        <f>D190+E190</f>
        <v/>
      </c>
      <c r="G190" s="14" t="n"/>
      <c r="H190" s="14" t="n"/>
      <c r="I190" s="8">
        <f>G190+H190</f>
        <v/>
      </c>
      <c r="J190" s="8">
        <f>D190+G190</f>
        <v/>
      </c>
      <c r="K190" s="8">
        <f>E190+H190</f>
        <v/>
      </c>
      <c r="L190" s="8">
        <f>J190+K190</f>
        <v/>
      </c>
      <c r="M190" s="9">
        <f>IF(C190=0,0,L190/C190*100)</f>
        <v/>
      </c>
    </row>
    <row r="191">
      <c r="A191" s="7" t="n">
        <v>7</v>
      </c>
      <c r="B191" s="8">
        <f>B11</f>
        <v/>
      </c>
      <c r="C191" s="8">
        <f>C11</f>
        <v/>
      </c>
      <c r="D191" s="14" t="n"/>
      <c r="E191" s="14" t="n"/>
      <c r="F191" s="8">
        <f>D191+E191</f>
        <v/>
      </c>
      <c r="G191" s="14" t="n"/>
      <c r="H191" s="14" t="n"/>
      <c r="I191" s="8">
        <f>G191+H191</f>
        <v/>
      </c>
      <c r="J191" s="8">
        <f>D191+G191</f>
        <v/>
      </c>
      <c r="K191" s="8">
        <f>E191+H191</f>
        <v/>
      </c>
      <c r="L191" s="8">
        <f>J191+K191</f>
        <v/>
      </c>
      <c r="M191" s="9">
        <f>IF(C191=0,0,L191/C191*100)</f>
        <v/>
      </c>
    </row>
    <row r="192">
      <c r="A192" s="7" t="n">
        <v>8</v>
      </c>
      <c r="B192" s="8">
        <f>B12</f>
        <v/>
      </c>
      <c r="C192" s="8">
        <f>C12</f>
        <v/>
      </c>
      <c r="D192" s="14" t="n"/>
      <c r="E192" s="14" t="n"/>
      <c r="F192" s="8">
        <f>D192+E192</f>
        <v/>
      </c>
      <c r="G192" s="14" t="n"/>
      <c r="H192" s="14" t="n"/>
      <c r="I192" s="8">
        <f>G192+H192</f>
        <v/>
      </c>
      <c r="J192" s="8">
        <f>D192+G192</f>
        <v/>
      </c>
      <c r="K192" s="8">
        <f>E192+H192</f>
        <v/>
      </c>
      <c r="L192" s="8">
        <f>J192+K192</f>
        <v/>
      </c>
      <c r="M192" s="9">
        <f>IF(C192=0,0,L192/C192*100)</f>
        <v/>
      </c>
    </row>
    <row r="193">
      <c r="A193" s="7" t="n">
        <v>9</v>
      </c>
      <c r="B193" s="8">
        <f>B13</f>
        <v/>
      </c>
      <c r="C193" s="8">
        <f>C13</f>
        <v/>
      </c>
      <c r="D193" s="14" t="n"/>
      <c r="E193" s="14" t="n"/>
      <c r="F193" s="8">
        <f>D193+E193</f>
        <v/>
      </c>
      <c r="G193" s="14" t="n"/>
      <c r="H193" s="14" t="n"/>
      <c r="I193" s="8">
        <f>G193+H193</f>
        <v/>
      </c>
      <c r="J193" s="8">
        <f>D193+G193</f>
        <v/>
      </c>
      <c r="K193" s="8">
        <f>E193+H193</f>
        <v/>
      </c>
      <c r="L193" s="8">
        <f>J193+K193</f>
        <v/>
      </c>
      <c r="M193" s="9">
        <f>IF(C193=0,0,L193/C193*100)</f>
        <v/>
      </c>
    </row>
    <row r="194">
      <c r="A194" s="10" t="inlineStr">
        <is>
          <t>Total</t>
        </is>
      </c>
      <c r="B194" s="11">
        <f>SUM(B185:B193)</f>
        <v/>
      </c>
      <c r="C194" s="11">
        <f>SUM(C185:C193)</f>
        <v/>
      </c>
      <c r="D194" s="11">
        <f>SUM(D185:D193)</f>
        <v/>
      </c>
      <c r="E194" s="11">
        <f>SUM(E185:E193)</f>
        <v/>
      </c>
      <c r="F194" s="11">
        <f>D194+E194</f>
        <v/>
      </c>
      <c r="G194" s="11">
        <f>SUM(G185:G193)</f>
        <v/>
      </c>
      <c r="H194" s="11">
        <f>SUM(H185:H193)</f>
        <v/>
      </c>
      <c r="I194" s="11">
        <f>G194+H194</f>
        <v/>
      </c>
      <c r="J194" s="11">
        <f>D194+G194</f>
        <v/>
      </c>
      <c r="K194" s="11">
        <f>E194+H194</f>
        <v/>
      </c>
      <c r="L194" s="11">
        <f>J194+K194</f>
        <v/>
      </c>
      <c r="M194" s="12">
        <f>IF(C194=0,0,L194/C194*100)</f>
        <v/>
      </c>
    </row>
    <row r="196">
      <c r="A196" s="13" t="inlineStr">
        <is>
          <t>Day 13 - 2026-10-17 (Sat 31 Aswin 2083)</t>
        </is>
      </c>
    </row>
    <row r="197">
      <c r="A197" s="6" t="inlineStr">
        <is>
          <t>Ward no.</t>
        </is>
      </c>
      <c r="B197" s="6" t="inlineStr">
        <is>
          <t>Total population</t>
        </is>
      </c>
      <c r="C197" s="6" t="inlineStr">
        <is>
          <t>JE target population</t>
        </is>
      </c>
      <c r="D197" s="6" t="inlineStr">
        <is>
          <t>Vaccinated</t>
        </is>
      </c>
      <c r="E197" s="6" t="n"/>
      <c r="F197" s="6" t="n"/>
      <c r="G197" s="6" t="n"/>
      <c r="H197" s="6" t="n"/>
      <c r="I197" s="6" t="n"/>
      <c r="J197" s="6" t="n"/>
      <c r="K197" s="6" t="n"/>
      <c r="L197" s="6" t="n"/>
      <c r="M197" s="6" t="inlineStr">
        <is>
          <t>Progress %</t>
        </is>
      </c>
    </row>
    <row r="198">
      <c r="A198" s="6" t="n"/>
      <c r="B198" s="6" t="n"/>
      <c r="C198" s="6" t="n"/>
      <c r="D198" s="6" t="inlineStr">
        <is>
          <t>Age 30-60 yrs</t>
        </is>
      </c>
      <c r="E198" s="6" t="n"/>
      <c r="F198" s="6" t="n"/>
      <c r="G198" s="6" t="inlineStr">
        <is>
          <t>Age 60 above</t>
        </is>
      </c>
      <c r="H198" s="6" t="n"/>
      <c r="I198" s="6" t="n"/>
      <c r="J198" s="6" t="inlineStr">
        <is>
          <t>Total</t>
        </is>
      </c>
      <c r="K198" s="6" t="n"/>
      <c r="L198" s="6" t="inlineStr">
        <is>
          <t>Grand Total</t>
        </is>
      </c>
      <c r="M198" s="6" t="n"/>
    </row>
    <row r="199">
      <c r="A199" s="6" t="n"/>
      <c r="B199" s="6" t="n"/>
      <c r="C199" s="6" t="n"/>
      <c r="D199" s="6" t="inlineStr">
        <is>
          <t>F</t>
        </is>
      </c>
      <c r="E199" s="6" t="inlineStr">
        <is>
          <t>M</t>
        </is>
      </c>
      <c r="F199" s="6" t="inlineStr">
        <is>
          <t>Total</t>
        </is>
      </c>
      <c r="G199" s="6" t="inlineStr">
        <is>
          <t>F</t>
        </is>
      </c>
      <c r="H199" s="6" t="inlineStr">
        <is>
          <t>M</t>
        </is>
      </c>
      <c r="I199" s="6" t="inlineStr">
        <is>
          <t>Total</t>
        </is>
      </c>
      <c r="J199" s="6" t="inlineStr">
        <is>
          <t>F</t>
        </is>
      </c>
      <c r="K199" s="6" t="inlineStr">
        <is>
          <t>M</t>
        </is>
      </c>
      <c r="L199" s="6" t="n"/>
      <c r="M199" s="6" t="n"/>
    </row>
    <row r="200">
      <c r="A200" s="7" t="n">
        <v>1</v>
      </c>
      <c r="B200" s="8">
        <f>B5</f>
        <v/>
      </c>
      <c r="C200" s="8">
        <f>C5</f>
        <v/>
      </c>
      <c r="D200" s="14" t="n"/>
      <c r="E200" s="14" t="n"/>
      <c r="F200" s="8">
        <f>D200+E200</f>
        <v/>
      </c>
      <c r="G200" s="14" t="n"/>
      <c r="H200" s="14" t="n"/>
      <c r="I200" s="8">
        <f>G200+H200</f>
        <v/>
      </c>
      <c r="J200" s="8">
        <f>D200+G200</f>
        <v/>
      </c>
      <c r="K200" s="8">
        <f>E200+H200</f>
        <v/>
      </c>
      <c r="L200" s="8">
        <f>J200+K200</f>
        <v/>
      </c>
      <c r="M200" s="9">
        <f>IF(C200=0,0,L200/C200*100)</f>
        <v/>
      </c>
    </row>
    <row r="201">
      <c r="A201" s="7" t="n">
        <v>2</v>
      </c>
      <c r="B201" s="8">
        <f>B6</f>
        <v/>
      </c>
      <c r="C201" s="8">
        <f>C6</f>
        <v/>
      </c>
      <c r="D201" s="14" t="n"/>
      <c r="E201" s="14" t="n"/>
      <c r="F201" s="8">
        <f>D201+E201</f>
        <v/>
      </c>
      <c r="G201" s="14" t="n"/>
      <c r="H201" s="14" t="n"/>
      <c r="I201" s="8">
        <f>G201+H201</f>
        <v/>
      </c>
      <c r="J201" s="8">
        <f>D201+G201</f>
        <v/>
      </c>
      <c r="K201" s="8">
        <f>E201+H201</f>
        <v/>
      </c>
      <c r="L201" s="8">
        <f>J201+K201</f>
        <v/>
      </c>
      <c r="M201" s="9">
        <f>IF(C201=0,0,L201/C201*100)</f>
        <v/>
      </c>
    </row>
    <row r="202">
      <c r="A202" s="7" t="n">
        <v>3</v>
      </c>
      <c r="B202" s="8">
        <f>B7</f>
        <v/>
      </c>
      <c r="C202" s="8">
        <f>C7</f>
        <v/>
      </c>
      <c r="D202" s="14" t="n"/>
      <c r="E202" s="14" t="n"/>
      <c r="F202" s="8">
        <f>D202+E202</f>
        <v/>
      </c>
      <c r="G202" s="14" t="n"/>
      <c r="H202" s="14" t="n"/>
      <c r="I202" s="8">
        <f>G202+H202</f>
        <v/>
      </c>
      <c r="J202" s="8">
        <f>D202+G202</f>
        <v/>
      </c>
      <c r="K202" s="8">
        <f>E202+H202</f>
        <v/>
      </c>
      <c r="L202" s="8">
        <f>J202+K202</f>
        <v/>
      </c>
      <c r="M202" s="9">
        <f>IF(C202=0,0,L202/C202*100)</f>
        <v/>
      </c>
    </row>
    <row r="203">
      <c r="A203" s="7" t="n">
        <v>4</v>
      </c>
      <c r="B203" s="8">
        <f>B8</f>
        <v/>
      </c>
      <c r="C203" s="8">
        <f>C8</f>
        <v/>
      </c>
      <c r="D203" s="14" t="n"/>
      <c r="E203" s="14" t="n"/>
      <c r="F203" s="8">
        <f>D203+E203</f>
        <v/>
      </c>
      <c r="G203" s="14" t="n"/>
      <c r="H203" s="14" t="n"/>
      <c r="I203" s="8">
        <f>G203+H203</f>
        <v/>
      </c>
      <c r="J203" s="8">
        <f>D203+G203</f>
        <v/>
      </c>
      <c r="K203" s="8">
        <f>E203+H203</f>
        <v/>
      </c>
      <c r="L203" s="8">
        <f>J203+K203</f>
        <v/>
      </c>
      <c r="M203" s="9">
        <f>IF(C203=0,0,L203/C203*100)</f>
        <v/>
      </c>
    </row>
    <row r="204">
      <c r="A204" s="7" t="n">
        <v>5</v>
      </c>
      <c r="B204" s="8">
        <f>B9</f>
        <v/>
      </c>
      <c r="C204" s="8">
        <f>C9</f>
        <v/>
      </c>
      <c r="D204" s="14" t="n"/>
      <c r="E204" s="14" t="n"/>
      <c r="F204" s="8">
        <f>D204+E204</f>
        <v/>
      </c>
      <c r="G204" s="14" t="n"/>
      <c r="H204" s="14" t="n"/>
      <c r="I204" s="8">
        <f>G204+H204</f>
        <v/>
      </c>
      <c r="J204" s="8">
        <f>D204+G204</f>
        <v/>
      </c>
      <c r="K204" s="8">
        <f>E204+H204</f>
        <v/>
      </c>
      <c r="L204" s="8">
        <f>J204+K204</f>
        <v/>
      </c>
      <c r="M204" s="9">
        <f>IF(C204=0,0,L204/C204*100)</f>
        <v/>
      </c>
    </row>
    <row r="205">
      <c r="A205" s="7" t="n">
        <v>6</v>
      </c>
      <c r="B205" s="8">
        <f>B10</f>
        <v/>
      </c>
      <c r="C205" s="8">
        <f>C10</f>
        <v/>
      </c>
      <c r="D205" s="14" t="n"/>
      <c r="E205" s="14" t="n"/>
      <c r="F205" s="8">
        <f>D205+E205</f>
        <v/>
      </c>
      <c r="G205" s="14" t="n"/>
      <c r="H205" s="14" t="n"/>
      <c r="I205" s="8">
        <f>G205+H205</f>
        <v/>
      </c>
      <c r="J205" s="8">
        <f>D205+G205</f>
        <v/>
      </c>
      <c r="K205" s="8">
        <f>E205+H205</f>
        <v/>
      </c>
      <c r="L205" s="8">
        <f>J205+K205</f>
        <v/>
      </c>
      <c r="M205" s="9">
        <f>IF(C205=0,0,L205/C205*100)</f>
        <v/>
      </c>
    </row>
    <row r="206">
      <c r="A206" s="7" t="n">
        <v>7</v>
      </c>
      <c r="B206" s="8">
        <f>B11</f>
        <v/>
      </c>
      <c r="C206" s="8">
        <f>C11</f>
        <v/>
      </c>
      <c r="D206" s="14" t="n"/>
      <c r="E206" s="14" t="n"/>
      <c r="F206" s="8">
        <f>D206+E206</f>
        <v/>
      </c>
      <c r="G206" s="14" t="n"/>
      <c r="H206" s="14" t="n"/>
      <c r="I206" s="8">
        <f>G206+H206</f>
        <v/>
      </c>
      <c r="J206" s="8">
        <f>D206+G206</f>
        <v/>
      </c>
      <c r="K206" s="8">
        <f>E206+H206</f>
        <v/>
      </c>
      <c r="L206" s="8">
        <f>J206+K206</f>
        <v/>
      </c>
      <c r="M206" s="9">
        <f>IF(C206=0,0,L206/C206*100)</f>
        <v/>
      </c>
    </row>
    <row r="207">
      <c r="A207" s="7" t="n">
        <v>8</v>
      </c>
      <c r="B207" s="8">
        <f>B12</f>
        <v/>
      </c>
      <c r="C207" s="8">
        <f>C12</f>
        <v/>
      </c>
      <c r="D207" s="14" t="n"/>
      <c r="E207" s="14" t="n"/>
      <c r="F207" s="8">
        <f>D207+E207</f>
        <v/>
      </c>
      <c r="G207" s="14" t="n"/>
      <c r="H207" s="14" t="n"/>
      <c r="I207" s="8">
        <f>G207+H207</f>
        <v/>
      </c>
      <c r="J207" s="8">
        <f>D207+G207</f>
        <v/>
      </c>
      <c r="K207" s="8">
        <f>E207+H207</f>
        <v/>
      </c>
      <c r="L207" s="8">
        <f>J207+K207</f>
        <v/>
      </c>
      <c r="M207" s="9">
        <f>IF(C207=0,0,L207/C207*100)</f>
        <v/>
      </c>
    </row>
    <row r="208">
      <c r="A208" s="7" t="n">
        <v>9</v>
      </c>
      <c r="B208" s="8">
        <f>B13</f>
        <v/>
      </c>
      <c r="C208" s="8">
        <f>C13</f>
        <v/>
      </c>
      <c r="D208" s="14" t="n"/>
      <c r="E208" s="14" t="n"/>
      <c r="F208" s="8">
        <f>D208+E208</f>
        <v/>
      </c>
      <c r="G208" s="14" t="n"/>
      <c r="H208" s="14" t="n"/>
      <c r="I208" s="8">
        <f>G208+H208</f>
        <v/>
      </c>
      <c r="J208" s="8">
        <f>D208+G208</f>
        <v/>
      </c>
      <c r="K208" s="8">
        <f>E208+H208</f>
        <v/>
      </c>
      <c r="L208" s="8">
        <f>J208+K208</f>
        <v/>
      </c>
      <c r="M208" s="9">
        <f>IF(C208=0,0,L208/C208*100)</f>
        <v/>
      </c>
    </row>
    <row r="209">
      <c r="A209" s="10" t="inlineStr">
        <is>
          <t>Total</t>
        </is>
      </c>
      <c r="B209" s="11">
        <f>SUM(B200:B208)</f>
        <v/>
      </c>
      <c r="C209" s="11">
        <f>SUM(C200:C208)</f>
        <v/>
      </c>
      <c r="D209" s="11">
        <f>SUM(D200:D208)</f>
        <v/>
      </c>
      <c r="E209" s="11">
        <f>SUM(E200:E208)</f>
        <v/>
      </c>
      <c r="F209" s="11">
        <f>D209+E209</f>
        <v/>
      </c>
      <c r="G209" s="11">
        <f>SUM(G200:G208)</f>
        <v/>
      </c>
      <c r="H209" s="11">
        <f>SUM(H200:H208)</f>
        <v/>
      </c>
      <c r="I209" s="11">
        <f>G209+H209</f>
        <v/>
      </c>
      <c r="J209" s="11">
        <f>D209+G209</f>
        <v/>
      </c>
      <c r="K209" s="11">
        <f>E209+H209</f>
        <v/>
      </c>
      <c r="L209" s="11">
        <f>J209+K209</f>
        <v/>
      </c>
      <c r="M209" s="12">
        <f>IF(C209=0,0,L209/C209*100)</f>
        <v/>
      </c>
    </row>
    <row r="211">
      <c r="A211" s="13" t="inlineStr">
        <is>
          <t>Day 14 - 2026-10-18 (Sun 01 Kartik 2083)</t>
        </is>
      </c>
    </row>
    <row r="212">
      <c r="A212" s="6" t="inlineStr">
        <is>
          <t>Ward no.</t>
        </is>
      </c>
      <c r="B212" s="6" t="inlineStr">
        <is>
          <t>Total population</t>
        </is>
      </c>
      <c r="C212" s="6" t="inlineStr">
        <is>
          <t>JE target population</t>
        </is>
      </c>
      <c r="D212" s="6" t="inlineStr">
        <is>
          <t>Vaccinated</t>
        </is>
      </c>
      <c r="E212" s="6" t="n"/>
      <c r="F212" s="6" t="n"/>
      <c r="G212" s="6" t="n"/>
      <c r="H212" s="6" t="n"/>
      <c r="I212" s="6" t="n"/>
      <c r="J212" s="6" t="n"/>
      <c r="K212" s="6" t="n"/>
      <c r="L212" s="6" t="n"/>
      <c r="M212" s="6" t="inlineStr">
        <is>
          <t>Progress %</t>
        </is>
      </c>
    </row>
    <row r="213">
      <c r="A213" s="6" t="n"/>
      <c r="B213" s="6" t="n"/>
      <c r="C213" s="6" t="n"/>
      <c r="D213" s="6" t="inlineStr">
        <is>
          <t>Age 30-60 yrs</t>
        </is>
      </c>
      <c r="E213" s="6" t="n"/>
      <c r="F213" s="6" t="n"/>
      <c r="G213" s="6" t="inlineStr">
        <is>
          <t>Age 60 above</t>
        </is>
      </c>
      <c r="H213" s="6" t="n"/>
      <c r="I213" s="6" t="n"/>
      <c r="J213" s="6" t="inlineStr">
        <is>
          <t>Total</t>
        </is>
      </c>
      <c r="K213" s="6" t="n"/>
      <c r="L213" s="6" t="inlineStr">
        <is>
          <t>Grand Total</t>
        </is>
      </c>
      <c r="M213" s="6" t="n"/>
    </row>
    <row r="214">
      <c r="A214" s="6" t="n"/>
      <c r="B214" s="6" t="n"/>
      <c r="C214" s="6" t="n"/>
      <c r="D214" s="6" t="inlineStr">
        <is>
          <t>F</t>
        </is>
      </c>
      <c r="E214" s="6" t="inlineStr">
        <is>
          <t>M</t>
        </is>
      </c>
      <c r="F214" s="6" t="inlineStr">
        <is>
          <t>Total</t>
        </is>
      </c>
      <c r="G214" s="6" t="inlineStr">
        <is>
          <t>F</t>
        </is>
      </c>
      <c r="H214" s="6" t="inlineStr">
        <is>
          <t>M</t>
        </is>
      </c>
      <c r="I214" s="6" t="inlineStr">
        <is>
          <t>Total</t>
        </is>
      </c>
      <c r="J214" s="6" t="inlineStr">
        <is>
          <t>F</t>
        </is>
      </c>
      <c r="K214" s="6" t="inlineStr">
        <is>
          <t>M</t>
        </is>
      </c>
      <c r="L214" s="6" t="n"/>
      <c r="M214" s="6" t="n"/>
    </row>
    <row r="215">
      <c r="A215" s="7" t="n">
        <v>1</v>
      </c>
      <c r="B215" s="8">
        <f>B5</f>
        <v/>
      </c>
      <c r="C215" s="8">
        <f>C5</f>
        <v/>
      </c>
      <c r="D215" s="14" t="n"/>
      <c r="E215" s="14" t="n"/>
      <c r="F215" s="8">
        <f>D215+E215</f>
        <v/>
      </c>
      <c r="G215" s="14" t="n"/>
      <c r="H215" s="14" t="n"/>
      <c r="I215" s="8">
        <f>G215+H215</f>
        <v/>
      </c>
      <c r="J215" s="8">
        <f>D215+G215</f>
        <v/>
      </c>
      <c r="K215" s="8">
        <f>E215+H215</f>
        <v/>
      </c>
      <c r="L215" s="8">
        <f>J215+K215</f>
        <v/>
      </c>
      <c r="M215" s="9">
        <f>IF(C215=0,0,L215/C215*100)</f>
        <v/>
      </c>
    </row>
    <row r="216">
      <c r="A216" s="7" t="n">
        <v>2</v>
      </c>
      <c r="B216" s="8">
        <f>B6</f>
        <v/>
      </c>
      <c r="C216" s="8">
        <f>C6</f>
        <v/>
      </c>
      <c r="D216" s="14" t="n"/>
      <c r="E216" s="14" t="n"/>
      <c r="F216" s="8">
        <f>D216+E216</f>
        <v/>
      </c>
      <c r="G216" s="14" t="n"/>
      <c r="H216" s="14" t="n"/>
      <c r="I216" s="8">
        <f>G216+H216</f>
        <v/>
      </c>
      <c r="J216" s="8">
        <f>D216+G216</f>
        <v/>
      </c>
      <c r="K216" s="8">
        <f>E216+H216</f>
        <v/>
      </c>
      <c r="L216" s="8">
        <f>J216+K216</f>
        <v/>
      </c>
      <c r="M216" s="9">
        <f>IF(C216=0,0,L216/C216*100)</f>
        <v/>
      </c>
    </row>
    <row r="217">
      <c r="A217" s="7" t="n">
        <v>3</v>
      </c>
      <c r="B217" s="8">
        <f>B7</f>
        <v/>
      </c>
      <c r="C217" s="8">
        <f>C7</f>
        <v/>
      </c>
      <c r="D217" s="14" t="n"/>
      <c r="E217" s="14" t="n"/>
      <c r="F217" s="8">
        <f>D217+E217</f>
        <v/>
      </c>
      <c r="G217" s="14" t="n"/>
      <c r="H217" s="14" t="n"/>
      <c r="I217" s="8">
        <f>G217+H217</f>
        <v/>
      </c>
      <c r="J217" s="8">
        <f>D217+G217</f>
        <v/>
      </c>
      <c r="K217" s="8">
        <f>E217+H217</f>
        <v/>
      </c>
      <c r="L217" s="8">
        <f>J217+K217</f>
        <v/>
      </c>
      <c r="M217" s="9">
        <f>IF(C217=0,0,L217/C217*100)</f>
        <v/>
      </c>
    </row>
    <row r="218">
      <c r="A218" s="7" t="n">
        <v>4</v>
      </c>
      <c r="B218" s="8">
        <f>B8</f>
        <v/>
      </c>
      <c r="C218" s="8">
        <f>C8</f>
        <v/>
      </c>
      <c r="D218" s="14" t="n"/>
      <c r="E218" s="14" t="n"/>
      <c r="F218" s="8">
        <f>D218+E218</f>
        <v/>
      </c>
      <c r="G218" s="14" t="n"/>
      <c r="H218" s="14" t="n"/>
      <c r="I218" s="8">
        <f>G218+H218</f>
        <v/>
      </c>
      <c r="J218" s="8">
        <f>D218+G218</f>
        <v/>
      </c>
      <c r="K218" s="8">
        <f>E218+H218</f>
        <v/>
      </c>
      <c r="L218" s="8">
        <f>J218+K218</f>
        <v/>
      </c>
      <c r="M218" s="9">
        <f>IF(C218=0,0,L218/C218*100)</f>
        <v/>
      </c>
    </row>
    <row r="219">
      <c r="A219" s="7" t="n">
        <v>5</v>
      </c>
      <c r="B219" s="8">
        <f>B9</f>
        <v/>
      </c>
      <c r="C219" s="8">
        <f>C9</f>
        <v/>
      </c>
      <c r="D219" s="14" t="n"/>
      <c r="E219" s="14" t="n"/>
      <c r="F219" s="8">
        <f>D219+E219</f>
        <v/>
      </c>
      <c r="G219" s="14" t="n"/>
      <c r="H219" s="14" t="n"/>
      <c r="I219" s="8">
        <f>G219+H219</f>
        <v/>
      </c>
      <c r="J219" s="8">
        <f>D219+G219</f>
        <v/>
      </c>
      <c r="K219" s="8">
        <f>E219+H219</f>
        <v/>
      </c>
      <c r="L219" s="8">
        <f>J219+K219</f>
        <v/>
      </c>
      <c r="M219" s="9">
        <f>IF(C219=0,0,L219/C219*100)</f>
        <v/>
      </c>
    </row>
    <row r="220">
      <c r="A220" s="7" t="n">
        <v>6</v>
      </c>
      <c r="B220" s="8">
        <f>B10</f>
        <v/>
      </c>
      <c r="C220" s="8">
        <f>C10</f>
        <v/>
      </c>
      <c r="D220" s="14" t="n"/>
      <c r="E220" s="14" t="n"/>
      <c r="F220" s="8">
        <f>D220+E220</f>
        <v/>
      </c>
      <c r="G220" s="14" t="n"/>
      <c r="H220" s="14" t="n"/>
      <c r="I220" s="8">
        <f>G220+H220</f>
        <v/>
      </c>
      <c r="J220" s="8">
        <f>D220+G220</f>
        <v/>
      </c>
      <c r="K220" s="8">
        <f>E220+H220</f>
        <v/>
      </c>
      <c r="L220" s="8">
        <f>J220+K220</f>
        <v/>
      </c>
      <c r="M220" s="9">
        <f>IF(C220=0,0,L220/C220*100)</f>
        <v/>
      </c>
    </row>
    <row r="221">
      <c r="A221" s="7" t="n">
        <v>7</v>
      </c>
      <c r="B221" s="8">
        <f>B11</f>
        <v/>
      </c>
      <c r="C221" s="8">
        <f>C11</f>
        <v/>
      </c>
      <c r="D221" s="14" t="n"/>
      <c r="E221" s="14" t="n"/>
      <c r="F221" s="8">
        <f>D221+E221</f>
        <v/>
      </c>
      <c r="G221" s="14" t="n"/>
      <c r="H221" s="14" t="n"/>
      <c r="I221" s="8">
        <f>G221+H221</f>
        <v/>
      </c>
      <c r="J221" s="8">
        <f>D221+G221</f>
        <v/>
      </c>
      <c r="K221" s="8">
        <f>E221+H221</f>
        <v/>
      </c>
      <c r="L221" s="8">
        <f>J221+K221</f>
        <v/>
      </c>
      <c r="M221" s="9">
        <f>IF(C221=0,0,L221/C221*100)</f>
        <v/>
      </c>
    </row>
    <row r="222">
      <c r="A222" s="7" t="n">
        <v>8</v>
      </c>
      <c r="B222" s="8">
        <f>B12</f>
        <v/>
      </c>
      <c r="C222" s="8">
        <f>C12</f>
        <v/>
      </c>
      <c r="D222" s="14" t="n"/>
      <c r="E222" s="14" t="n"/>
      <c r="F222" s="8">
        <f>D222+E222</f>
        <v/>
      </c>
      <c r="G222" s="14" t="n"/>
      <c r="H222" s="14" t="n"/>
      <c r="I222" s="8">
        <f>G222+H222</f>
        <v/>
      </c>
      <c r="J222" s="8">
        <f>D222+G222</f>
        <v/>
      </c>
      <c r="K222" s="8">
        <f>E222+H222</f>
        <v/>
      </c>
      <c r="L222" s="8">
        <f>J222+K222</f>
        <v/>
      </c>
      <c r="M222" s="9">
        <f>IF(C222=0,0,L222/C222*100)</f>
        <v/>
      </c>
    </row>
    <row r="223">
      <c r="A223" s="7" t="n">
        <v>9</v>
      </c>
      <c r="B223" s="8">
        <f>B13</f>
        <v/>
      </c>
      <c r="C223" s="8">
        <f>C13</f>
        <v/>
      </c>
      <c r="D223" s="14" t="n"/>
      <c r="E223" s="14" t="n"/>
      <c r="F223" s="8">
        <f>D223+E223</f>
        <v/>
      </c>
      <c r="G223" s="14" t="n"/>
      <c r="H223" s="14" t="n"/>
      <c r="I223" s="8">
        <f>G223+H223</f>
        <v/>
      </c>
      <c r="J223" s="8">
        <f>D223+G223</f>
        <v/>
      </c>
      <c r="K223" s="8">
        <f>E223+H223</f>
        <v/>
      </c>
      <c r="L223" s="8">
        <f>J223+K223</f>
        <v/>
      </c>
      <c r="M223" s="9">
        <f>IF(C223=0,0,L223/C223*100)</f>
        <v/>
      </c>
    </row>
    <row r="224">
      <c r="A224" s="10" t="inlineStr">
        <is>
          <t>Total</t>
        </is>
      </c>
      <c r="B224" s="11">
        <f>SUM(B215:B223)</f>
        <v/>
      </c>
      <c r="C224" s="11">
        <f>SUM(C215:C223)</f>
        <v/>
      </c>
      <c r="D224" s="11">
        <f>SUM(D215:D223)</f>
        <v/>
      </c>
      <c r="E224" s="11">
        <f>SUM(E215:E223)</f>
        <v/>
      </c>
      <c r="F224" s="11">
        <f>D224+E224</f>
        <v/>
      </c>
      <c r="G224" s="11">
        <f>SUM(G215:G223)</f>
        <v/>
      </c>
      <c r="H224" s="11">
        <f>SUM(H215:H223)</f>
        <v/>
      </c>
      <c r="I224" s="11">
        <f>G224+H224</f>
        <v/>
      </c>
      <c r="J224" s="11">
        <f>D224+G224</f>
        <v/>
      </c>
      <c r="K224" s="11">
        <f>E224+H224</f>
        <v/>
      </c>
      <c r="L224" s="11">
        <f>J224+K224</f>
        <v/>
      </c>
      <c r="M224" s="12">
        <f>IF(C224=0,0,L224/C224*100)</f>
        <v/>
      </c>
    </row>
    <row r="226">
      <c r="A226" s="13" t="inlineStr">
        <is>
          <t>Day 15 - 2026-10-19 (Mon 02 Kartik 2083)</t>
        </is>
      </c>
    </row>
    <row r="227">
      <c r="A227" s="6" t="inlineStr">
        <is>
          <t>Ward no.</t>
        </is>
      </c>
      <c r="B227" s="6" t="inlineStr">
        <is>
          <t>Total population</t>
        </is>
      </c>
      <c r="C227" s="6" t="inlineStr">
        <is>
          <t>JE target population</t>
        </is>
      </c>
      <c r="D227" s="6" t="inlineStr">
        <is>
          <t>Vaccinated</t>
        </is>
      </c>
      <c r="E227" s="6" t="n"/>
      <c r="F227" s="6" t="n"/>
      <c r="G227" s="6" t="n"/>
      <c r="H227" s="6" t="n"/>
      <c r="I227" s="6" t="n"/>
      <c r="J227" s="6" t="n"/>
      <c r="K227" s="6" t="n"/>
      <c r="L227" s="6" t="n"/>
      <c r="M227" s="6" t="inlineStr">
        <is>
          <t>Progress %</t>
        </is>
      </c>
    </row>
    <row r="228">
      <c r="A228" s="6" t="n"/>
      <c r="B228" s="6" t="n"/>
      <c r="C228" s="6" t="n"/>
      <c r="D228" s="6" t="inlineStr">
        <is>
          <t>Age 30-60 yrs</t>
        </is>
      </c>
      <c r="E228" s="6" t="n"/>
      <c r="F228" s="6" t="n"/>
      <c r="G228" s="6" t="inlineStr">
        <is>
          <t>Age 60 above</t>
        </is>
      </c>
      <c r="H228" s="6" t="n"/>
      <c r="I228" s="6" t="n"/>
      <c r="J228" s="6" t="inlineStr">
        <is>
          <t>Total</t>
        </is>
      </c>
      <c r="K228" s="6" t="n"/>
      <c r="L228" s="6" t="inlineStr">
        <is>
          <t>Grand Total</t>
        </is>
      </c>
      <c r="M228" s="6" t="n"/>
    </row>
    <row r="229">
      <c r="A229" s="6" t="n"/>
      <c r="B229" s="6" t="n"/>
      <c r="C229" s="6" t="n"/>
      <c r="D229" s="6" t="inlineStr">
        <is>
          <t>F</t>
        </is>
      </c>
      <c r="E229" s="6" t="inlineStr">
        <is>
          <t>M</t>
        </is>
      </c>
      <c r="F229" s="6" t="inlineStr">
        <is>
          <t>Total</t>
        </is>
      </c>
      <c r="G229" s="6" t="inlineStr">
        <is>
          <t>F</t>
        </is>
      </c>
      <c r="H229" s="6" t="inlineStr">
        <is>
          <t>M</t>
        </is>
      </c>
      <c r="I229" s="6" t="inlineStr">
        <is>
          <t>Total</t>
        </is>
      </c>
      <c r="J229" s="6" t="inlineStr">
        <is>
          <t>F</t>
        </is>
      </c>
      <c r="K229" s="6" t="inlineStr">
        <is>
          <t>M</t>
        </is>
      </c>
      <c r="L229" s="6" t="n"/>
      <c r="M229" s="6" t="n"/>
    </row>
    <row r="230">
      <c r="A230" s="7" t="n">
        <v>1</v>
      </c>
      <c r="B230" s="8">
        <f>B5</f>
        <v/>
      </c>
      <c r="C230" s="8">
        <f>C5</f>
        <v/>
      </c>
      <c r="D230" s="14" t="n"/>
      <c r="E230" s="14" t="n"/>
      <c r="F230" s="8">
        <f>D230+E230</f>
        <v/>
      </c>
      <c r="G230" s="14" t="n"/>
      <c r="H230" s="14" t="n"/>
      <c r="I230" s="8">
        <f>G230+H230</f>
        <v/>
      </c>
      <c r="J230" s="8">
        <f>D230+G230</f>
        <v/>
      </c>
      <c r="K230" s="8">
        <f>E230+H230</f>
        <v/>
      </c>
      <c r="L230" s="8">
        <f>J230+K230</f>
        <v/>
      </c>
      <c r="M230" s="9">
        <f>IF(C230=0,0,L230/C230*100)</f>
        <v/>
      </c>
    </row>
    <row r="231">
      <c r="A231" s="7" t="n">
        <v>2</v>
      </c>
      <c r="B231" s="8">
        <f>B6</f>
        <v/>
      </c>
      <c r="C231" s="8">
        <f>C6</f>
        <v/>
      </c>
      <c r="D231" s="14" t="n"/>
      <c r="E231" s="14" t="n"/>
      <c r="F231" s="8">
        <f>D231+E231</f>
        <v/>
      </c>
      <c r="G231" s="14" t="n"/>
      <c r="H231" s="14" t="n"/>
      <c r="I231" s="8">
        <f>G231+H231</f>
        <v/>
      </c>
      <c r="J231" s="8">
        <f>D231+G231</f>
        <v/>
      </c>
      <c r="K231" s="8">
        <f>E231+H231</f>
        <v/>
      </c>
      <c r="L231" s="8">
        <f>J231+K231</f>
        <v/>
      </c>
      <c r="M231" s="9">
        <f>IF(C231=0,0,L231/C231*100)</f>
        <v/>
      </c>
    </row>
    <row r="232">
      <c r="A232" s="7" t="n">
        <v>3</v>
      </c>
      <c r="B232" s="8">
        <f>B7</f>
        <v/>
      </c>
      <c r="C232" s="8">
        <f>C7</f>
        <v/>
      </c>
      <c r="D232" s="14" t="n"/>
      <c r="E232" s="14" t="n"/>
      <c r="F232" s="8">
        <f>D232+E232</f>
        <v/>
      </c>
      <c r="G232" s="14" t="n"/>
      <c r="H232" s="14" t="n"/>
      <c r="I232" s="8">
        <f>G232+H232</f>
        <v/>
      </c>
      <c r="J232" s="8">
        <f>D232+G232</f>
        <v/>
      </c>
      <c r="K232" s="8">
        <f>E232+H232</f>
        <v/>
      </c>
      <c r="L232" s="8">
        <f>J232+K232</f>
        <v/>
      </c>
      <c r="M232" s="9">
        <f>IF(C232=0,0,L232/C232*100)</f>
        <v/>
      </c>
    </row>
    <row r="233">
      <c r="A233" s="7" t="n">
        <v>4</v>
      </c>
      <c r="B233" s="8">
        <f>B8</f>
        <v/>
      </c>
      <c r="C233" s="8">
        <f>C8</f>
        <v/>
      </c>
      <c r="D233" s="14" t="n"/>
      <c r="E233" s="14" t="n"/>
      <c r="F233" s="8">
        <f>D233+E233</f>
        <v/>
      </c>
      <c r="G233" s="14" t="n"/>
      <c r="H233" s="14" t="n"/>
      <c r="I233" s="8">
        <f>G233+H233</f>
        <v/>
      </c>
      <c r="J233" s="8">
        <f>D233+G233</f>
        <v/>
      </c>
      <c r="K233" s="8">
        <f>E233+H233</f>
        <v/>
      </c>
      <c r="L233" s="8">
        <f>J233+K233</f>
        <v/>
      </c>
      <c r="M233" s="9">
        <f>IF(C233=0,0,L233/C233*100)</f>
        <v/>
      </c>
    </row>
    <row r="234">
      <c r="A234" s="7" t="n">
        <v>5</v>
      </c>
      <c r="B234" s="8">
        <f>B9</f>
        <v/>
      </c>
      <c r="C234" s="8">
        <f>C9</f>
        <v/>
      </c>
      <c r="D234" s="14" t="n"/>
      <c r="E234" s="14" t="n"/>
      <c r="F234" s="8">
        <f>D234+E234</f>
        <v/>
      </c>
      <c r="G234" s="14" t="n"/>
      <c r="H234" s="14" t="n"/>
      <c r="I234" s="8">
        <f>G234+H234</f>
        <v/>
      </c>
      <c r="J234" s="8">
        <f>D234+G234</f>
        <v/>
      </c>
      <c r="K234" s="8">
        <f>E234+H234</f>
        <v/>
      </c>
      <c r="L234" s="8">
        <f>J234+K234</f>
        <v/>
      </c>
      <c r="M234" s="9">
        <f>IF(C234=0,0,L234/C234*100)</f>
        <v/>
      </c>
    </row>
    <row r="235">
      <c r="A235" s="7" t="n">
        <v>6</v>
      </c>
      <c r="B235" s="8">
        <f>B10</f>
        <v/>
      </c>
      <c r="C235" s="8">
        <f>C10</f>
        <v/>
      </c>
      <c r="D235" s="14" t="n"/>
      <c r="E235" s="14" t="n"/>
      <c r="F235" s="8">
        <f>D235+E235</f>
        <v/>
      </c>
      <c r="G235" s="14" t="n"/>
      <c r="H235" s="14" t="n"/>
      <c r="I235" s="8">
        <f>G235+H235</f>
        <v/>
      </c>
      <c r="J235" s="8">
        <f>D235+G235</f>
        <v/>
      </c>
      <c r="K235" s="8">
        <f>E235+H235</f>
        <v/>
      </c>
      <c r="L235" s="8">
        <f>J235+K235</f>
        <v/>
      </c>
      <c r="M235" s="9">
        <f>IF(C235=0,0,L235/C235*100)</f>
        <v/>
      </c>
    </row>
    <row r="236">
      <c r="A236" s="7" t="n">
        <v>7</v>
      </c>
      <c r="B236" s="8">
        <f>B11</f>
        <v/>
      </c>
      <c r="C236" s="8">
        <f>C11</f>
        <v/>
      </c>
      <c r="D236" s="14" t="n"/>
      <c r="E236" s="14" t="n"/>
      <c r="F236" s="8">
        <f>D236+E236</f>
        <v/>
      </c>
      <c r="G236" s="14" t="n"/>
      <c r="H236" s="14" t="n"/>
      <c r="I236" s="8">
        <f>G236+H236</f>
        <v/>
      </c>
      <c r="J236" s="8">
        <f>D236+G236</f>
        <v/>
      </c>
      <c r="K236" s="8">
        <f>E236+H236</f>
        <v/>
      </c>
      <c r="L236" s="8">
        <f>J236+K236</f>
        <v/>
      </c>
      <c r="M236" s="9">
        <f>IF(C236=0,0,L236/C236*100)</f>
        <v/>
      </c>
    </row>
    <row r="237">
      <c r="A237" s="7" t="n">
        <v>8</v>
      </c>
      <c r="B237" s="8">
        <f>B12</f>
        <v/>
      </c>
      <c r="C237" s="8">
        <f>C12</f>
        <v/>
      </c>
      <c r="D237" s="14" t="n"/>
      <c r="E237" s="14" t="n"/>
      <c r="F237" s="8">
        <f>D237+E237</f>
        <v/>
      </c>
      <c r="G237" s="14" t="n"/>
      <c r="H237" s="14" t="n"/>
      <c r="I237" s="8">
        <f>G237+H237</f>
        <v/>
      </c>
      <c r="J237" s="8">
        <f>D237+G237</f>
        <v/>
      </c>
      <c r="K237" s="8">
        <f>E237+H237</f>
        <v/>
      </c>
      <c r="L237" s="8">
        <f>J237+K237</f>
        <v/>
      </c>
      <c r="M237" s="9">
        <f>IF(C237=0,0,L237/C237*100)</f>
        <v/>
      </c>
    </row>
    <row r="238">
      <c r="A238" s="7" t="n">
        <v>9</v>
      </c>
      <c r="B238" s="8">
        <f>B13</f>
        <v/>
      </c>
      <c r="C238" s="8">
        <f>C13</f>
        <v/>
      </c>
      <c r="D238" s="14" t="n"/>
      <c r="E238" s="14" t="n"/>
      <c r="F238" s="8">
        <f>D238+E238</f>
        <v/>
      </c>
      <c r="G238" s="14" t="n"/>
      <c r="H238" s="14" t="n"/>
      <c r="I238" s="8">
        <f>G238+H238</f>
        <v/>
      </c>
      <c r="J238" s="8">
        <f>D238+G238</f>
        <v/>
      </c>
      <c r="K238" s="8">
        <f>E238+H238</f>
        <v/>
      </c>
      <c r="L238" s="8">
        <f>J238+K238</f>
        <v/>
      </c>
      <c r="M238" s="9">
        <f>IF(C238=0,0,L238/C238*100)</f>
        <v/>
      </c>
    </row>
    <row r="239">
      <c r="A239" s="10" t="inlineStr">
        <is>
          <t>Total</t>
        </is>
      </c>
      <c r="B239" s="11">
        <f>SUM(B230:B238)</f>
        <v/>
      </c>
      <c r="C239" s="11">
        <f>SUM(C230:C238)</f>
        <v/>
      </c>
      <c r="D239" s="11">
        <f>SUM(D230:D238)</f>
        <v/>
      </c>
      <c r="E239" s="11">
        <f>SUM(E230:E238)</f>
        <v/>
      </c>
      <c r="F239" s="11">
        <f>D239+E239</f>
        <v/>
      </c>
      <c r="G239" s="11">
        <f>SUM(G230:G238)</f>
        <v/>
      </c>
      <c r="H239" s="11">
        <f>SUM(H230:H238)</f>
        <v/>
      </c>
      <c r="I239" s="11">
        <f>G239+H239</f>
        <v/>
      </c>
      <c r="J239" s="11">
        <f>D239+G239</f>
        <v/>
      </c>
      <c r="K239" s="11">
        <f>E239+H239</f>
        <v/>
      </c>
      <c r="L239" s="11">
        <f>J239+K239</f>
        <v/>
      </c>
      <c r="M239" s="12">
        <f>IF(C239=0,0,L239/C239*100)</f>
        <v/>
      </c>
    </row>
  </sheetData>
  <sheetProtection selectLockedCells="0" selectUnlockedCells="0" sheet="1" objects="0" insertRows="1" insertHyperlinks="1" autoFilter="1" scenarios="0" formatColumns="0" deleteColumns="1" insertColumns="1" pivotTables="1" deleteRows="1" formatCells="0" formatRows="0" sort="1"/>
  <mergeCells count="160">
    <mergeCell ref="L3:L4"/>
    <mergeCell ref="L183:L184"/>
    <mergeCell ref="M122:M124"/>
    <mergeCell ref="C32:C34"/>
    <mergeCell ref="M32:M34"/>
    <mergeCell ref="L93:L94"/>
    <mergeCell ref="A121:M121"/>
    <mergeCell ref="B92:B94"/>
    <mergeCell ref="A31:M31"/>
    <mergeCell ref="D168:F168"/>
    <mergeCell ref="D62:L62"/>
    <mergeCell ref="D122:L122"/>
    <mergeCell ref="B47:B49"/>
    <mergeCell ref="G153:I153"/>
    <mergeCell ref="A107:A109"/>
    <mergeCell ref="A226:M226"/>
    <mergeCell ref="C107:C109"/>
    <mergeCell ref="G63:I63"/>
    <mergeCell ref="J108:K108"/>
    <mergeCell ref="L168:L169"/>
    <mergeCell ref="B62:B64"/>
    <mergeCell ref="B152:B154"/>
    <mergeCell ref="A212:A214"/>
    <mergeCell ref="C212:C214"/>
    <mergeCell ref="A16:M16"/>
    <mergeCell ref="B167:B169"/>
    <mergeCell ref="D183:F183"/>
    <mergeCell ref="B107:B109"/>
    <mergeCell ref="J228:K228"/>
    <mergeCell ref="L228:L229"/>
    <mergeCell ref="D2:L2"/>
    <mergeCell ref="A151:M151"/>
    <mergeCell ref="L198:L199"/>
    <mergeCell ref="A122:A124"/>
    <mergeCell ref="C122:C124"/>
    <mergeCell ref="M47:M49"/>
    <mergeCell ref="A32:A34"/>
    <mergeCell ref="G78:I78"/>
    <mergeCell ref="J93:K93"/>
    <mergeCell ref="D197:L197"/>
    <mergeCell ref="D47:L47"/>
    <mergeCell ref="L18:L19"/>
    <mergeCell ref="B197:B199"/>
    <mergeCell ref="L123:L124"/>
    <mergeCell ref="L33:L34"/>
    <mergeCell ref="D93:F93"/>
    <mergeCell ref="L213:L214"/>
    <mergeCell ref="M152:M154"/>
    <mergeCell ref="D3:F3"/>
    <mergeCell ref="C62:C64"/>
    <mergeCell ref="D152:L152"/>
    <mergeCell ref="D167:L167"/>
    <mergeCell ref="B137:B139"/>
    <mergeCell ref="A61:M61"/>
    <mergeCell ref="J183:K183"/>
    <mergeCell ref="A227:A229"/>
    <mergeCell ref="M107:M109"/>
    <mergeCell ref="L108:L109"/>
    <mergeCell ref="A137:A139"/>
    <mergeCell ref="B182:B184"/>
    <mergeCell ref="C137:C139"/>
    <mergeCell ref="A197:A199"/>
    <mergeCell ref="C197:C199"/>
    <mergeCell ref="A46:M46"/>
    <mergeCell ref="J3:K3"/>
    <mergeCell ref="M212:M214"/>
    <mergeCell ref="D108:F108"/>
    <mergeCell ref="M77:M79"/>
    <mergeCell ref="C182:C184"/>
    <mergeCell ref="J48:K48"/>
    <mergeCell ref="J153:K153"/>
    <mergeCell ref="A76:M76"/>
    <mergeCell ref="L48:L49"/>
    <mergeCell ref="A181:M181"/>
    <mergeCell ref="A2:A4"/>
    <mergeCell ref="A17:A19"/>
    <mergeCell ref="C2:C4"/>
    <mergeCell ref="D107:L107"/>
    <mergeCell ref="C17:C19"/>
    <mergeCell ref="G93:I93"/>
    <mergeCell ref="A47:A49"/>
    <mergeCell ref="D17:L17"/>
    <mergeCell ref="G3:I3"/>
    <mergeCell ref="D78:F78"/>
    <mergeCell ref="M17:M19"/>
    <mergeCell ref="A62:A64"/>
    <mergeCell ref="G108:I108"/>
    <mergeCell ref="M197:M199"/>
    <mergeCell ref="M62:M64"/>
    <mergeCell ref="G123:I123"/>
    <mergeCell ref="D212:L212"/>
    <mergeCell ref="A92:A94"/>
    <mergeCell ref="D18:F18"/>
    <mergeCell ref="A152:A154"/>
    <mergeCell ref="G168:I168"/>
    <mergeCell ref="B212:B214"/>
    <mergeCell ref="A166:M166"/>
    <mergeCell ref="L138:L139"/>
    <mergeCell ref="G213:I213"/>
    <mergeCell ref="D33:F33"/>
    <mergeCell ref="A167:A169"/>
    <mergeCell ref="D92:L92"/>
    <mergeCell ref="C92:C94"/>
    <mergeCell ref="M167:M169"/>
    <mergeCell ref="A1:M1"/>
    <mergeCell ref="L153:L154"/>
    <mergeCell ref="D123:F123"/>
    <mergeCell ref="D228:F228"/>
    <mergeCell ref="J168:K168"/>
    <mergeCell ref="B2:B4"/>
    <mergeCell ref="D138:F138"/>
    <mergeCell ref="D182:L182"/>
    <mergeCell ref="B17:B19"/>
    <mergeCell ref="B77:B79"/>
    <mergeCell ref="C227:C229"/>
    <mergeCell ref="M227:M229"/>
    <mergeCell ref="J213:K213"/>
    <mergeCell ref="G228:I228"/>
    <mergeCell ref="A136:M136"/>
    <mergeCell ref="M137:M139"/>
    <mergeCell ref="D198:F198"/>
    <mergeCell ref="D213:F213"/>
    <mergeCell ref="A106:M106"/>
    <mergeCell ref="L78:L79"/>
    <mergeCell ref="D32:L32"/>
    <mergeCell ref="G18:I18"/>
    <mergeCell ref="D48:F48"/>
    <mergeCell ref="A91:M91"/>
    <mergeCell ref="C77:C79"/>
    <mergeCell ref="G33:I33"/>
    <mergeCell ref="J78:K78"/>
    <mergeCell ref="A211:M211"/>
    <mergeCell ref="J123:K123"/>
    <mergeCell ref="D227:L227"/>
    <mergeCell ref="D137:L137"/>
    <mergeCell ref="A77:A79"/>
    <mergeCell ref="B122:B124"/>
    <mergeCell ref="B227:B229"/>
    <mergeCell ref="B32:B34"/>
    <mergeCell ref="A182:A184"/>
    <mergeCell ref="G138:I138"/>
    <mergeCell ref="L63:L64"/>
    <mergeCell ref="M182:M184"/>
    <mergeCell ref="G183:I183"/>
    <mergeCell ref="M92:M94"/>
    <mergeCell ref="J63:K63"/>
    <mergeCell ref="G198:I198"/>
    <mergeCell ref="M2:M4"/>
    <mergeCell ref="D153:F153"/>
    <mergeCell ref="A196:M196"/>
    <mergeCell ref="D63:F63"/>
    <mergeCell ref="C152:C154"/>
    <mergeCell ref="C167:C169"/>
    <mergeCell ref="C47:C49"/>
    <mergeCell ref="J138:K138"/>
    <mergeCell ref="J18:K18"/>
    <mergeCell ref="J33:K33"/>
    <mergeCell ref="G48:I48"/>
    <mergeCell ref="J198:K198"/>
    <mergeCell ref="D77:L77"/>
  </mergeCells>
  <dataValidations count="1">
    <dataValidation sqref="D20 D21 D22 D23 D24 D25 D26 D27 D28 D35 D36 D37 D38 D39 D40 D41 D42 D43 D50 D51 D52 D53 D54 D55 D56 D57 D58 D65 D66 D67 D68 D69 D70 D71 D72 D73 D80 D81 D82 D83 D84 D85 D86 D87 D88 D95 D96 D97 D98 D99 D100 D101 D102 D103 D110 D111 D112 D113 D114 D115 D116 D117 D118 D125 D126 D127 D128 D129 D130 D131 D132 D133 D140 D141 D142 D143 D144 D145 D146 D147 D148 D155 D156 D157 D158 D159 D160 D161 D162 D163 D170 D171 D172 D173 D174 D175 D176 D177 D178 D185 D186 D187 D188 D189 D190 D191 D192 D193 D200 D201 D202 D203 D204 D205 D206 D207 D208 D215 D216 D217 D218 D219 D220 D221 D222 D223 D230 D231 D232 D233 D234 D235 D236 D237 D238 E20 E21 E22 E23 E24 E25 E26 E27 E28 E35 E36 E37 E38 E39 E40 E41 E42 E43 E50 E51 E52 E53 E54 E55 E56 E57 E58 E65 E66 E67 E68 E69 E70 E71 E72 E73 E80 E81 E82 E83 E84 E85 E86 E87 E88 E95 E96 E97 E98 E99 E100 E101 E102 E103 E110 E111 E112 E113 E114 E115 E116 E117 E118 E125 E126 E127 E128 E129 E130 E131 E132 E133 E140 E141 E142 E143 E144 E145 E146 E147 E148 E155 E156 E157 E158 E159 E160 E161 E162 E163 E170 E171 E172 E173 E174 E175 E176 E177 E178 E185 E186 E187 E188 E189 E190 E191 E192 E193 E200 E201 E202 E203 E204 E205 E206 E207 E208 E215 E216 E217 E218 E219 E220 E221 E222 E223 E230 E231 E232 E233 E234 E235 E236 E237 E238 G20 G21 G22 G23 G24 G25 G26 G27 G28 G35 G36 G37 G38 G39 G40 G41 G42 G43 G50 G51 G52 G53 G54 G55 G56 G57 G58 G65 G66 G67 G68 G69 G70 G71 G72 G73 G80 G81 G82 G83 G84 G85 G86 G87 G88 G95 G96 G97 G98 G99 G100 G101 G102 G103 G110 G111 G112 G113 G114 G115 G116 G117 G118 G125 G126 G127 G128 G129 G130 G131 G132 G133 G140 G141 G142 G143 G144 G145 G146 G147 G148 G155 G156 G157 G158 G159 G160 G161 G162 G163 G170 G171 G172 G173 G174 G175 G176 G177 G178 G185 G186 G187 G188 G189 G190 G191 G192 G193 G200 G201 G202 G203 G204 G205 G206 G207 G208 G215 G216 G217 G218 G219 G220 G221 G222 G223 G230 G231 G232 G233 G234 G235 G236 G237 G238 H20 H21 H22 H23 H24 H25 H26 H27 H28 H35 H36 H37 H38 H39 H40 H41 H42 H43 H50 H51 H52 H53 H54 H55 H56 H57 H58 H65 H66 H67 H68 H69 H70 H71 H72 H73 H80 H81 H82 H83 H84 H85 H86 H87 H88 H95 H96 H97 H98 H99 H100 H101 H102 H103 H110 H111 H112 H113 H114 H115 H116 H117 H118 H125 H126 H127 H128 H129 H130 H131 H132 H133 H140 H141 H142 H143 H144 H145 H146 H147 H148 H155 H156 H157 H158 H159 H160 H161 H162 H163 H170 H171 H172 H173 H174 H175 H176 H177 H178 H185 H186 H187 H188 H189 H190 H191 H192 H193 H200 H201 H202 H203 H204 H205 H206 H207 H208 H215 H216 H217 H218 H219 H220 H221 H222 H223 H230 H231 H232 H233 H234 H235 H236 H237 H238" showDropDown="0" showInputMessage="0" showErrorMessage="1" allowBlank="0" errorTitle="Whole number only" error="Enter a whole number of 0 or more." type="whole" operator="greaterThanOrEqual">
      <formula1>0</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91"/>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13"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10" customWidth="1" min="12" max="12"/>
    <col width="9" customWidth="1" min="13" max="13"/>
  </cols>
  <sheetData>
    <row r="1">
      <c r="A1" s="5" t="inlineStr">
        <is>
          <t>Gauriganj Gaunpalika - Campaign Total (5-19 Oct 2026)</t>
        </is>
      </c>
    </row>
    <row r="2">
      <c r="A2" s="6" t="inlineStr">
        <is>
          <t>Ward no.</t>
        </is>
      </c>
      <c r="B2" s="6" t="inlineStr">
        <is>
          <t>Total population</t>
        </is>
      </c>
      <c r="C2" s="6" t="inlineStr">
        <is>
          <t>JE target population</t>
        </is>
      </c>
      <c r="D2" s="6" t="inlineStr">
        <is>
          <t>Vaccinated</t>
        </is>
      </c>
      <c r="E2" s="6" t="n"/>
      <c r="F2" s="6" t="n"/>
      <c r="G2" s="6" t="n"/>
      <c r="H2" s="6" t="n"/>
      <c r="I2" s="6" t="n"/>
      <c r="J2" s="6" t="n"/>
      <c r="K2" s="6" t="n"/>
      <c r="L2" s="6" t="n"/>
      <c r="M2" s="6" t="inlineStr">
        <is>
          <t>Progress %</t>
        </is>
      </c>
    </row>
    <row r="3">
      <c r="A3" s="6" t="n"/>
      <c r="B3" s="6" t="n"/>
      <c r="C3" s="6" t="n"/>
      <c r="D3" s="6" t="inlineStr">
        <is>
          <t>Age 30-60 yrs</t>
        </is>
      </c>
      <c r="E3" s="6" t="n"/>
      <c r="F3" s="6" t="n"/>
      <c r="G3" s="6" t="inlineStr">
        <is>
          <t>Age 60 above</t>
        </is>
      </c>
      <c r="H3" s="6" t="n"/>
      <c r="I3" s="6" t="n"/>
      <c r="J3" s="6" t="inlineStr">
        <is>
          <t>Total</t>
        </is>
      </c>
      <c r="K3" s="6" t="n"/>
      <c r="L3" s="6" t="inlineStr">
        <is>
          <t>Grand Total</t>
        </is>
      </c>
      <c r="M3" s="6" t="n"/>
    </row>
    <row r="4">
      <c r="A4" s="6" t="n"/>
      <c r="B4" s="6" t="n"/>
      <c r="C4" s="6" t="n"/>
      <c r="D4" s="6" t="inlineStr">
        <is>
          <t>F</t>
        </is>
      </c>
      <c r="E4" s="6" t="inlineStr">
        <is>
          <t>M</t>
        </is>
      </c>
      <c r="F4" s="6" t="inlineStr">
        <is>
          <t>Total</t>
        </is>
      </c>
      <c r="G4" s="6" t="inlineStr">
        <is>
          <t>F</t>
        </is>
      </c>
      <c r="H4" s="6" t="inlineStr">
        <is>
          <t>M</t>
        </is>
      </c>
      <c r="I4" s="6" t="inlineStr">
        <is>
          <t>Total</t>
        </is>
      </c>
      <c r="J4" s="6" t="inlineStr">
        <is>
          <t>F</t>
        </is>
      </c>
      <c r="K4" s="6" t="inlineStr">
        <is>
          <t>M</t>
        </is>
      </c>
      <c r="L4" s="6" t="n"/>
      <c r="M4" s="6" t="n"/>
    </row>
    <row r="5">
      <c r="A5" s="7" t="n">
        <v>1</v>
      </c>
      <c r="B5" s="8" t="n">
        <v>7239</v>
      </c>
      <c r="C5" s="8" t="n">
        <v>3474.72</v>
      </c>
      <c r="D5" s="8">
        <f>D17+D29+D41+D53+D65+D77+D89+D101+D113+D125+D137+D149+D161+D173+D185</f>
        <v/>
      </c>
      <c r="E5" s="8">
        <f>E17+E29+E41+E53+E65+E77+E89+E101+E113+E125+E137+E149+E161+E173+E185</f>
        <v/>
      </c>
      <c r="F5" s="8">
        <f>D5+E5</f>
        <v/>
      </c>
      <c r="G5" s="8">
        <f>G17+G29+G41+G53+G65+G77+G89+G101+G113+G125+G137+G149+G161+G173+G185</f>
        <v/>
      </c>
      <c r="H5" s="8">
        <f>H17+H29+H41+H53+H65+H77+H89+H101+H113+H125+H137+H149+H161+H173+H185</f>
        <v/>
      </c>
      <c r="I5" s="8">
        <f>G5+H5</f>
        <v/>
      </c>
      <c r="J5" s="8">
        <f>D5+G5</f>
        <v/>
      </c>
      <c r="K5" s="8">
        <f>E5+H5</f>
        <v/>
      </c>
      <c r="L5" s="8">
        <f>J5+K5</f>
        <v/>
      </c>
      <c r="M5" s="9">
        <f>IF(C5=0,0,L5/C5*100)</f>
        <v/>
      </c>
    </row>
    <row r="6">
      <c r="A6" s="7" t="n">
        <v>2</v>
      </c>
      <c r="B6" s="8" t="n">
        <v>6257</v>
      </c>
      <c r="C6" s="8" t="n">
        <v>3003.36</v>
      </c>
      <c r="D6" s="8">
        <f>D18+D30+D42+D54+D66+D78+D90+D102+D114+D126+D138+D150+D162+D174+D186</f>
        <v/>
      </c>
      <c r="E6" s="8">
        <f>E18+E30+E42+E54+E66+E78+E90+E102+E114+E126+E138+E150+E162+E174+E186</f>
        <v/>
      </c>
      <c r="F6" s="8">
        <f>D6+E6</f>
        <v/>
      </c>
      <c r="G6" s="8">
        <f>G18+G30+G42+G54+G66+G78+G90+G102+G114+G126+G138+G150+G162+G174+G186</f>
        <v/>
      </c>
      <c r="H6" s="8">
        <f>H18+H30+H42+H54+H66+H78+H90+H102+H114+H126+H138+H150+H162+H174+H186</f>
        <v/>
      </c>
      <c r="I6" s="8">
        <f>G6+H6</f>
        <v/>
      </c>
      <c r="J6" s="8">
        <f>D6+G6</f>
        <v/>
      </c>
      <c r="K6" s="8">
        <f>E6+H6</f>
        <v/>
      </c>
      <c r="L6" s="8">
        <f>J6+K6</f>
        <v/>
      </c>
      <c r="M6" s="9">
        <f>IF(C6=0,0,L6/C6*100)</f>
        <v/>
      </c>
    </row>
    <row r="7">
      <c r="A7" s="7" t="n">
        <v>3</v>
      </c>
      <c r="B7" s="8" t="n">
        <v>7126</v>
      </c>
      <c r="C7" s="8" t="n">
        <v>3420.48</v>
      </c>
      <c r="D7" s="8">
        <f>D19+D31+D43+D55+D67+D79+D91+D103+D115+D127+D139+D151+D163+D175+D187</f>
        <v/>
      </c>
      <c r="E7" s="8">
        <f>E19+E31+E43+E55+E67+E79+E91+E103+E115+E127+E139+E151+E163+E175+E187</f>
        <v/>
      </c>
      <c r="F7" s="8">
        <f>D7+E7</f>
        <v/>
      </c>
      <c r="G7" s="8">
        <f>G19+G31+G43+G55+G67+G79+G91+G103+G115+G127+G139+G151+G163+G175+G187</f>
        <v/>
      </c>
      <c r="H7" s="8">
        <f>H19+H31+H43+H55+H67+H79+H91+H103+H115+H127+H139+H151+H163+H175+H187</f>
        <v/>
      </c>
      <c r="I7" s="8">
        <f>G7+H7</f>
        <v/>
      </c>
      <c r="J7" s="8">
        <f>D7+G7</f>
        <v/>
      </c>
      <c r="K7" s="8">
        <f>E7+H7</f>
        <v/>
      </c>
      <c r="L7" s="8">
        <f>J7+K7</f>
        <v/>
      </c>
      <c r="M7" s="9">
        <f>IF(C7=0,0,L7/C7*100)</f>
        <v/>
      </c>
    </row>
    <row r="8">
      <c r="A8" s="7" t="n">
        <v>4</v>
      </c>
      <c r="B8" s="8" t="n">
        <v>4888</v>
      </c>
      <c r="C8" s="8" t="n">
        <v>2346.24</v>
      </c>
      <c r="D8" s="8">
        <f>D20+D32+D44+D56+D68+D80+D92+D104+D116+D128+D140+D152+D164+D176+D188</f>
        <v/>
      </c>
      <c r="E8" s="8">
        <f>E20+E32+E44+E56+E68+E80+E92+E104+E116+E128+E140+E152+E164+E176+E188</f>
        <v/>
      </c>
      <c r="F8" s="8">
        <f>D8+E8</f>
        <v/>
      </c>
      <c r="G8" s="8">
        <f>G20+G32+G44+G56+G68+G80+G92+G104+G116+G128+G140+G152+G164+G176+G188</f>
        <v/>
      </c>
      <c r="H8" s="8">
        <f>H20+H32+H44+H56+H68+H80+H92+H104+H116+H128+H140+H152+H164+H176+H188</f>
        <v/>
      </c>
      <c r="I8" s="8">
        <f>G8+H8</f>
        <v/>
      </c>
      <c r="J8" s="8">
        <f>D8+G8</f>
        <v/>
      </c>
      <c r="K8" s="8">
        <f>E8+H8</f>
        <v/>
      </c>
      <c r="L8" s="8">
        <f>J8+K8</f>
        <v/>
      </c>
      <c r="M8" s="9">
        <f>IF(C8=0,0,L8/C8*100)</f>
        <v/>
      </c>
    </row>
    <row r="9">
      <c r="A9" s="7" t="n">
        <v>5</v>
      </c>
      <c r="B9" s="8" t="n">
        <v>4300</v>
      </c>
      <c r="C9" s="8" t="n">
        <v>2064</v>
      </c>
      <c r="D9" s="8">
        <f>D21+D33+D45+D57+D69+D81+D93+D105+D117+D129+D141+D153+D165+D177+D189</f>
        <v/>
      </c>
      <c r="E9" s="8">
        <f>E21+E33+E45+E57+E69+E81+E93+E105+E117+E129+E141+E153+E165+E177+E189</f>
        <v/>
      </c>
      <c r="F9" s="8">
        <f>D9+E9</f>
        <v/>
      </c>
      <c r="G9" s="8">
        <f>G21+G33+G45+G57+G69+G81+G93+G105+G117+G129+G141+G153+G165+G177+G189</f>
        <v/>
      </c>
      <c r="H9" s="8">
        <f>H21+H33+H45+H57+H69+H81+H93+H105+H117+H129+H141+H153+H165+H177+H189</f>
        <v/>
      </c>
      <c r="I9" s="8">
        <f>G9+H9</f>
        <v/>
      </c>
      <c r="J9" s="8">
        <f>D9+G9</f>
        <v/>
      </c>
      <c r="K9" s="8">
        <f>E9+H9</f>
        <v/>
      </c>
      <c r="L9" s="8">
        <f>J9+K9</f>
        <v/>
      </c>
      <c r="M9" s="9">
        <f>IF(C9=0,0,L9/C9*100)</f>
        <v/>
      </c>
    </row>
    <row r="10">
      <c r="A10" s="7" t="n">
        <v>6</v>
      </c>
      <c r="B10" s="8" t="n">
        <v>5886</v>
      </c>
      <c r="C10" s="8" t="n">
        <v>2825.28</v>
      </c>
      <c r="D10" s="8">
        <f>D22+D34+D46+D58+D70+D82+D94+D106+D118+D130+D142+D154+D166+D178+D190</f>
        <v/>
      </c>
      <c r="E10" s="8">
        <f>E22+E34+E46+E58+E70+E82+E94+E106+E118+E130+E142+E154+E166+E178+E190</f>
        <v/>
      </c>
      <c r="F10" s="8">
        <f>D10+E10</f>
        <v/>
      </c>
      <c r="G10" s="8">
        <f>G22+G34+G46+G58+G70+G82+G94+G106+G118+G130+G142+G154+G166+G178+G190</f>
        <v/>
      </c>
      <c r="H10" s="8">
        <f>H22+H34+H46+H58+H70+H82+H94+H106+H118+H130+H142+H154+H166+H178+H190</f>
        <v/>
      </c>
      <c r="I10" s="8">
        <f>G10+H10</f>
        <v/>
      </c>
      <c r="J10" s="8">
        <f>D10+G10</f>
        <v/>
      </c>
      <c r="K10" s="8">
        <f>E10+H10</f>
        <v/>
      </c>
      <c r="L10" s="8">
        <f>J10+K10</f>
        <v/>
      </c>
      <c r="M10" s="9">
        <f>IF(C10=0,0,L10/C10*100)</f>
        <v/>
      </c>
    </row>
    <row r="11">
      <c r="A11" s="10" t="inlineStr">
        <is>
          <t>Total</t>
        </is>
      </c>
      <c r="B11" s="11">
        <f>SUM(B5:B10)</f>
        <v/>
      </c>
      <c r="C11" s="11">
        <f>SUM(C5:C10)</f>
        <v/>
      </c>
      <c r="D11" s="11">
        <f>SUM(D5:D10)</f>
        <v/>
      </c>
      <c r="E11" s="11">
        <f>SUM(E5:E10)</f>
        <v/>
      </c>
      <c r="F11" s="11">
        <f>D11+E11</f>
        <v/>
      </c>
      <c r="G11" s="11">
        <f>SUM(G5:G10)</f>
        <v/>
      </c>
      <c r="H11" s="11">
        <f>SUM(H5:H10)</f>
        <v/>
      </c>
      <c r="I11" s="11">
        <f>G11+H11</f>
        <v/>
      </c>
      <c r="J11" s="11">
        <f>D11+G11</f>
        <v/>
      </c>
      <c r="K11" s="11">
        <f>E11+H11</f>
        <v/>
      </c>
      <c r="L11" s="11">
        <f>J11+K11</f>
        <v/>
      </c>
      <c r="M11" s="12">
        <f>IF(C11=0,0,L11/C11*100)</f>
        <v/>
      </c>
    </row>
    <row r="13">
      <c r="A13" s="13" t="inlineStr">
        <is>
          <t>Day 1 - 2026-10-05 (Mon 19 Aswin 2083)</t>
        </is>
      </c>
    </row>
    <row r="14">
      <c r="A14" s="6" t="inlineStr">
        <is>
          <t>Ward no.</t>
        </is>
      </c>
      <c r="B14" s="6" t="inlineStr">
        <is>
          <t>Total population</t>
        </is>
      </c>
      <c r="C14" s="6" t="inlineStr">
        <is>
          <t>JE target population</t>
        </is>
      </c>
      <c r="D14" s="6" t="inlineStr">
        <is>
          <t>Vaccinated</t>
        </is>
      </c>
      <c r="E14" s="6" t="n"/>
      <c r="F14" s="6" t="n"/>
      <c r="G14" s="6" t="n"/>
      <c r="H14" s="6" t="n"/>
      <c r="I14" s="6" t="n"/>
      <c r="J14" s="6" t="n"/>
      <c r="K14" s="6" t="n"/>
      <c r="L14" s="6" t="n"/>
      <c r="M14" s="6" t="inlineStr">
        <is>
          <t>Progress %</t>
        </is>
      </c>
    </row>
    <row r="15">
      <c r="A15" s="6" t="n"/>
      <c r="B15" s="6" t="n"/>
      <c r="C15" s="6" t="n"/>
      <c r="D15" s="6" t="inlineStr">
        <is>
          <t>Age 30-60 yrs</t>
        </is>
      </c>
      <c r="E15" s="6" t="n"/>
      <c r="F15" s="6" t="n"/>
      <c r="G15" s="6" t="inlineStr">
        <is>
          <t>Age 60 above</t>
        </is>
      </c>
      <c r="H15" s="6" t="n"/>
      <c r="I15" s="6" t="n"/>
      <c r="J15" s="6" t="inlineStr">
        <is>
          <t>Total</t>
        </is>
      </c>
      <c r="K15" s="6" t="n"/>
      <c r="L15" s="6" t="inlineStr">
        <is>
          <t>Grand Total</t>
        </is>
      </c>
      <c r="M15" s="6" t="n"/>
    </row>
    <row r="16">
      <c r="A16" s="6" t="n"/>
      <c r="B16" s="6" t="n"/>
      <c r="C16" s="6" t="n"/>
      <c r="D16" s="6" t="inlineStr">
        <is>
          <t>F</t>
        </is>
      </c>
      <c r="E16" s="6" t="inlineStr">
        <is>
          <t>M</t>
        </is>
      </c>
      <c r="F16" s="6" t="inlineStr">
        <is>
          <t>Total</t>
        </is>
      </c>
      <c r="G16" s="6" t="inlineStr">
        <is>
          <t>F</t>
        </is>
      </c>
      <c r="H16" s="6" t="inlineStr">
        <is>
          <t>M</t>
        </is>
      </c>
      <c r="I16" s="6" t="inlineStr">
        <is>
          <t>Total</t>
        </is>
      </c>
      <c r="J16" s="6" t="inlineStr">
        <is>
          <t>F</t>
        </is>
      </c>
      <c r="K16" s="6" t="inlineStr">
        <is>
          <t>M</t>
        </is>
      </c>
      <c r="L16" s="6" t="n"/>
      <c r="M16" s="6" t="n"/>
    </row>
    <row r="17">
      <c r="A17" s="7" t="n">
        <v>1</v>
      </c>
      <c r="B17" s="8">
        <f>B5</f>
        <v/>
      </c>
      <c r="C17" s="8">
        <f>C5</f>
        <v/>
      </c>
      <c r="D17" s="14" t="n"/>
      <c r="E17" s="14" t="n"/>
      <c r="F17" s="8">
        <f>D17+E17</f>
        <v/>
      </c>
      <c r="G17" s="14" t="n"/>
      <c r="H17" s="14" t="n"/>
      <c r="I17" s="8">
        <f>G17+H17</f>
        <v/>
      </c>
      <c r="J17" s="8">
        <f>D17+G17</f>
        <v/>
      </c>
      <c r="K17" s="8">
        <f>E17+H17</f>
        <v/>
      </c>
      <c r="L17" s="8">
        <f>J17+K17</f>
        <v/>
      </c>
      <c r="M17" s="9">
        <f>IF(C17=0,0,L17/C17*100)</f>
        <v/>
      </c>
    </row>
    <row r="18">
      <c r="A18" s="7" t="n">
        <v>2</v>
      </c>
      <c r="B18" s="8">
        <f>B6</f>
        <v/>
      </c>
      <c r="C18" s="8">
        <f>C6</f>
        <v/>
      </c>
      <c r="D18" s="14" t="n"/>
      <c r="E18" s="14" t="n"/>
      <c r="F18" s="8">
        <f>D18+E18</f>
        <v/>
      </c>
      <c r="G18" s="14" t="n"/>
      <c r="H18" s="14" t="n"/>
      <c r="I18" s="8">
        <f>G18+H18</f>
        <v/>
      </c>
      <c r="J18" s="8">
        <f>D18+G18</f>
        <v/>
      </c>
      <c r="K18" s="8">
        <f>E18+H18</f>
        <v/>
      </c>
      <c r="L18" s="8">
        <f>J18+K18</f>
        <v/>
      </c>
      <c r="M18" s="9">
        <f>IF(C18=0,0,L18/C18*100)</f>
        <v/>
      </c>
    </row>
    <row r="19">
      <c r="A19" s="7" t="n">
        <v>3</v>
      </c>
      <c r="B19" s="8">
        <f>B7</f>
        <v/>
      </c>
      <c r="C19" s="8">
        <f>C7</f>
        <v/>
      </c>
      <c r="D19" s="14" t="n"/>
      <c r="E19" s="14" t="n"/>
      <c r="F19" s="8">
        <f>D19+E19</f>
        <v/>
      </c>
      <c r="G19" s="14" t="n"/>
      <c r="H19" s="14" t="n"/>
      <c r="I19" s="8">
        <f>G19+H19</f>
        <v/>
      </c>
      <c r="J19" s="8">
        <f>D19+G19</f>
        <v/>
      </c>
      <c r="K19" s="8">
        <f>E19+H19</f>
        <v/>
      </c>
      <c r="L19" s="8">
        <f>J19+K19</f>
        <v/>
      </c>
      <c r="M19" s="9">
        <f>IF(C19=0,0,L19/C19*100)</f>
        <v/>
      </c>
    </row>
    <row r="20">
      <c r="A20" s="7" t="n">
        <v>4</v>
      </c>
      <c r="B20" s="8">
        <f>B8</f>
        <v/>
      </c>
      <c r="C20" s="8">
        <f>C8</f>
        <v/>
      </c>
      <c r="D20" s="14" t="n"/>
      <c r="E20" s="14" t="n"/>
      <c r="F20" s="8">
        <f>D20+E20</f>
        <v/>
      </c>
      <c r="G20" s="14" t="n"/>
      <c r="H20" s="14" t="n"/>
      <c r="I20" s="8">
        <f>G20+H20</f>
        <v/>
      </c>
      <c r="J20" s="8">
        <f>D20+G20</f>
        <v/>
      </c>
      <c r="K20" s="8">
        <f>E20+H20</f>
        <v/>
      </c>
      <c r="L20" s="8">
        <f>J20+K20</f>
        <v/>
      </c>
      <c r="M20" s="9">
        <f>IF(C20=0,0,L20/C20*100)</f>
        <v/>
      </c>
    </row>
    <row r="21">
      <c r="A21" s="7" t="n">
        <v>5</v>
      </c>
      <c r="B21" s="8">
        <f>B9</f>
        <v/>
      </c>
      <c r="C21" s="8">
        <f>C9</f>
        <v/>
      </c>
      <c r="D21" s="14" t="n"/>
      <c r="E21" s="14" t="n"/>
      <c r="F21" s="8">
        <f>D21+E21</f>
        <v/>
      </c>
      <c r="G21" s="14" t="n"/>
      <c r="H21" s="14" t="n"/>
      <c r="I21" s="8">
        <f>G21+H21</f>
        <v/>
      </c>
      <c r="J21" s="8">
        <f>D21+G21</f>
        <v/>
      </c>
      <c r="K21" s="8">
        <f>E21+H21</f>
        <v/>
      </c>
      <c r="L21" s="8">
        <f>J21+K21</f>
        <v/>
      </c>
      <c r="M21" s="9">
        <f>IF(C21=0,0,L21/C21*100)</f>
        <v/>
      </c>
    </row>
    <row r="22">
      <c r="A22" s="7" t="n">
        <v>6</v>
      </c>
      <c r="B22" s="8">
        <f>B10</f>
        <v/>
      </c>
      <c r="C22" s="8">
        <f>C10</f>
        <v/>
      </c>
      <c r="D22" s="14" t="n"/>
      <c r="E22" s="14" t="n"/>
      <c r="F22" s="8">
        <f>D22+E22</f>
        <v/>
      </c>
      <c r="G22" s="14" t="n"/>
      <c r="H22" s="14" t="n"/>
      <c r="I22" s="8">
        <f>G22+H22</f>
        <v/>
      </c>
      <c r="J22" s="8">
        <f>D22+G22</f>
        <v/>
      </c>
      <c r="K22" s="8">
        <f>E22+H22</f>
        <v/>
      </c>
      <c r="L22" s="8">
        <f>J22+K22</f>
        <v/>
      </c>
      <c r="M22" s="9">
        <f>IF(C22=0,0,L22/C22*100)</f>
        <v/>
      </c>
    </row>
    <row r="23">
      <c r="A23" s="10" t="inlineStr">
        <is>
          <t>Total</t>
        </is>
      </c>
      <c r="B23" s="11">
        <f>SUM(B17:B22)</f>
        <v/>
      </c>
      <c r="C23" s="11">
        <f>SUM(C17:C22)</f>
        <v/>
      </c>
      <c r="D23" s="11">
        <f>SUM(D17:D22)</f>
        <v/>
      </c>
      <c r="E23" s="11">
        <f>SUM(E17:E22)</f>
        <v/>
      </c>
      <c r="F23" s="11">
        <f>D23+E23</f>
        <v/>
      </c>
      <c r="G23" s="11">
        <f>SUM(G17:G22)</f>
        <v/>
      </c>
      <c r="H23" s="11">
        <f>SUM(H17:H22)</f>
        <v/>
      </c>
      <c r="I23" s="11">
        <f>G23+H23</f>
        <v/>
      </c>
      <c r="J23" s="11">
        <f>D23+G23</f>
        <v/>
      </c>
      <c r="K23" s="11">
        <f>E23+H23</f>
        <v/>
      </c>
      <c r="L23" s="11">
        <f>J23+K23</f>
        <v/>
      </c>
      <c r="M23" s="12">
        <f>IF(C23=0,0,L23/C23*100)</f>
        <v/>
      </c>
    </row>
    <row r="25">
      <c r="A25" s="13" t="inlineStr">
        <is>
          <t>Day 2 - 2026-10-06 (Tue 20 Aswin 2083)</t>
        </is>
      </c>
    </row>
    <row r="26">
      <c r="A26" s="6" t="inlineStr">
        <is>
          <t>Ward no.</t>
        </is>
      </c>
      <c r="B26" s="6" t="inlineStr">
        <is>
          <t>Total population</t>
        </is>
      </c>
      <c r="C26" s="6" t="inlineStr">
        <is>
          <t>JE target population</t>
        </is>
      </c>
      <c r="D26" s="6" t="inlineStr">
        <is>
          <t>Vaccinated</t>
        </is>
      </c>
      <c r="E26" s="6" t="n"/>
      <c r="F26" s="6" t="n"/>
      <c r="G26" s="6" t="n"/>
      <c r="H26" s="6" t="n"/>
      <c r="I26" s="6" t="n"/>
      <c r="J26" s="6" t="n"/>
      <c r="K26" s="6" t="n"/>
      <c r="L26" s="6" t="n"/>
      <c r="M26" s="6" t="inlineStr">
        <is>
          <t>Progress %</t>
        </is>
      </c>
    </row>
    <row r="27">
      <c r="A27" s="6" t="n"/>
      <c r="B27" s="6" t="n"/>
      <c r="C27" s="6" t="n"/>
      <c r="D27" s="6" t="inlineStr">
        <is>
          <t>Age 30-60 yrs</t>
        </is>
      </c>
      <c r="E27" s="6" t="n"/>
      <c r="F27" s="6" t="n"/>
      <c r="G27" s="6" t="inlineStr">
        <is>
          <t>Age 60 above</t>
        </is>
      </c>
      <c r="H27" s="6" t="n"/>
      <c r="I27" s="6" t="n"/>
      <c r="J27" s="6" t="inlineStr">
        <is>
          <t>Total</t>
        </is>
      </c>
      <c r="K27" s="6" t="n"/>
      <c r="L27" s="6" t="inlineStr">
        <is>
          <t>Grand Total</t>
        </is>
      </c>
      <c r="M27" s="6" t="n"/>
    </row>
    <row r="28">
      <c r="A28" s="6" t="n"/>
      <c r="B28" s="6" t="n"/>
      <c r="C28" s="6" t="n"/>
      <c r="D28" s="6" t="inlineStr">
        <is>
          <t>F</t>
        </is>
      </c>
      <c r="E28" s="6" t="inlineStr">
        <is>
          <t>M</t>
        </is>
      </c>
      <c r="F28" s="6" t="inlineStr">
        <is>
          <t>Total</t>
        </is>
      </c>
      <c r="G28" s="6" t="inlineStr">
        <is>
          <t>F</t>
        </is>
      </c>
      <c r="H28" s="6" t="inlineStr">
        <is>
          <t>M</t>
        </is>
      </c>
      <c r="I28" s="6" t="inlineStr">
        <is>
          <t>Total</t>
        </is>
      </c>
      <c r="J28" s="6" t="inlineStr">
        <is>
          <t>F</t>
        </is>
      </c>
      <c r="K28" s="6" t="inlineStr">
        <is>
          <t>M</t>
        </is>
      </c>
      <c r="L28" s="6" t="n"/>
      <c r="M28" s="6" t="n"/>
    </row>
    <row r="29">
      <c r="A29" s="7" t="n">
        <v>1</v>
      </c>
      <c r="B29" s="8">
        <f>B5</f>
        <v/>
      </c>
      <c r="C29" s="8">
        <f>C5</f>
        <v/>
      </c>
      <c r="D29" s="14" t="n"/>
      <c r="E29" s="14" t="n"/>
      <c r="F29" s="8">
        <f>D29+E29</f>
        <v/>
      </c>
      <c r="G29" s="14" t="n"/>
      <c r="H29" s="14" t="n"/>
      <c r="I29" s="8">
        <f>G29+H29</f>
        <v/>
      </c>
      <c r="J29" s="8">
        <f>D29+G29</f>
        <v/>
      </c>
      <c r="K29" s="8">
        <f>E29+H29</f>
        <v/>
      </c>
      <c r="L29" s="8">
        <f>J29+K29</f>
        <v/>
      </c>
      <c r="M29" s="9">
        <f>IF(C29=0,0,L29/C29*100)</f>
        <v/>
      </c>
    </row>
    <row r="30">
      <c r="A30" s="7" t="n">
        <v>2</v>
      </c>
      <c r="B30" s="8">
        <f>B6</f>
        <v/>
      </c>
      <c r="C30" s="8">
        <f>C6</f>
        <v/>
      </c>
      <c r="D30" s="14" t="n"/>
      <c r="E30" s="14" t="n"/>
      <c r="F30" s="8">
        <f>D30+E30</f>
        <v/>
      </c>
      <c r="G30" s="14" t="n"/>
      <c r="H30" s="14" t="n"/>
      <c r="I30" s="8">
        <f>G30+H30</f>
        <v/>
      </c>
      <c r="J30" s="8">
        <f>D30+G30</f>
        <v/>
      </c>
      <c r="K30" s="8">
        <f>E30+H30</f>
        <v/>
      </c>
      <c r="L30" s="8">
        <f>J30+K30</f>
        <v/>
      </c>
      <c r="M30" s="9">
        <f>IF(C30=0,0,L30/C30*100)</f>
        <v/>
      </c>
    </row>
    <row r="31">
      <c r="A31" s="7" t="n">
        <v>3</v>
      </c>
      <c r="B31" s="8">
        <f>B7</f>
        <v/>
      </c>
      <c r="C31" s="8">
        <f>C7</f>
        <v/>
      </c>
      <c r="D31" s="14" t="n"/>
      <c r="E31" s="14" t="n"/>
      <c r="F31" s="8">
        <f>D31+E31</f>
        <v/>
      </c>
      <c r="G31" s="14" t="n"/>
      <c r="H31" s="14" t="n"/>
      <c r="I31" s="8">
        <f>G31+H31</f>
        <v/>
      </c>
      <c r="J31" s="8">
        <f>D31+G31</f>
        <v/>
      </c>
      <c r="K31" s="8">
        <f>E31+H31</f>
        <v/>
      </c>
      <c r="L31" s="8">
        <f>J31+K31</f>
        <v/>
      </c>
      <c r="M31" s="9">
        <f>IF(C31=0,0,L31/C31*100)</f>
        <v/>
      </c>
    </row>
    <row r="32">
      <c r="A32" s="7" t="n">
        <v>4</v>
      </c>
      <c r="B32" s="8">
        <f>B8</f>
        <v/>
      </c>
      <c r="C32" s="8">
        <f>C8</f>
        <v/>
      </c>
      <c r="D32" s="14" t="n"/>
      <c r="E32" s="14" t="n"/>
      <c r="F32" s="8">
        <f>D32+E32</f>
        <v/>
      </c>
      <c r="G32" s="14" t="n"/>
      <c r="H32" s="14" t="n"/>
      <c r="I32" s="8">
        <f>G32+H32</f>
        <v/>
      </c>
      <c r="J32" s="8">
        <f>D32+G32</f>
        <v/>
      </c>
      <c r="K32" s="8">
        <f>E32+H32</f>
        <v/>
      </c>
      <c r="L32" s="8">
        <f>J32+K32</f>
        <v/>
      </c>
      <c r="M32" s="9">
        <f>IF(C32=0,0,L32/C32*100)</f>
        <v/>
      </c>
    </row>
    <row r="33">
      <c r="A33" s="7" t="n">
        <v>5</v>
      </c>
      <c r="B33" s="8">
        <f>B9</f>
        <v/>
      </c>
      <c r="C33" s="8">
        <f>C9</f>
        <v/>
      </c>
      <c r="D33" s="14" t="n"/>
      <c r="E33" s="14" t="n"/>
      <c r="F33" s="8">
        <f>D33+E33</f>
        <v/>
      </c>
      <c r="G33" s="14" t="n"/>
      <c r="H33" s="14" t="n"/>
      <c r="I33" s="8">
        <f>G33+H33</f>
        <v/>
      </c>
      <c r="J33" s="8">
        <f>D33+G33</f>
        <v/>
      </c>
      <c r="K33" s="8">
        <f>E33+H33</f>
        <v/>
      </c>
      <c r="L33" s="8">
        <f>J33+K33</f>
        <v/>
      </c>
      <c r="M33" s="9">
        <f>IF(C33=0,0,L33/C33*100)</f>
        <v/>
      </c>
    </row>
    <row r="34">
      <c r="A34" s="7" t="n">
        <v>6</v>
      </c>
      <c r="B34" s="8">
        <f>B10</f>
        <v/>
      </c>
      <c r="C34" s="8">
        <f>C10</f>
        <v/>
      </c>
      <c r="D34" s="14" t="n"/>
      <c r="E34" s="14" t="n"/>
      <c r="F34" s="8">
        <f>D34+E34</f>
        <v/>
      </c>
      <c r="G34" s="14" t="n"/>
      <c r="H34" s="14" t="n"/>
      <c r="I34" s="8">
        <f>G34+H34</f>
        <v/>
      </c>
      <c r="J34" s="8">
        <f>D34+G34</f>
        <v/>
      </c>
      <c r="K34" s="8">
        <f>E34+H34</f>
        <v/>
      </c>
      <c r="L34" s="8">
        <f>J34+K34</f>
        <v/>
      </c>
      <c r="M34" s="9">
        <f>IF(C34=0,0,L34/C34*100)</f>
        <v/>
      </c>
    </row>
    <row r="35">
      <c r="A35" s="10" t="inlineStr">
        <is>
          <t>Total</t>
        </is>
      </c>
      <c r="B35" s="11">
        <f>SUM(B29:B34)</f>
        <v/>
      </c>
      <c r="C35" s="11">
        <f>SUM(C29:C34)</f>
        <v/>
      </c>
      <c r="D35" s="11">
        <f>SUM(D29:D34)</f>
        <v/>
      </c>
      <c r="E35" s="11">
        <f>SUM(E29:E34)</f>
        <v/>
      </c>
      <c r="F35" s="11">
        <f>D35+E35</f>
        <v/>
      </c>
      <c r="G35" s="11">
        <f>SUM(G29:G34)</f>
        <v/>
      </c>
      <c r="H35" s="11">
        <f>SUM(H29:H34)</f>
        <v/>
      </c>
      <c r="I35" s="11">
        <f>G35+H35</f>
        <v/>
      </c>
      <c r="J35" s="11">
        <f>D35+G35</f>
        <v/>
      </c>
      <c r="K35" s="11">
        <f>E35+H35</f>
        <v/>
      </c>
      <c r="L35" s="11">
        <f>J35+K35</f>
        <v/>
      </c>
      <c r="M35" s="12">
        <f>IF(C35=0,0,L35/C35*100)</f>
        <v/>
      </c>
    </row>
    <row r="37">
      <c r="A37" s="13" t="inlineStr">
        <is>
          <t>Day 3 - 2026-10-07 (Wed 21 Aswin 2083)</t>
        </is>
      </c>
    </row>
    <row r="38">
      <c r="A38" s="6" t="inlineStr">
        <is>
          <t>Ward no.</t>
        </is>
      </c>
      <c r="B38" s="6" t="inlineStr">
        <is>
          <t>Total population</t>
        </is>
      </c>
      <c r="C38" s="6" t="inlineStr">
        <is>
          <t>JE target population</t>
        </is>
      </c>
      <c r="D38" s="6" t="inlineStr">
        <is>
          <t>Vaccinated</t>
        </is>
      </c>
      <c r="E38" s="6" t="n"/>
      <c r="F38" s="6" t="n"/>
      <c r="G38" s="6" t="n"/>
      <c r="H38" s="6" t="n"/>
      <c r="I38" s="6" t="n"/>
      <c r="J38" s="6" t="n"/>
      <c r="K38" s="6" t="n"/>
      <c r="L38" s="6" t="n"/>
      <c r="M38" s="6" t="inlineStr">
        <is>
          <t>Progress %</t>
        </is>
      </c>
    </row>
    <row r="39">
      <c r="A39" s="6" t="n"/>
      <c r="B39" s="6" t="n"/>
      <c r="C39" s="6" t="n"/>
      <c r="D39" s="6" t="inlineStr">
        <is>
          <t>Age 30-60 yrs</t>
        </is>
      </c>
      <c r="E39" s="6" t="n"/>
      <c r="F39" s="6" t="n"/>
      <c r="G39" s="6" t="inlineStr">
        <is>
          <t>Age 60 above</t>
        </is>
      </c>
      <c r="H39" s="6" t="n"/>
      <c r="I39" s="6" t="n"/>
      <c r="J39" s="6" t="inlineStr">
        <is>
          <t>Total</t>
        </is>
      </c>
      <c r="K39" s="6" t="n"/>
      <c r="L39" s="6" t="inlineStr">
        <is>
          <t>Grand Total</t>
        </is>
      </c>
      <c r="M39" s="6" t="n"/>
    </row>
    <row r="40">
      <c r="A40" s="6" t="n"/>
      <c r="B40" s="6" t="n"/>
      <c r="C40" s="6" t="n"/>
      <c r="D40" s="6" t="inlineStr">
        <is>
          <t>F</t>
        </is>
      </c>
      <c r="E40" s="6" t="inlineStr">
        <is>
          <t>M</t>
        </is>
      </c>
      <c r="F40" s="6" t="inlineStr">
        <is>
          <t>Total</t>
        </is>
      </c>
      <c r="G40" s="6" t="inlineStr">
        <is>
          <t>F</t>
        </is>
      </c>
      <c r="H40" s="6" t="inlineStr">
        <is>
          <t>M</t>
        </is>
      </c>
      <c r="I40" s="6" t="inlineStr">
        <is>
          <t>Total</t>
        </is>
      </c>
      <c r="J40" s="6" t="inlineStr">
        <is>
          <t>F</t>
        </is>
      </c>
      <c r="K40" s="6" t="inlineStr">
        <is>
          <t>M</t>
        </is>
      </c>
      <c r="L40" s="6" t="n"/>
      <c r="M40" s="6" t="n"/>
    </row>
    <row r="41">
      <c r="A41" s="7" t="n">
        <v>1</v>
      </c>
      <c r="B41" s="8">
        <f>B5</f>
        <v/>
      </c>
      <c r="C41" s="8">
        <f>C5</f>
        <v/>
      </c>
      <c r="D41" s="14" t="n"/>
      <c r="E41" s="14" t="n"/>
      <c r="F41" s="8">
        <f>D41+E41</f>
        <v/>
      </c>
      <c r="G41" s="14" t="n"/>
      <c r="H41" s="14" t="n"/>
      <c r="I41" s="8">
        <f>G41+H41</f>
        <v/>
      </c>
      <c r="J41" s="8">
        <f>D41+G41</f>
        <v/>
      </c>
      <c r="K41" s="8">
        <f>E41+H41</f>
        <v/>
      </c>
      <c r="L41" s="8">
        <f>J41+K41</f>
        <v/>
      </c>
      <c r="M41" s="9">
        <f>IF(C41=0,0,L41/C41*100)</f>
        <v/>
      </c>
    </row>
    <row r="42">
      <c r="A42" s="7" t="n">
        <v>2</v>
      </c>
      <c r="B42" s="8">
        <f>B6</f>
        <v/>
      </c>
      <c r="C42" s="8">
        <f>C6</f>
        <v/>
      </c>
      <c r="D42" s="14" t="n"/>
      <c r="E42" s="14" t="n"/>
      <c r="F42" s="8">
        <f>D42+E42</f>
        <v/>
      </c>
      <c r="G42" s="14" t="n"/>
      <c r="H42" s="14" t="n"/>
      <c r="I42" s="8">
        <f>G42+H42</f>
        <v/>
      </c>
      <c r="J42" s="8">
        <f>D42+G42</f>
        <v/>
      </c>
      <c r="K42" s="8">
        <f>E42+H42</f>
        <v/>
      </c>
      <c r="L42" s="8">
        <f>J42+K42</f>
        <v/>
      </c>
      <c r="M42" s="9">
        <f>IF(C42=0,0,L42/C42*100)</f>
        <v/>
      </c>
    </row>
    <row r="43">
      <c r="A43" s="7" t="n">
        <v>3</v>
      </c>
      <c r="B43" s="8">
        <f>B7</f>
        <v/>
      </c>
      <c r="C43" s="8">
        <f>C7</f>
        <v/>
      </c>
      <c r="D43" s="14" t="n"/>
      <c r="E43" s="14" t="n"/>
      <c r="F43" s="8">
        <f>D43+E43</f>
        <v/>
      </c>
      <c r="G43" s="14" t="n"/>
      <c r="H43" s="14" t="n"/>
      <c r="I43" s="8">
        <f>G43+H43</f>
        <v/>
      </c>
      <c r="J43" s="8">
        <f>D43+G43</f>
        <v/>
      </c>
      <c r="K43" s="8">
        <f>E43+H43</f>
        <v/>
      </c>
      <c r="L43" s="8">
        <f>J43+K43</f>
        <v/>
      </c>
      <c r="M43" s="9">
        <f>IF(C43=0,0,L43/C43*100)</f>
        <v/>
      </c>
    </row>
    <row r="44">
      <c r="A44" s="7" t="n">
        <v>4</v>
      </c>
      <c r="B44" s="8">
        <f>B8</f>
        <v/>
      </c>
      <c r="C44" s="8">
        <f>C8</f>
        <v/>
      </c>
      <c r="D44" s="14" t="n"/>
      <c r="E44" s="14" t="n"/>
      <c r="F44" s="8">
        <f>D44+E44</f>
        <v/>
      </c>
      <c r="G44" s="14" t="n"/>
      <c r="H44" s="14" t="n"/>
      <c r="I44" s="8">
        <f>G44+H44</f>
        <v/>
      </c>
      <c r="J44" s="8">
        <f>D44+G44</f>
        <v/>
      </c>
      <c r="K44" s="8">
        <f>E44+H44</f>
        <v/>
      </c>
      <c r="L44" s="8">
        <f>J44+K44</f>
        <v/>
      </c>
      <c r="M44" s="9">
        <f>IF(C44=0,0,L44/C44*100)</f>
        <v/>
      </c>
    </row>
    <row r="45">
      <c r="A45" s="7" t="n">
        <v>5</v>
      </c>
      <c r="B45" s="8">
        <f>B9</f>
        <v/>
      </c>
      <c r="C45" s="8">
        <f>C9</f>
        <v/>
      </c>
      <c r="D45" s="14" t="n"/>
      <c r="E45" s="14" t="n"/>
      <c r="F45" s="8">
        <f>D45+E45</f>
        <v/>
      </c>
      <c r="G45" s="14" t="n"/>
      <c r="H45" s="14" t="n"/>
      <c r="I45" s="8">
        <f>G45+H45</f>
        <v/>
      </c>
      <c r="J45" s="8">
        <f>D45+G45</f>
        <v/>
      </c>
      <c r="K45" s="8">
        <f>E45+H45</f>
        <v/>
      </c>
      <c r="L45" s="8">
        <f>J45+K45</f>
        <v/>
      </c>
      <c r="M45" s="9">
        <f>IF(C45=0,0,L45/C45*100)</f>
        <v/>
      </c>
    </row>
    <row r="46">
      <c r="A46" s="7" t="n">
        <v>6</v>
      </c>
      <c r="B46" s="8">
        <f>B10</f>
        <v/>
      </c>
      <c r="C46" s="8">
        <f>C10</f>
        <v/>
      </c>
      <c r="D46" s="14" t="n"/>
      <c r="E46" s="14" t="n"/>
      <c r="F46" s="8">
        <f>D46+E46</f>
        <v/>
      </c>
      <c r="G46" s="14" t="n"/>
      <c r="H46" s="14" t="n"/>
      <c r="I46" s="8">
        <f>G46+H46</f>
        <v/>
      </c>
      <c r="J46" s="8">
        <f>D46+G46</f>
        <v/>
      </c>
      <c r="K46" s="8">
        <f>E46+H46</f>
        <v/>
      </c>
      <c r="L46" s="8">
        <f>J46+K46</f>
        <v/>
      </c>
      <c r="M46" s="9">
        <f>IF(C46=0,0,L46/C46*100)</f>
        <v/>
      </c>
    </row>
    <row r="47">
      <c r="A47" s="10" t="inlineStr">
        <is>
          <t>Total</t>
        </is>
      </c>
      <c r="B47" s="11">
        <f>SUM(B41:B46)</f>
        <v/>
      </c>
      <c r="C47" s="11">
        <f>SUM(C41:C46)</f>
        <v/>
      </c>
      <c r="D47" s="11">
        <f>SUM(D41:D46)</f>
        <v/>
      </c>
      <c r="E47" s="11">
        <f>SUM(E41:E46)</f>
        <v/>
      </c>
      <c r="F47" s="11">
        <f>D47+E47</f>
        <v/>
      </c>
      <c r="G47" s="11">
        <f>SUM(G41:G46)</f>
        <v/>
      </c>
      <c r="H47" s="11">
        <f>SUM(H41:H46)</f>
        <v/>
      </c>
      <c r="I47" s="11">
        <f>G47+H47</f>
        <v/>
      </c>
      <c r="J47" s="11">
        <f>D47+G47</f>
        <v/>
      </c>
      <c r="K47" s="11">
        <f>E47+H47</f>
        <v/>
      </c>
      <c r="L47" s="11">
        <f>J47+K47</f>
        <v/>
      </c>
      <c r="M47" s="12">
        <f>IF(C47=0,0,L47/C47*100)</f>
        <v/>
      </c>
    </row>
    <row r="49">
      <c r="A49" s="13" t="inlineStr">
        <is>
          <t>Day 4 - 2026-10-08 (Thu 22 Aswin 2083)</t>
        </is>
      </c>
    </row>
    <row r="50">
      <c r="A50" s="6" t="inlineStr">
        <is>
          <t>Ward no.</t>
        </is>
      </c>
      <c r="B50" s="6" t="inlineStr">
        <is>
          <t>Total population</t>
        </is>
      </c>
      <c r="C50" s="6" t="inlineStr">
        <is>
          <t>JE target population</t>
        </is>
      </c>
      <c r="D50" s="6" t="inlineStr">
        <is>
          <t>Vaccinated</t>
        </is>
      </c>
      <c r="E50" s="6" t="n"/>
      <c r="F50" s="6" t="n"/>
      <c r="G50" s="6" t="n"/>
      <c r="H50" s="6" t="n"/>
      <c r="I50" s="6" t="n"/>
      <c r="J50" s="6" t="n"/>
      <c r="K50" s="6" t="n"/>
      <c r="L50" s="6" t="n"/>
      <c r="M50" s="6" t="inlineStr">
        <is>
          <t>Progress %</t>
        </is>
      </c>
    </row>
    <row r="51">
      <c r="A51" s="6" t="n"/>
      <c r="B51" s="6" t="n"/>
      <c r="C51" s="6" t="n"/>
      <c r="D51" s="6" t="inlineStr">
        <is>
          <t>Age 30-60 yrs</t>
        </is>
      </c>
      <c r="E51" s="6" t="n"/>
      <c r="F51" s="6" t="n"/>
      <c r="G51" s="6" t="inlineStr">
        <is>
          <t>Age 60 above</t>
        </is>
      </c>
      <c r="H51" s="6" t="n"/>
      <c r="I51" s="6" t="n"/>
      <c r="J51" s="6" t="inlineStr">
        <is>
          <t>Total</t>
        </is>
      </c>
      <c r="K51" s="6" t="n"/>
      <c r="L51" s="6" t="inlineStr">
        <is>
          <t>Grand Total</t>
        </is>
      </c>
      <c r="M51" s="6" t="n"/>
    </row>
    <row r="52">
      <c r="A52" s="6" t="n"/>
      <c r="B52" s="6" t="n"/>
      <c r="C52" s="6" t="n"/>
      <c r="D52" s="6" t="inlineStr">
        <is>
          <t>F</t>
        </is>
      </c>
      <c r="E52" s="6" t="inlineStr">
        <is>
          <t>M</t>
        </is>
      </c>
      <c r="F52" s="6" t="inlineStr">
        <is>
          <t>Total</t>
        </is>
      </c>
      <c r="G52" s="6" t="inlineStr">
        <is>
          <t>F</t>
        </is>
      </c>
      <c r="H52" s="6" t="inlineStr">
        <is>
          <t>M</t>
        </is>
      </c>
      <c r="I52" s="6" t="inlineStr">
        <is>
          <t>Total</t>
        </is>
      </c>
      <c r="J52" s="6" t="inlineStr">
        <is>
          <t>F</t>
        </is>
      </c>
      <c r="K52" s="6" t="inlineStr">
        <is>
          <t>M</t>
        </is>
      </c>
      <c r="L52" s="6" t="n"/>
      <c r="M52" s="6" t="n"/>
    </row>
    <row r="53">
      <c r="A53" s="7" t="n">
        <v>1</v>
      </c>
      <c r="B53" s="8">
        <f>B5</f>
        <v/>
      </c>
      <c r="C53" s="8">
        <f>C5</f>
        <v/>
      </c>
      <c r="D53" s="14" t="n"/>
      <c r="E53" s="14" t="n"/>
      <c r="F53" s="8">
        <f>D53+E53</f>
        <v/>
      </c>
      <c r="G53" s="14" t="n"/>
      <c r="H53" s="14" t="n"/>
      <c r="I53" s="8">
        <f>G53+H53</f>
        <v/>
      </c>
      <c r="J53" s="8">
        <f>D53+G53</f>
        <v/>
      </c>
      <c r="K53" s="8">
        <f>E53+H53</f>
        <v/>
      </c>
      <c r="L53" s="8">
        <f>J53+K53</f>
        <v/>
      </c>
      <c r="M53" s="9">
        <f>IF(C53=0,0,L53/C53*100)</f>
        <v/>
      </c>
    </row>
    <row r="54">
      <c r="A54" s="7" t="n">
        <v>2</v>
      </c>
      <c r="B54" s="8">
        <f>B6</f>
        <v/>
      </c>
      <c r="C54" s="8">
        <f>C6</f>
        <v/>
      </c>
      <c r="D54" s="14" t="n"/>
      <c r="E54" s="14" t="n"/>
      <c r="F54" s="8">
        <f>D54+E54</f>
        <v/>
      </c>
      <c r="G54" s="14" t="n"/>
      <c r="H54" s="14" t="n"/>
      <c r="I54" s="8">
        <f>G54+H54</f>
        <v/>
      </c>
      <c r="J54" s="8">
        <f>D54+G54</f>
        <v/>
      </c>
      <c r="K54" s="8">
        <f>E54+H54</f>
        <v/>
      </c>
      <c r="L54" s="8">
        <f>J54+K54</f>
        <v/>
      </c>
      <c r="M54" s="9">
        <f>IF(C54=0,0,L54/C54*100)</f>
        <v/>
      </c>
    </row>
    <row r="55">
      <c r="A55" s="7" t="n">
        <v>3</v>
      </c>
      <c r="B55" s="8">
        <f>B7</f>
        <v/>
      </c>
      <c r="C55" s="8">
        <f>C7</f>
        <v/>
      </c>
      <c r="D55" s="14" t="n"/>
      <c r="E55" s="14" t="n"/>
      <c r="F55" s="8">
        <f>D55+E55</f>
        <v/>
      </c>
      <c r="G55" s="14" t="n"/>
      <c r="H55" s="14" t="n"/>
      <c r="I55" s="8">
        <f>G55+H55</f>
        <v/>
      </c>
      <c r="J55" s="8">
        <f>D55+G55</f>
        <v/>
      </c>
      <c r="K55" s="8">
        <f>E55+H55</f>
        <v/>
      </c>
      <c r="L55" s="8">
        <f>J55+K55</f>
        <v/>
      </c>
      <c r="M55" s="9">
        <f>IF(C55=0,0,L55/C55*100)</f>
        <v/>
      </c>
    </row>
    <row r="56">
      <c r="A56" s="7" t="n">
        <v>4</v>
      </c>
      <c r="B56" s="8">
        <f>B8</f>
        <v/>
      </c>
      <c r="C56" s="8">
        <f>C8</f>
        <v/>
      </c>
      <c r="D56" s="14" t="n"/>
      <c r="E56" s="14" t="n"/>
      <c r="F56" s="8">
        <f>D56+E56</f>
        <v/>
      </c>
      <c r="G56" s="14" t="n"/>
      <c r="H56" s="14" t="n"/>
      <c r="I56" s="8">
        <f>G56+H56</f>
        <v/>
      </c>
      <c r="J56" s="8">
        <f>D56+G56</f>
        <v/>
      </c>
      <c r="K56" s="8">
        <f>E56+H56</f>
        <v/>
      </c>
      <c r="L56" s="8">
        <f>J56+K56</f>
        <v/>
      </c>
      <c r="M56" s="9">
        <f>IF(C56=0,0,L56/C56*100)</f>
        <v/>
      </c>
    </row>
    <row r="57">
      <c r="A57" s="7" t="n">
        <v>5</v>
      </c>
      <c r="B57" s="8">
        <f>B9</f>
        <v/>
      </c>
      <c r="C57" s="8">
        <f>C9</f>
        <v/>
      </c>
      <c r="D57" s="14" t="n"/>
      <c r="E57" s="14" t="n"/>
      <c r="F57" s="8">
        <f>D57+E57</f>
        <v/>
      </c>
      <c r="G57" s="14" t="n"/>
      <c r="H57" s="14" t="n"/>
      <c r="I57" s="8">
        <f>G57+H57</f>
        <v/>
      </c>
      <c r="J57" s="8">
        <f>D57+G57</f>
        <v/>
      </c>
      <c r="K57" s="8">
        <f>E57+H57</f>
        <v/>
      </c>
      <c r="L57" s="8">
        <f>J57+K57</f>
        <v/>
      </c>
      <c r="M57" s="9">
        <f>IF(C57=0,0,L57/C57*100)</f>
        <v/>
      </c>
    </row>
    <row r="58">
      <c r="A58" s="7" t="n">
        <v>6</v>
      </c>
      <c r="B58" s="8">
        <f>B10</f>
        <v/>
      </c>
      <c r="C58" s="8">
        <f>C10</f>
        <v/>
      </c>
      <c r="D58" s="14" t="n"/>
      <c r="E58" s="14" t="n"/>
      <c r="F58" s="8">
        <f>D58+E58</f>
        <v/>
      </c>
      <c r="G58" s="14" t="n"/>
      <c r="H58" s="14" t="n"/>
      <c r="I58" s="8">
        <f>G58+H58</f>
        <v/>
      </c>
      <c r="J58" s="8">
        <f>D58+G58</f>
        <v/>
      </c>
      <c r="K58" s="8">
        <f>E58+H58</f>
        <v/>
      </c>
      <c r="L58" s="8">
        <f>J58+K58</f>
        <v/>
      </c>
      <c r="M58" s="9">
        <f>IF(C58=0,0,L58/C58*100)</f>
        <v/>
      </c>
    </row>
    <row r="59">
      <c r="A59" s="10" t="inlineStr">
        <is>
          <t>Total</t>
        </is>
      </c>
      <c r="B59" s="11">
        <f>SUM(B53:B58)</f>
        <v/>
      </c>
      <c r="C59" s="11">
        <f>SUM(C53:C58)</f>
        <v/>
      </c>
      <c r="D59" s="11">
        <f>SUM(D53:D58)</f>
        <v/>
      </c>
      <c r="E59" s="11">
        <f>SUM(E53:E58)</f>
        <v/>
      </c>
      <c r="F59" s="11">
        <f>D59+E59</f>
        <v/>
      </c>
      <c r="G59" s="11">
        <f>SUM(G53:G58)</f>
        <v/>
      </c>
      <c r="H59" s="11">
        <f>SUM(H53:H58)</f>
        <v/>
      </c>
      <c r="I59" s="11">
        <f>G59+H59</f>
        <v/>
      </c>
      <c r="J59" s="11">
        <f>D59+G59</f>
        <v/>
      </c>
      <c r="K59" s="11">
        <f>E59+H59</f>
        <v/>
      </c>
      <c r="L59" s="11">
        <f>J59+K59</f>
        <v/>
      </c>
      <c r="M59" s="12">
        <f>IF(C59=0,0,L59/C59*100)</f>
        <v/>
      </c>
    </row>
    <row r="61">
      <c r="A61" s="13" t="inlineStr">
        <is>
          <t>Day 5 - 2026-10-09 (Fri 23 Aswin 2083)</t>
        </is>
      </c>
    </row>
    <row r="62">
      <c r="A62" s="6" t="inlineStr">
        <is>
          <t>Ward no.</t>
        </is>
      </c>
      <c r="B62" s="6" t="inlineStr">
        <is>
          <t>Total population</t>
        </is>
      </c>
      <c r="C62" s="6" t="inlineStr">
        <is>
          <t>JE target population</t>
        </is>
      </c>
      <c r="D62" s="6" t="inlineStr">
        <is>
          <t>Vaccinated</t>
        </is>
      </c>
      <c r="E62" s="6" t="n"/>
      <c r="F62" s="6" t="n"/>
      <c r="G62" s="6" t="n"/>
      <c r="H62" s="6" t="n"/>
      <c r="I62" s="6" t="n"/>
      <c r="J62" s="6" t="n"/>
      <c r="K62" s="6" t="n"/>
      <c r="L62" s="6" t="n"/>
      <c r="M62" s="6" t="inlineStr">
        <is>
          <t>Progress %</t>
        </is>
      </c>
    </row>
    <row r="63">
      <c r="A63" s="6" t="n"/>
      <c r="B63" s="6" t="n"/>
      <c r="C63" s="6" t="n"/>
      <c r="D63" s="6" t="inlineStr">
        <is>
          <t>Age 30-60 yrs</t>
        </is>
      </c>
      <c r="E63" s="6" t="n"/>
      <c r="F63" s="6" t="n"/>
      <c r="G63" s="6" t="inlineStr">
        <is>
          <t>Age 60 above</t>
        </is>
      </c>
      <c r="H63" s="6" t="n"/>
      <c r="I63" s="6" t="n"/>
      <c r="J63" s="6" t="inlineStr">
        <is>
          <t>Total</t>
        </is>
      </c>
      <c r="K63" s="6" t="n"/>
      <c r="L63" s="6" t="inlineStr">
        <is>
          <t>Grand Total</t>
        </is>
      </c>
      <c r="M63" s="6" t="n"/>
    </row>
    <row r="64">
      <c r="A64" s="6" t="n"/>
      <c r="B64" s="6" t="n"/>
      <c r="C64" s="6" t="n"/>
      <c r="D64" s="6" t="inlineStr">
        <is>
          <t>F</t>
        </is>
      </c>
      <c r="E64" s="6" t="inlineStr">
        <is>
          <t>M</t>
        </is>
      </c>
      <c r="F64" s="6" t="inlineStr">
        <is>
          <t>Total</t>
        </is>
      </c>
      <c r="G64" s="6" t="inlineStr">
        <is>
          <t>F</t>
        </is>
      </c>
      <c r="H64" s="6" t="inlineStr">
        <is>
          <t>M</t>
        </is>
      </c>
      <c r="I64" s="6" t="inlineStr">
        <is>
          <t>Total</t>
        </is>
      </c>
      <c r="J64" s="6" t="inlineStr">
        <is>
          <t>F</t>
        </is>
      </c>
      <c r="K64" s="6" t="inlineStr">
        <is>
          <t>M</t>
        </is>
      </c>
      <c r="L64" s="6" t="n"/>
      <c r="M64" s="6" t="n"/>
    </row>
    <row r="65">
      <c r="A65" s="7" t="n">
        <v>1</v>
      </c>
      <c r="B65" s="8">
        <f>B5</f>
        <v/>
      </c>
      <c r="C65" s="8">
        <f>C5</f>
        <v/>
      </c>
      <c r="D65" s="14" t="n"/>
      <c r="E65" s="14" t="n"/>
      <c r="F65" s="8">
        <f>D65+E65</f>
        <v/>
      </c>
      <c r="G65" s="14" t="n"/>
      <c r="H65" s="14" t="n"/>
      <c r="I65" s="8">
        <f>G65+H65</f>
        <v/>
      </c>
      <c r="J65" s="8">
        <f>D65+G65</f>
        <v/>
      </c>
      <c r="K65" s="8">
        <f>E65+H65</f>
        <v/>
      </c>
      <c r="L65" s="8">
        <f>J65+K65</f>
        <v/>
      </c>
      <c r="M65" s="9">
        <f>IF(C65=0,0,L65/C65*100)</f>
        <v/>
      </c>
    </row>
    <row r="66">
      <c r="A66" s="7" t="n">
        <v>2</v>
      </c>
      <c r="B66" s="8">
        <f>B6</f>
        <v/>
      </c>
      <c r="C66" s="8">
        <f>C6</f>
        <v/>
      </c>
      <c r="D66" s="14" t="n"/>
      <c r="E66" s="14" t="n"/>
      <c r="F66" s="8">
        <f>D66+E66</f>
        <v/>
      </c>
      <c r="G66" s="14" t="n"/>
      <c r="H66" s="14" t="n"/>
      <c r="I66" s="8">
        <f>G66+H66</f>
        <v/>
      </c>
      <c r="J66" s="8">
        <f>D66+G66</f>
        <v/>
      </c>
      <c r="K66" s="8">
        <f>E66+H66</f>
        <v/>
      </c>
      <c r="L66" s="8">
        <f>J66+K66</f>
        <v/>
      </c>
      <c r="M66" s="9">
        <f>IF(C66=0,0,L66/C66*100)</f>
        <v/>
      </c>
    </row>
    <row r="67">
      <c r="A67" s="7" t="n">
        <v>3</v>
      </c>
      <c r="B67" s="8">
        <f>B7</f>
        <v/>
      </c>
      <c r="C67" s="8">
        <f>C7</f>
        <v/>
      </c>
      <c r="D67" s="14" t="n"/>
      <c r="E67" s="14" t="n"/>
      <c r="F67" s="8">
        <f>D67+E67</f>
        <v/>
      </c>
      <c r="G67" s="14" t="n"/>
      <c r="H67" s="14" t="n"/>
      <c r="I67" s="8">
        <f>G67+H67</f>
        <v/>
      </c>
      <c r="J67" s="8">
        <f>D67+G67</f>
        <v/>
      </c>
      <c r="K67" s="8">
        <f>E67+H67</f>
        <v/>
      </c>
      <c r="L67" s="8">
        <f>J67+K67</f>
        <v/>
      </c>
      <c r="M67" s="9">
        <f>IF(C67=0,0,L67/C67*100)</f>
        <v/>
      </c>
    </row>
    <row r="68">
      <c r="A68" s="7" t="n">
        <v>4</v>
      </c>
      <c r="B68" s="8">
        <f>B8</f>
        <v/>
      </c>
      <c r="C68" s="8">
        <f>C8</f>
        <v/>
      </c>
      <c r="D68" s="14" t="n"/>
      <c r="E68" s="14" t="n"/>
      <c r="F68" s="8">
        <f>D68+E68</f>
        <v/>
      </c>
      <c r="G68" s="14" t="n"/>
      <c r="H68" s="14" t="n"/>
      <c r="I68" s="8">
        <f>G68+H68</f>
        <v/>
      </c>
      <c r="J68" s="8">
        <f>D68+G68</f>
        <v/>
      </c>
      <c r="K68" s="8">
        <f>E68+H68</f>
        <v/>
      </c>
      <c r="L68" s="8">
        <f>J68+K68</f>
        <v/>
      </c>
      <c r="M68" s="9">
        <f>IF(C68=0,0,L68/C68*100)</f>
        <v/>
      </c>
    </row>
    <row r="69">
      <c r="A69" s="7" t="n">
        <v>5</v>
      </c>
      <c r="B69" s="8">
        <f>B9</f>
        <v/>
      </c>
      <c r="C69" s="8">
        <f>C9</f>
        <v/>
      </c>
      <c r="D69" s="14" t="n"/>
      <c r="E69" s="14" t="n"/>
      <c r="F69" s="8">
        <f>D69+E69</f>
        <v/>
      </c>
      <c r="G69" s="14" t="n"/>
      <c r="H69" s="14" t="n"/>
      <c r="I69" s="8">
        <f>G69+H69</f>
        <v/>
      </c>
      <c r="J69" s="8">
        <f>D69+G69</f>
        <v/>
      </c>
      <c r="K69" s="8">
        <f>E69+H69</f>
        <v/>
      </c>
      <c r="L69" s="8">
        <f>J69+K69</f>
        <v/>
      </c>
      <c r="M69" s="9">
        <f>IF(C69=0,0,L69/C69*100)</f>
        <v/>
      </c>
    </row>
    <row r="70">
      <c r="A70" s="7" t="n">
        <v>6</v>
      </c>
      <c r="B70" s="8">
        <f>B10</f>
        <v/>
      </c>
      <c r="C70" s="8">
        <f>C10</f>
        <v/>
      </c>
      <c r="D70" s="14" t="n"/>
      <c r="E70" s="14" t="n"/>
      <c r="F70" s="8">
        <f>D70+E70</f>
        <v/>
      </c>
      <c r="G70" s="14" t="n"/>
      <c r="H70" s="14" t="n"/>
      <c r="I70" s="8">
        <f>G70+H70</f>
        <v/>
      </c>
      <c r="J70" s="8">
        <f>D70+G70</f>
        <v/>
      </c>
      <c r="K70" s="8">
        <f>E70+H70</f>
        <v/>
      </c>
      <c r="L70" s="8">
        <f>J70+K70</f>
        <v/>
      </c>
      <c r="M70" s="9">
        <f>IF(C70=0,0,L70/C70*100)</f>
        <v/>
      </c>
    </row>
    <row r="71">
      <c r="A71" s="10" t="inlineStr">
        <is>
          <t>Total</t>
        </is>
      </c>
      <c r="B71" s="11">
        <f>SUM(B65:B70)</f>
        <v/>
      </c>
      <c r="C71" s="11">
        <f>SUM(C65:C70)</f>
        <v/>
      </c>
      <c r="D71" s="11">
        <f>SUM(D65:D70)</f>
        <v/>
      </c>
      <c r="E71" s="11">
        <f>SUM(E65:E70)</f>
        <v/>
      </c>
      <c r="F71" s="11">
        <f>D71+E71</f>
        <v/>
      </c>
      <c r="G71" s="11">
        <f>SUM(G65:G70)</f>
        <v/>
      </c>
      <c r="H71" s="11">
        <f>SUM(H65:H70)</f>
        <v/>
      </c>
      <c r="I71" s="11">
        <f>G71+H71</f>
        <v/>
      </c>
      <c r="J71" s="11">
        <f>D71+G71</f>
        <v/>
      </c>
      <c r="K71" s="11">
        <f>E71+H71</f>
        <v/>
      </c>
      <c r="L71" s="11">
        <f>J71+K71</f>
        <v/>
      </c>
      <c r="M71" s="12">
        <f>IF(C71=0,0,L71/C71*100)</f>
        <v/>
      </c>
    </row>
    <row r="73">
      <c r="A73" s="13" t="inlineStr">
        <is>
          <t>Day 6 - 2026-10-10 (Sat 24 Aswin 2083)</t>
        </is>
      </c>
    </row>
    <row r="74">
      <c r="A74" s="6" t="inlineStr">
        <is>
          <t>Ward no.</t>
        </is>
      </c>
      <c r="B74" s="6" t="inlineStr">
        <is>
          <t>Total population</t>
        </is>
      </c>
      <c r="C74" s="6" t="inlineStr">
        <is>
          <t>JE target population</t>
        </is>
      </c>
      <c r="D74" s="6" t="inlineStr">
        <is>
          <t>Vaccinated</t>
        </is>
      </c>
      <c r="E74" s="6" t="n"/>
      <c r="F74" s="6" t="n"/>
      <c r="G74" s="6" t="n"/>
      <c r="H74" s="6" t="n"/>
      <c r="I74" s="6" t="n"/>
      <c r="J74" s="6" t="n"/>
      <c r="K74" s="6" t="n"/>
      <c r="L74" s="6" t="n"/>
      <c r="M74" s="6" t="inlineStr">
        <is>
          <t>Progress %</t>
        </is>
      </c>
    </row>
    <row r="75">
      <c r="A75" s="6" t="n"/>
      <c r="B75" s="6" t="n"/>
      <c r="C75" s="6" t="n"/>
      <c r="D75" s="6" t="inlineStr">
        <is>
          <t>Age 30-60 yrs</t>
        </is>
      </c>
      <c r="E75" s="6" t="n"/>
      <c r="F75" s="6" t="n"/>
      <c r="G75" s="6" t="inlineStr">
        <is>
          <t>Age 60 above</t>
        </is>
      </c>
      <c r="H75" s="6" t="n"/>
      <c r="I75" s="6" t="n"/>
      <c r="J75" s="6" t="inlineStr">
        <is>
          <t>Total</t>
        </is>
      </c>
      <c r="K75" s="6" t="n"/>
      <c r="L75" s="6" t="inlineStr">
        <is>
          <t>Grand Total</t>
        </is>
      </c>
      <c r="M75" s="6" t="n"/>
    </row>
    <row r="76">
      <c r="A76" s="6" t="n"/>
      <c r="B76" s="6" t="n"/>
      <c r="C76" s="6" t="n"/>
      <c r="D76" s="6" t="inlineStr">
        <is>
          <t>F</t>
        </is>
      </c>
      <c r="E76" s="6" t="inlineStr">
        <is>
          <t>M</t>
        </is>
      </c>
      <c r="F76" s="6" t="inlineStr">
        <is>
          <t>Total</t>
        </is>
      </c>
      <c r="G76" s="6" t="inlineStr">
        <is>
          <t>F</t>
        </is>
      </c>
      <c r="H76" s="6" t="inlineStr">
        <is>
          <t>M</t>
        </is>
      </c>
      <c r="I76" s="6" t="inlineStr">
        <is>
          <t>Total</t>
        </is>
      </c>
      <c r="J76" s="6" t="inlineStr">
        <is>
          <t>F</t>
        </is>
      </c>
      <c r="K76" s="6" t="inlineStr">
        <is>
          <t>M</t>
        </is>
      </c>
      <c r="L76" s="6" t="n"/>
      <c r="M76" s="6" t="n"/>
    </row>
    <row r="77">
      <c r="A77" s="7" t="n">
        <v>1</v>
      </c>
      <c r="B77" s="8">
        <f>B5</f>
        <v/>
      </c>
      <c r="C77" s="8">
        <f>C5</f>
        <v/>
      </c>
      <c r="D77" s="14" t="n"/>
      <c r="E77" s="14" t="n"/>
      <c r="F77" s="8">
        <f>D77+E77</f>
        <v/>
      </c>
      <c r="G77" s="14" t="n"/>
      <c r="H77" s="14" t="n"/>
      <c r="I77" s="8">
        <f>G77+H77</f>
        <v/>
      </c>
      <c r="J77" s="8">
        <f>D77+G77</f>
        <v/>
      </c>
      <c r="K77" s="8">
        <f>E77+H77</f>
        <v/>
      </c>
      <c r="L77" s="8">
        <f>J77+K77</f>
        <v/>
      </c>
      <c r="M77" s="9">
        <f>IF(C77=0,0,L77/C77*100)</f>
        <v/>
      </c>
    </row>
    <row r="78">
      <c r="A78" s="7" t="n">
        <v>2</v>
      </c>
      <c r="B78" s="8">
        <f>B6</f>
        <v/>
      </c>
      <c r="C78" s="8">
        <f>C6</f>
        <v/>
      </c>
      <c r="D78" s="14" t="n"/>
      <c r="E78" s="14" t="n"/>
      <c r="F78" s="8">
        <f>D78+E78</f>
        <v/>
      </c>
      <c r="G78" s="14" t="n"/>
      <c r="H78" s="14" t="n"/>
      <c r="I78" s="8">
        <f>G78+H78</f>
        <v/>
      </c>
      <c r="J78" s="8">
        <f>D78+G78</f>
        <v/>
      </c>
      <c r="K78" s="8">
        <f>E78+H78</f>
        <v/>
      </c>
      <c r="L78" s="8">
        <f>J78+K78</f>
        <v/>
      </c>
      <c r="M78" s="9">
        <f>IF(C78=0,0,L78/C78*100)</f>
        <v/>
      </c>
    </row>
    <row r="79">
      <c r="A79" s="7" t="n">
        <v>3</v>
      </c>
      <c r="B79" s="8">
        <f>B7</f>
        <v/>
      </c>
      <c r="C79" s="8">
        <f>C7</f>
        <v/>
      </c>
      <c r="D79" s="14" t="n"/>
      <c r="E79" s="14" t="n"/>
      <c r="F79" s="8">
        <f>D79+E79</f>
        <v/>
      </c>
      <c r="G79" s="14" t="n"/>
      <c r="H79" s="14" t="n"/>
      <c r="I79" s="8">
        <f>G79+H79</f>
        <v/>
      </c>
      <c r="J79" s="8">
        <f>D79+G79</f>
        <v/>
      </c>
      <c r="K79" s="8">
        <f>E79+H79</f>
        <v/>
      </c>
      <c r="L79" s="8">
        <f>J79+K79</f>
        <v/>
      </c>
      <c r="M79" s="9">
        <f>IF(C79=0,0,L79/C79*100)</f>
        <v/>
      </c>
    </row>
    <row r="80">
      <c r="A80" s="7" t="n">
        <v>4</v>
      </c>
      <c r="B80" s="8">
        <f>B8</f>
        <v/>
      </c>
      <c r="C80" s="8">
        <f>C8</f>
        <v/>
      </c>
      <c r="D80" s="14" t="n"/>
      <c r="E80" s="14" t="n"/>
      <c r="F80" s="8">
        <f>D80+E80</f>
        <v/>
      </c>
      <c r="G80" s="14" t="n"/>
      <c r="H80" s="14" t="n"/>
      <c r="I80" s="8">
        <f>G80+H80</f>
        <v/>
      </c>
      <c r="J80" s="8">
        <f>D80+G80</f>
        <v/>
      </c>
      <c r="K80" s="8">
        <f>E80+H80</f>
        <v/>
      </c>
      <c r="L80" s="8">
        <f>J80+K80</f>
        <v/>
      </c>
      <c r="M80" s="9">
        <f>IF(C80=0,0,L80/C80*100)</f>
        <v/>
      </c>
    </row>
    <row r="81">
      <c r="A81" s="7" t="n">
        <v>5</v>
      </c>
      <c r="B81" s="8">
        <f>B9</f>
        <v/>
      </c>
      <c r="C81" s="8">
        <f>C9</f>
        <v/>
      </c>
      <c r="D81" s="14" t="n"/>
      <c r="E81" s="14" t="n"/>
      <c r="F81" s="8">
        <f>D81+E81</f>
        <v/>
      </c>
      <c r="G81" s="14" t="n"/>
      <c r="H81" s="14" t="n"/>
      <c r="I81" s="8">
        <f>G81+H81</f>
        <v/>
      </c>
      <c r="J81" s="8">
        <f>D81+G81</f>
        <v/>
      </c>
      <c r="K81" s="8">
        <f>E81+H81</f>
        <v/>
      </c>
      <c r="L81" s="8">
        <f>J81+K81</f>
        <v/>
      </c>
      <c r="M81" s="9">
        <f>IF(C81=0,0,L81/C81*100)</f>
        <v/>
      </c>
    </row>
    <row r="82">
      <c r="A82" s="7" t="n">
        <v>6</v>
      </c>
      <c r="B82" s="8">
        <f>B10</f>
        <v/>
      </c>
      <c r="C82" s="8">
        <f>C10</f>
        <v/>
      </c>
      <c r="D82" s="14" t="n"/>
      <c r="E82" s="14" t="n"/>
      <c r="F82" s="8">
        <f>D82+E82</f>
        <v/>
      </c>
      <c r="G82" s="14" t="n"/>
      <c r="H82" s="14" t="n"/>
      <c r="I82" s="8">
        <f>G82+H82</f>
        <v/>
      </c>
      <c r="J82" s="8">
        <f>D82+G82</f>
        <v/>
      </c>
      <c r="K82" s="8">
        <f>E82+H82</f>
        <v/>
      </c>
      <c r="L82" s="8">
        <f>J82+K82</f>
        <v/>
      </c>
      <c r="M82" s="9">
        <f>IF(C82=0,0,L82/C82*100)</f>
        <v/>
      </c>
    </row>
    <row r="83">
      <c r="A83" s="10" t="inlineStr">
        <is>
          <t>Total</t>
        </is>
      </c>
      <c r="B83" s="11">
        <f>SUM(B77:B82)</f>
        <v/>
      </c>
      <c r="C83" s="11">
        <f>SUM(C77:C82)</f>
        <v/>
      </c>
      <c r="D83" s="11">
        <f>SUM(D77:D82)</f>
        <v/>
      </c>
      <c r="E83" s="11">
        <f>SUM(E77:E82)</f>
        <v/>
      </c>
      <c r="F83" s="11">
        <f>D83+E83</f>
        <v/>
      </c>
      <c r="G83" s="11">
        <f>SUM(G77:G82)</f>
        <v/>
      </c>
      <c r="H83" s="11">
        <f>SUM(H77:H82)</f>
        <v/>
      </c>
      <c r="I83" s="11">
        <f>G83+H83</f>
        <v/>
      </c>
      <c r="J83" s="11">
        <f>D83+G83</f>
        <v/>
      </c>
      <c r="K83" s="11">
        <f>E83+H83</f>
        <v/>
      </c>
      <c r="L83" s="11">
        <f>J83+K83</f>
        <v/>
      </c>
      <c r="M83" s="12">
        <f>IF(C83=0,0,L83/C83*100)</f>
        <v/>
      </c>
    </row>
    <row r="85">
      <c r="A85" s="13" t="inlineStr">
        <is>
          <t>Day 7 - 2026-10-11 (Sun 25 Aswin 2083)</t>
        </is>
      </c>
    </row>
    <row r="86">
      <c r="A86" s="6" t="inlineStr">
        <is>
          <t>Ward no.</t>
        </is>
      </c>
      <c r="B86" s="6" t="inlineStr">
        <is>
          <t>Total population</t>
        </is>
      </c>
      <c r="C86" s="6" t="inlineStr">
        <is>
          <t>JE target population</t>
        </is>
      </c>
      <c r="D86" s="6" t="inlineStr">
        <is>
          <t>Vaccinated</t>
        </is>
      </c>
      <c r="E86" s="6" t="n"/>
      <c r="F86" s="6" t="n"/>
      <c r="G86" s="6" t="n"/>
      <c r="H86" s="6" t="n"/>
      <c r="I86" s="6" t="n"/>
      <c r="J86" s="6" t="n"/>
      <c r="K86" s="6" t="n"/>
      <c r="L86" s="6" t="n"/>
      <c r="M86" s="6" t="inlineStr">
        <is>
          <t>Progress %</t>
        </is>
      </c>
    </row>
    <row r="87">
      <c r="A87" s="6" t="n"/>
      <c r="B87" s="6" t="n"/>
      <c r="C87" s="6" t="n"/>
      <c r="D87" s="6" t="inlineStr">
        <is>
          <t>Age 30-60 yrs</t>
        </is>
      </c>
      <c r="E87" s="6" t="n"/>
      <c r="F87" s="6" t="n"/>
      <c r="G87" s="6" t="inlineStr">
        <is>
          <t>Age 60 above</t>
        </is>
      </c>
      <c r="H87" s="6" t="n"/>
      <c r="I87" s="6" t="n"/>
      <c r="J87" s="6" t="inlineStr">
        <is>
          <t>Total</t>
        </is>
      </c>
      <c r="K87" s="6" t="n"/>
      <c r="L87" s="6" t="inlineStr">
        <is>
          <t>Grand Total</t>
        </is>
      </c>
      <c r="M87" s="6" t="n"/>
    </row>
    <row r="88">
      <c r="A88" s="6" t="n"/>
      <c r="B88" s="6" t="n"/>
      <c r="C88" s="6" t="n"/>
      <c r="D88" s="6" t="inlineStr">
        <is>
          <t>F</t>
        </is>
      </c>
      <c r="E88" s="6" t="inlineStr">
        <is>
          <t>M</t>
        </is>
      </c>
      <c r="F88" s="6" t="inlineStr">
        <is>
          <t>Total</t>
        </is>
      </c>
      <c r="G88" s="6" t="inlineStr">
        <is>
          <t>F</t>
        </is>
      </c>
      <c r="H88" s="6" t="inlineStr">
        <is>
          <t>M</t>
        </is>
      </c>
      <c r="I88" s="6" t="inlineStr">
        <is>
          <t>Total</t>
        </is>
      </c>
      <c r="J88" s="6" t="inlineStr">
        <is>
          <t>F</t>
        </is>
      </c>
      <c r="K88" s="6" t="inlineStr">
        <is>
          <t>M</t>
        </is>
      </c>
      <c r="L88" s="6" t="n"/>
      <c r="M88" s="6" t="n"/>
    </row>
    <row r="89">
      <c r="A89" s="7" t="n">
        <v>1</v>
      </c>
      <c r="B89" s="8">
        <f>B5</f>
        <v/>
      </c>
      <c r="C89" s="8">
        <f>C5</f>
        <v/>
      </c>
      <c r="D89" s="14" t="n"/>
      <c r="E89" s="14" t="n"/>
      <c r="F89" s="8">
        <f>D89+E89</f>
        <v/>
      </c>
      <c r="G89" s="14" t="n"/>
      <c r="H89" s="14" t="n"/>
      <c r="I89" s="8">
        <f>G89+H89</f>
        <v/>
      </c>
      <c r="J89" s="8">
        <f>D89+G89</f>
        <v/>
      </c>
      <c r="K89" s="8">
        <f>E89+H89</f>
        <v/>
      </c>
      <c r="L89" s="8">
        <f>J89+K89</f>
        <v/>
      </c>
      <c r="M89" s="9">
        <f>IF(C89=0,0,L89/C89*100)</f>
        <v/>
      </c>
    </row>
    <row r="90">
      <c r="A90" s="7" t="n">
        <v>2</v>
      </c>
      <c r="B90" s="8">
        <f>B6</f>
        <v/>
      </c>
      <c r="C90" s="8">
        <f>C6</f>
        <v/>
      </c>
      <c r="D90" s="14" t="n"/>
      <c r="E90" s="14" t="n"/>
      <c r="F90" s="8">
        <f>D90+E90</f>
        <v/>
      </c>
      <c r="G90" s="14" t="n"/>
      <c r="H90" s="14" t="n"/>
      <c r="I90" s="8">
        <f>G90+H90</f>
        <v/>
      </c>
      <c r="J90" s="8">
        <f>D90+G90</f>
        <v/>
      </c>
      <c r="K90" s="8">
        <f>E90+H90</f>
        <v/>
      </c>
      <c r="L90" s="8">
        <f>J90+K90</f>
        <v/>
      </c>
      <c r="M90" s="9">
        <f>IF(C90=0,0,L90/C90*100)</f>
        <v/>
      </c>
    </row>
    <row r="91">
      <c r="A91" s="7" t="n">
        <v>3</v>
      </c>
      <c r="B91" s="8">
        <f>B7</f>
        <v/>
      </c>
      <c r="C91" s="8">
        <f>C7</f>
        <v/>
      </c>
      <c r="D91" s="14" t="n"/>
      <c r="E91" s="14" t="n"/>
      <c r="F91" s="8">
        <f>D91+E91</f>
        <v/>
      </c>
      <c r="G91" s="14" t="n"/>
      <c r="H91" s="14" t="n"/>
      <c r="I91" s="8">
        <f>G91+H91</f>
        <v/>
      </c>
      <c r="J91" s="8">
        <f>D91+G91</f>
        <v/>
      </c>
      <c r="K91" s="8">
        <f>E91+H91</f>
        <v/>
      </c>
      <c r="L91" s="8">
        <f>J91+K91</f>
        <v/>
      </c>
      <c r="M91" s="9">
        <f>IF(C91=0,0,L91/C91*100)</f>
        <v/>
      </c>
    </row>
    <row r="92">
      <c r="A92" s="7" t="n">
        <v>4</v>
      </c>
      <c r="B92" s="8">
        <f>B8</f>
        <v/>
      </c>
      <c r="C92" s="8">
        <f>C8</f>
        <v/>
      </c>
      <c r="D92" s="14" t="n"/>
      <c r="E92" s="14" t="n"/>
      <c r="F92" s="8">
        <f>D92+E92</f>
        <v/>
      </c>
      <c r="G92" s="14" t="n"/>
      <c r="H92" s="14" t="n"/>
      <c r="I92" s="8">
        <f>G92+H92</f>
        <v/>
      </c>
      <c r="J92" s="8">
        <f>D92+G92</f>
        <v/>
      </c>
      <c r="K92" s="8">
        <f>E92+H92</f>
        <v/>
      </c>
      <c r="L92" s="8">
        <f>J92+K92</f>
        <v/>
      </c>
      <c r="M92" s="9">
        <f>IF(C92=0,0,L92/C92*100)</f>
        <v/>
      </c>
    </row>
    <row r="93">
      <c r="A93" s="7" t="n">
        <v>5</v>
      </c>
      <c r="B93" s="8">
        <f>B9</f>
        <v/>
      </c>
      <c r="C93" s="8">
        <f>C9</f>
        <v/>
      </c>
      <c r="D93" s="14" t="n"/>
      <c r="E93" s="14" t="n"/>
      <c r="F93" s="8">
        <f>D93+E93</f>
        <v/>
      </c>
      <c r="G93" s="14" t="n"/>
      <c r="H93" s="14" t="n"/>
      <c r="I93" s="8">
        <f>G93+H93</f>
        <v/>
      </c>
      <c r="J93" s="8">
        <f>D93+G93</f>
        <v/>
      </c>
      <c r="K93" s="8">
        <f>E93+H93</f>
        <v/>
      </c>
      <c r="L93" s="8">
        <f>J93+K93</f>
        <v/>
      </c>
      <c r="M93" s="9">
        <f>IF(C93=0,0,L93/C93*100)</f>
        <v/>
      </c>
    </row>
    <row r="94">
      <c r="A94" s="7" t="n">
        <v>6</v>
      </c>
      <c r="B94" s="8">
        <f>B10</f>
        <v/>
      </c>
      <c r="C94" s="8">
        <f>C10</f>
        <v/>
      </c>
      <c r="D94" s="14" t="n"/>
      <c r="E94" s="14" t="n"/>
      <c r="F94" s="8">
        <f>D94+E94</f>
        <v/>
      </c>
      <c r="G94" s="14" t="n"/>
      <c r="H94" s="14" t="n"/>
      <c r="I94" s="8">
        <f>G94+H94</f>
        <v/>
      </c>
      <c r="J94" s="8">
        <f>D94+G94</f>
        <v/>
      </c>
      <c r="K94" s="8">
        <f>E94+H94</f>
        <v/>
      </c>
      <c r="L94" s="8">
        <f>J94+K94</f>
        <v/>
      </c>
      <c r="M94" s="9">
        <f>IF(C94=0,0,L94/C94*100)</f>
        <v/>
      </c>
    </row>
    <row r="95">
      <c r="A95" s="10" t="inlineStr">
        <is>
          <t>Total</t>
        </is>
      </c>
      <c r="B95" s="11">
        <f>SUM(B89:B94)</f>
        <v/>
      </c>
      <c r="C95" s="11">
        <f>SUM(C89:C94)</f>
        <v/>
      </c>
      <c r="D95" s="11">
        <f>SUM(D89:D94)</f>
        <v/>
      </c>
      <c r="E95" s="11">
        <f>SUM(E89:E94)</f>
        <v/>
      </c>
      <c r="F95" s="11">
        <f>D95+E95</f>
        <v/>
      </c>
      <c r="G95" s="11">
        <f>SUM(G89:G94)</f>
        <v/>
      </c>
      <c r="H95" s="11">
        <f>SUM(H89:H94)</f>
        <v/>
      </c>
      <c r="I95" s="11">
        <f>G95+H95</f>
        <v/>
      </c>
      <c r="J95" s="11">
        <f>D95+G95</f>
        <v/>
      </c>
      <c r="K95" s="11">
        <f>E95+H95</f>
        <v/>
      </c>
      <c r="L95" s="11">
        <f>J95+K95</f>
        <v/>
      </c>
      <c r="M95" s="12">
        <f>IF(C95=0,0,L95/C95*100)</f>
        <v/>
      </c>
    </row>
    <row r="97">
      <c r="A97" s="13" t="inlineStr">
        <is>
          <t>Day 8 - 2026-10-12 (Mon 26 Aswin 2083)</t>
        </is>
      </c>
    </row>
    <row r="98">
      <c r="A98" s="6" t="inlineStr">
        <is>
          <t>Ward no.</t>
        </is>
      </c>
      <c r="B98" s="6" t="inlineStr">
        <is>
          <t>Total population</t>
        </is>
      </c>
      <c r="C98" s="6" t="inlineStr">
        <is>
          <t>JE target population</t>
        </is>
      </c>
      <c r="D98" s="6" t="inlineStr">
        <is>
          <t>Vaccinated</t>
        </is>
      </c>
      <c r="E98" s="6" t="n"/>
      <c r="F98" s="6" t="n"/>
      <c r="G98" s="6" t="n"/>
      <c r="H98" s="6" t="n"/>
      <c r="I98" s="6" t="n"/>
      <c r="J98" s="6" t="n"/>
      <c r="K98" s="6" t="n"/>
      <c r="L98" s="6" t="n"/>
      <c r="M98" s="6" t="inlineStr">
        <is>
          <t>Progress %</t>
        </is>
      </c>
    </row>
    <row r="99">
      <c r="A99" s="6" t="n"/>
      <c r="B99" s="6" t="n"/>
      <c r="C99" s="6" t="n"/>
      <c r="D99" s="6" t="inlineStr">
        <is>
          <t>Age 30-60 yrs</t>
        </is>
      </c>
      <c r="E99" s="6" t="n"/>
      <c r="F99" s="6" t="n"/>
      <c r="G99" s="6" t="inlineStr">
        <is>
          <t>Age 60 above</t>
        </is>
      </c>
      <c r="H99" s="6" t="n"/>
      <c r="I99" s="6" t="n"/>
      <c r="J99" s="6" t="inlineStr">
        <is>
          <t>Total</t>
        </is>
      </c>
      <c r="K99" s="6" t="n"/>
      <c r="L99" s="6" t="inlineStr">
        <is>
          <t>Grand Total</t>
        </is>
      </c>
      <c r="M99" s="6" t="n"/>
    </row>
    <row r="100">
      <c r="A100" s="6" t="n"/>
      <c r="B100" s="6" t="n"/>
      <c r="C100" s="6" t="n"/>
      <c r="D100" s="6" t="inlineStr">
        <is>
          <t>F</t>
        </is>
      </c>
      <c r="E100" s="6" t="inlineStr">
        <is>
          <t>M</t>
        </is>
      </c>
      <c r="F100" s="6" t="inlineStr">
        <is>
          <t>Total</t>
        </is>
      </c>
      <c r="G100" s="6" t="inlineStr">
        <is>
          <t>F</t>
        </is>
      </c>
      <c r="H100" s="6" t="inlineStr">
        <is>
          <t>M</t>
        </is>
      </c>
      <c r="I100" s="6" t="inlineStr">
        <is>
          <t>Total</t>
        </is>
      </c>
      <c r="J100" s="6" t="inlineStr">
        <is>
          <t>F</t>
        </is>
      </c>
      <c r="K100" s="6" t="inlineStr">
        <is>
          <t>M</t>
        </is>
      </c>
      <c r="L100" s="6" t="n"/>
      <c r="M100" s="6" t="n"/>
    </row>
    <row r="101">
      <c r="A101" s="7" t="n">
        <v>1</v>
      </c>
      <c r="B101" s="8">
        <f>B5</f>
        <v/>
      </c>
      <c r="C101" s="8">
        <f>C5</f>
        <v/>
      </c>
      <c r="D101" s="14" t="n"/>
      <c r="E101" s="14" t="n"/>
      <c r="F101" s="8">
        <f>D101+E101</f>
        <v/>
      </c>
      <c r="G101" s="14" t="n"/>
      <c r="H101" s="14" t="n"/>
      <c r="I101" s="8">
        <f>G101+H101</f>
        <v/>
      </c>
      <c r="J101" s="8">
        <f>D101+G101</f>
        <v/>
      </c>
      <c r="K101" s="8">
        <f>E101+H101</f>
        <v/>
      </c>
      <c r="L101" s="8">
        <f>J101+K101</f>
        <v/>
      </c>
      <c r="M101" s="9">
        <f>IF(C101=0,0,L101/C101*100)</f>
        <v/>
      </c>
    </row>
    <row r="102">
      <c r="A102" s="7" t="n">
        <v>2</v>
      </c>
      <c r="B102" s="8">
        <f>B6</f>
        <v/>
      </c>
      <c r="C102" s="8">
        <f>C6</f>
        <v/>
      </c>
      <c r="D102" s="14" t="n"/>
      <c r="E102" s="14" t="n"/>
      <c r="F102" s="8">
        <f>D102+E102</f>
        <v/>
      </c>
      <c r="G102" s="14" t="n"/>
      <c r="H102" s="14" t="n"/>
      <c r="I102" s="8">
        <f>G102+H102</f>
        <v/>
      </c>
      <c r="J102" s="8">
        <f>D102+G102</f>
        <v/>
      </c>
      <c r="K102" s="8">
        <f>E102+H102</f>
        <v/>
      </c>
      <c r="L102" s="8">
        <f>J102+K102</f>
        <v/>
      </c>
      <c r="M102" s="9">
        <f>IF(C102=0,0,L102/C102*100)</f>
        <v/>
      </c>
    </row>
    <row r="103">
      <c r="A103" s="7" t="n">
        <v>3</v>
      </c>
      <c r="B103" s="8">
        <f>B7</f>
        <v/>
      </c>
      <c r="C103" s="8">
        <f>C7</f>
        <v/>
      </c>
      <c r="D103" s="14" t="n"/>
      <c r="E103" s="14" t="n"/>
      <c r="F103" s="8">
        <f>D103+E103</f>
        <v/>
      </c>
      <c r="G103" s="14" t="n"/>
      <c r="H103" s="14" t="n"/>
      <c r="I103" s="8">
        <f>G103+H103</f>
        <v/>
      </c>
      <c r="J103" s="8">
        <f>D103+G103</f>
        <v/>
      </c>
      <c r="K103" s="8">
        <f>E103+H103</f>
        <v/>
      </c>
      <c r="L103" s="8">
        <f>J103+K103</f>
        <v/>
      </c>
      <c r="M103" s="9">
        <f>IF(C103=0,0,L103/C103*100)</f>
        <v/>
      </c>
    </row>
    <row r="104">
      <c r="A104" s="7" t="n">
        <v>4</v>
      </c>
      <c r="B104" s="8">
        <f>B8</f>
        <v/>
      </c>
      <c r="C104" s="8">
        <f>C8</f>
        <v/>
      </c>
      <c r="D104" s="14" t="n"/>
      <c r="E104" s="14" t="n"/>
      <c r="F104" s="8">
        <f>D104+E104</f>
        <v/>
      </c>
      <c r="G104" s="14" t="n"/>
      <c r="H104" s="14" t="n"/>
      <c r="I104" s="8">
        <f>G104+H104</f>
        <v/>
      </c>
      <c r="J104" s="8">
        <f>D104+G104</f>
        <v/>
      </c>
      <c r="K104" s="8">
        <f>E104+H104</f>
        <v/>
      </c>
      <c r="L104" s="8">
        <f>J104+K104</f>
        <v/>
      </c>
      <c r="M104" s="9">
        <f>IF(C104=0,0,L104/C104*100)</f>
        <v/>
      </c>
    </row>
    <row r="105">
      <c r="A105" s="7" t="n">
        <v>5</v>
      </c>
      <c r="B105" s="8">
        <f>B9</f>
        <v/>
      </c>
      <c r="C105" s="8">
        <f>C9</f>
        <v/>
      </c>
      <c r="D105" s="14" t="n"/>
      <c r="E105" s="14" t="n"/>
      <c r="F105" s="8">
        <f>D105+E105</f>
        <v/>
      </c>
      <c r="G105" s="14" t="n"/>
      <c r="H105" s="14" t="n"/>
      <c r="I105" s="8">
        <f>G105+H105</f>
        <v/>
      </c>
      <c r="J105" s="8">
        <f>D105+G105</f>
        <v/>
      </c>
      <c r="K105" s="8">
        <f>E105+H105</f>
        <v/>
      </c>
      <c r="L105" s="8">
        <f>J105+K105</f>
        <v/>
      </c>
      <c r="M105" s="9">
        <f>IF(C105=0,0,L105/C105*100)</f>
        <v/>
      </c>
    </row>
    <row r="106">
      <c r="A106" s="7" t="n">
        <v>6</v>
      </c>
      <c r="B106" s="8">
        <f>B10</f>
        <v/>
      </c>
      <c r="C106" s="8">
        <f>C10</f>
        <v/>
      </c>
      <c r="D106" s="14" t="n"/>
      <c r="E106" s="14" t="n"/>
      <c r="F106" s="8">
        <f>D106+E106</f>
        <v/>
      </c>
      <c r="G106" s="14" t="n"/>
      <c r="H106" s="14" t="n"/>
      <c r="I106" s="8">
        <f>G106+H106</f>
        <v/>
      </c>
      <c r="J106" s="8">
        <f>D106+G106</f>
        <v/>
      </c>
      <c r="K106" s="8">
        <f>E106+H106</f>
        <v/>
      </c>
      <c r="L106" s="8">
        <f>J106+K106</f>
        <v/>
      </c>
      <c r="M106" s="9">
        <f>IF(C106=0,0,L106/C106*100)</f>
        <v/>
      </c>
    </row>
    <row r="107">
      <c r="A107" s="10" t="inlineStr">
        <is>
          <t>Total</t>
        </is>
      </c>
      <c r="B107" s="11">
        <f>SUM(B101:B106)</f>
        <v/>
      </c>
      <c r="C107" s="11">
        <f>SUM(C101:C106)</f>
        <v/>
      </c>
      <c r="D107" s="11">
        <f>SUM(D101:D106)</f>
        <v/>
      </c>
      <c r="E107" s="11">
        <f>SUM(E101:E106)</f>
        <v/>
      </c>
      <c r="F107" s="11">
        <f>D107+E107</f>
        <v/>
      </c>
      <c r="G107" s="11">
        <f>SUM(G101:G106)</f>
        <v/>
      </c>
      <c r="H107" s="11">
        <f>SUM(H101:H106)</f>
        <v/>
      </c>
      <c r="I107" s="11">
        <f>G107+H107</f>
        <v/>
      </c>
      <c r="J107" s="11">
        <f>D107+G107</f>
        <v/>
      </c>
      <c r="K107" s="11">
        <f>E107+H107</f>
        <v/>
      </c>
      <c r="L107" s="11">
        <f>J107+K107</f>
        <v/>
      </c>
      <c r="M107" s="12">
        <f>IF(C107=0,0,L107/C107*100)</f>
        <v/>
      </c>
    </row>
    <row r="109">
      <c r="A109" s="13" t="inlineStr">
        <is>
          <t>Day 9 - 2026-10-13 (Tue 27 Aswin 2083)</t>
        </is>
      </c>
    </row>
    <row r="110">
      <c r="A110" s="6" t="inlineStr">
        <is>
          <t>Ward no.</t>
        </is>
      </c>
      <c r="B110" s="6" t="inlineStr">
        <is>
          <t>Total population</t>
        </is>
      </c>
      <c r="C110" s="6" t="inlineStr">
        <is>
          <t>JE target population</t>
        </is>
      </c>
      <c r="D110" s="6" t="inlineStr">
        <is>
          <t>Vaccinated</t>
        </is>
      </c>
      <c r="E110" s="6" t="n"/>
      <c r="F110" s="6" t="n"/>
      <c r="G110" s="6" t="n"/>
      <c r="H110" s="6" t="n"/>
      <c r="I110" s="6" t="n"/>
      <c r="J110" s="6" t="n"/>
      <c r="K110" s="6" t="n"/>
      <c r="L110" s="6" t="n"/>
      <c r="M110" s="6" t="inlineStr">
        <is>
          <t>Progress %</t>
        </is>
      </c>
    </row>
    <row r="111">
      <c r="A111" s="6" t="n"/>
      <c r="B111" s="6" t="n"/>
      <c r="C111" s="6" t="n"/>
      <c r="D111" s="6" t="inlineStr">
        <is>
          <t>Age 30-60 yrs</t>
        </is>
      </c>
      <c r="E111" s="6" t="n"/>
      <c r="F111" s="6" t="n"/>
      <c r="G111" s="6" t="inlineStr">
        <is>
          <t>Age 60 above</t>
        </is>
      </c>
      <c r="H111" s="6" t="n"/>
      <c r="I111" s="6" t="n"/>
      <c r="J111" s="6" t="inlineStr">
        <is>
          <t>Total</t>
        </is>
      </c>
      <c r="K111" s="6" t="n"/>
      <c r="L111" s="6" t="inlineStr">
        <is>
          <t>Grand Total</t>
        </is>
      </c>
      <c r="M111" s="6" t="n"/>
    </row>
    <row r="112">
      <c r="A112" s="6" t="n"/>
      <c r="B112" s="6" t="n"/>
      <c r="C112" s="6" t="n"/>
      <c r="D112" s="6" t="inlineStr">
        <is>
          <t>F</t>
        </is>
      </c>
      <c r="E112" s="6" t="inlineStr">
        <is>
          <t>M</t>
        </is>
      </c>
      <c r="F112" s="6" t="inlineStr">
        <is>
          <t>Total</t>
        </is>
      </c>
      <c r="G112" s="6" t="inlineStr">
        <is>
          <t>F</t>
        </is>
      </c>
      <c r="H112" s="6" t="inlineStr">
        <is>
          <t>M</t>
        </is>
      </c>
      <c r="I112" s="6" t="inlineStr">
        <is>
          <t>Total</t>
        </is>
      </c>
      <c r="J112" s="6" t="inlineStr">
        <is>
          <t>F</t>
        </is>
      </c>
      <c r="K112" s="6" t="inlineStr">
        <is>
          <t>M</t>
        </is>
      </c>
      <c r="L112" s="6" t="n"/>
      <c r="M112" s="6" t="n"/>
    </row>
    <row r="113">
      <c r="A113" s="7" t="n">
        <v>1</v>
      </c>
      <c r="B113" s="8">
        <f>B5</f>
        <v/>
      </c>
      <c r="C113" s="8">
        <f>C5</f>
        <v/>
      </c>
      <c r="D113" s="14" t="n"/>
      <c r="E113" s="14" t="n"/>
      <c r="F113" s="8">
        <f>D113+E113</f>
        <v/>
      </c>
      <c r="G113" s="14" t="n"/>
      <c r="H113" s="14" t="n"/>
      <c r="I113" s="8">
        <f>G113+H113</f>
        <v/>
      </c>
      <c r="J113" s="8">
        <f>D113+G113</f>
        <v/>
      </c>
      <c r="K113" s="8">
        <f>E113+H113</f>
        <v/>
      </c>
      <c r="L113" s="8">
        <f>J113+K113</f>
        <v/>
      </c>
      <c r="M113" s="9">
        <f>IF(C113=0,0,L113/C113*100)</f>
        <v/>
      </c>
    </row>
    <row r="114">
      <c r="A114" s="7" t="n">
        <v>2</v>
      </c>
      <c r="B114" s="8">
        <f>B6</f>
        <v/>
      </c>
      <c r="C114" s="8">
        <f>C6</f>
        <v/>
      </c>
      <c r="D114" s="14" t="n"/>
      <c r="E114" s="14" t="n"/>
      <c r="F114" s="8">
        <f>D114+E114</f>
        <v/>
      </c>
      <c r="G114" s="14" t="n"/>
      <c r="H114" s="14" t="n"/>
      <c r="I114" s="8">
        <f>G114+H114</f>
        <v/>
      </c>
      <c r="J114" s="8">
        <f>D114+G114</f>
        <v/>
      </c>
      <c r="K114" s="8">
        <f>E114+H114</f>
        <v/>
      </c>
      <c r="L114" s="8">
        <f>J114+K114</f>
        <v/>
      </c>
      <c r="M114" s="9">
        <f>IF(C114=0,0,L114/C114*100)</f>
        <v/>
      </c>
    </row>
    <row r="115">
      <c r="A115" s="7" t="n">
        <v>3</v>
      </c>
      <c r="B115" s="8">
        <f>B7</f>
        <v/>
      </c>
      <c r="C115" s="8">
        <f>C7</f>
        <v/>
      </c>
      <c r="D115" s="14" t="n"/>
      <c r="E115" s="14" t="n"/>
      <c r="F115" s="8">
        <f>D115+E115</f>
        <v/>
      </c>
      <c r="G115" s="14" t="n"/>
      <c r="H115" s="14" t="n"/>
      <c r="I115" s="8">
        <f>G115+H115</f>
        <v/>
      </c>
      <c r="J115" s="8">
        <f>D115+G115</f>
        <v/>
      </c>
      <c r="K115" s="8">
        <f>E115+H115</f>
        <v/>
      </c>
      <c r="L115" s="8">
        <f>J115+K115</f>
        <v/>
      </c>
      <c r="M115" s="9">
        <f>IF(C115=0,0,L115/C115*100)</f>
        <v/>
      </c>
    </row>
    <row r="116">
      <c r="A116" s="7" t="n">
        <v>4</v>
      </c>
      <c r="B116" s="8">
        <f>B8</f>
        <v/>
      </c>
      <c r="C116" s="8">
        <f>C8</f>
        <v/>
      </c>
      <c r="D116" s="14" t="n"/>
      <c r="E116" s="14" t="n"/>
      <c r="F116" s="8">
        <f>D116+E116</f>
        <v/>
      </c>
      <c r="G116" s="14" t="n"/>
      <c r="H116" s="14" t="n"/>
      <c r="I116" s="8">
        <f>G116+H116</f>
        <v/>
      </c>
      <c r="J116" s="8">
        <f>D116+G116</f>
        <v/>
      </c>
      <c r="K116" s="8">
        <f>E116+H116</f>
        <v/>
      </c>
      <c r="L116" s="8">
        <f>J116+K116</f>
        <v/>
      </c>
      <c r="M116" s="9">
        <f>IF(C116=0,0,L116/C116*100)</f>
        <v/>
      </c>
    </row>
    <row r="117">
      <c r="A117" s="7" t="n">
        <v>5</v>
      </c>
      <c r="B117" s="8">
        <f>B9</f>
        <v/>
      </c>
      <c r="C117" s="8">
        <f>C9</f>
        <v/>
      </c>
      <c r="D117" s="14" t="n"/>
      <c r="E117" s="14" t="n"/>
      <c r="F117" s="8">
        <f>D117+E117</f>
        <v/>
      </c>
      <c r="G117" s="14" t="n"/>
      <c r="H117" s="14" t="n"/>
      <c r="I117" s="8">
        <f>G117+H117</f>
        <v/>
      </c>
      <c r="J117" s="8">
        <f>D117+G117</f>
        <v/>
      </c>
      <c r="K117" s="8">
        <f>E117+H117</f>
        <v/>
      </c>
      <c r="L117" s="8">
        <f>J117+K117</f>
        <v/>
      </c>
      <c r="M117" s="9">
        <f>IF(C117=0,0,L117/C117*100)</f>
        <v/>
      </c>
    </row>
    <row r="118">
      <c r="A118" s="7" t="n">
        <v>6</v>
      </c>
      <c r="B118" s="8">
        <f>B10</f>
        <v/>
      </c>
      <c r="C118" s="8">
        <f>C10</f>
        <v/>
      </c>
      <c r="D118" s="14" t="n"/>
      <c r="E118" s="14" t="n"/>
      <c r="F118" s="8">
        <f>D118+E118</f>
        <v/>
      </c>
      <c r="G118" s="14" t="n"/>
      <c r="H118" s="14" t="n"/>
      <c r="I118" s="8">
        <f>G118+H118</f>
        <v/>
      </c>
      <c r="J118" s="8">
        <f>D118+G118</f>
        <v/>
      </c>
      <c r="K118" s="8">
        <f>E118+H118</f>
        <v/>
      </c>
      <c r="L118" s="8">
        <f>J118+K118</f>
        <v/>
      </c>
      <c r="M118" s="9">
        <f>IF(C118=0,0,L118/C118*100)</f>
        <v/>
      </c>
    </row>
    <row r="119">
      <c r="A119" s="10" t="inlineStr">
        <is>
          <t>Total</t>
        </is>
      </c>
      <c r="B119" s="11">
        <f>SUM(B113:B118)</f>
        <v/>
      </c>
      <c r="C119" s="11">
        <f>SUM(C113:C118)</f>
        <v/>
      </c>
      <c r="D119" s="11">
        <f>SUM(D113:D118)</f>
        <v/>
      </c>
      <c r="E119" s="11">
        <f>SUM(E113:E118)</f>
        <v/>
      </c>
      <c r="F119" s="11">
        <f>D119+E119</f>
        <v/>
      </c>
      <c r="G119" s="11">
        <f>SUM(G113:G118)</f>
        <v/>
      </c>
      <c r="H119" s="11">
        <f>SUM(H113:H118)</f>
        <v/>
      </c>
      <c r="I119" s="11">
        <f>G119+H119</f>
        <v/>
      </c>
      <c r="J119" s="11">
        <f>D119+G119</f>
        <v/>
      </c>
      <c r="K119" s="11">
        <f>E119+H119</f>
        <v/>
      </c>
      <c r="L119" s="11">
        <f>J119+K119</f>
        <v/>
      </c>
      <c r="M119" s="12">
        <f>IF(C119=0,0,L119/C119*100)</f>
        <v/>
      </c>
    </row>
    <row r="121">
      <c r="A121" s="13" t="inlineStr">
        <is>
          <t>Day 10 - 2026-10-14 (Wed 28 Aswin 2083)</t>
        </is>
      </c>
    </row>
    <row r="122">
      <c r="A122" s="6" t="inlineStr">
        <is>
          <t>Ward no.</t>
        </is>
      </c>
      <c r="B122" s="6" t="inlineStr">
        <is>
          <t>Total population</t>
        </is>
      </c>
      <c r="C122" s="6" t="inlineStr">
        <is>
          <t>JE target population</t>
        </is>
      </c>
      <c r="D122" s="6" t="inlineStr">
        <is>
          <t>Vaccinated</t>
        </is>
      </c>
      <c r="E122" s="6" t="n"/>
      <c r="F122" s="6" t="n"/>
      <c r="G122" s="6" t="n"/>
      <c r="H122" s="6" t="n"/>
      <c r="I122" s="6" t="n"/>
      <c r="J122" s="6" t="n"/>
      <c r="K122" s="6" t="n"/>
      <c r="L122" s="6" t="n"/>
      <c r="M122" s="6" t="inlineStr">
        <is>
          <t>Progress %</t>
        </is>
      </c>
    </row>
    <row r="123">
      <c r="A123" s="6" t="n"/>
      <c r="B123" s="6" t="n"/>
      <c r="C123" s="6" t="n"/>
      <c r="D123" s="6" t="inlineStr">
        <is>
          <t>Age 30-60 yrs</t>
        </is>
      </c>
      <c r="E123" s="6" t="n"/>
      <c r="F123" s="6" t="n"/>
      <c r="G123" s="6" t="inlineStr">
        <is>
          <t>Age 60 above</t>
        </is>
      </c>
      <c r="H123" s="6" t="n"/>
      <c r="I123" s="6" t="n"/>
      <c r="J123" s="6" t="inlineStr">
        <is>
          <t>Total</t>
        </is>
      </c>
      <c r="K123" s="6" t="n"/>
      <c r="L123" s="6" t="inlineStr">
        <is>
          <t>Grand Total</t>
        </is>
      </c>
      <c r="M123" s="6" t="n"/>
    </row>
    <row r="124">
      <c r="A124" s="6" t="n"/>
      <c r="B124" s="6" t="n"/>
      <c r="C124" s="6" t="n"/>
      <c r="D124" s="6" t="inlineStr">
        <is>
          <t>F</t>
        </is>
      </c>
      <c r="E124" s="6" t="inlineStr">
        <is>
          <t>M</t>
        </is>
      </c>
      <c r="F124" s="6" t="inlineStr">
        <is>
          <t>Total</t>
        </is>
      </c>
      <c r="G124" s="6" t="inlineStr">
        <is>
          <t>F</t>
        </is>
      </c>
      <c r="H124" s="6" t="inlineStr">
        <is>
          <t>M</t>
        </is>
      </c>
      <c r="I124" s="6" t="inlineStr">
        <is>
          <t>Total</t>
        </is>
      </c>
      <c r="J124" s="6" t="inlineStr">
        <is>
          <t>F</t>
        </is>
      </c>
      <c r="K124" s="6" t="inlineStr">
        <is>
          <t>M</t>
        </is>
      </c>
      <c r="L124" s="6" t="n"/>
      <c r="M124" s="6" t="n"/>
    </row>
    <row r="125">
      <c r="A125" s="7" t="n">
        <v>1</v>
      </c>
      <c r="B125" s="8">
        <f>B5</f>
        <v/>
      </c>
      <c r="C125" s="8">
        <f>C5</f>
        <v/>
      </c>
      <c r="D125" s="14" t="n"/>
      <c r="E125" s="14" t="n"/>
      <c r="F125" s="8">
        <f>D125+E125</f>
        <v/>
      </c>
      <c r="G125" s="14" t="n"/>
      <c r="H125" s="14" t="n"/>
      <c r="I125" s="8">
        <f>G125+H125</f>
        <v/>
      </c>
      <c r="J125" s="8">
        <f>D125+G125</f>
        <v/>
      </c>
      <c r="K125" s="8">
        <f>E125+H125</f>
        <v/>
      </c>
      <c r="L125" s="8">
        <f>J125+K125</f>
        <v/>
      </c>
      <c r="M125" s="9">
        <f>IF(C125=0,0,L125/C125*100)</f>
        <v/>
      </c>
    </row>
    <row r="126">
      <c r="A126" s="7" t="n">
        <v>2</v>
      </c>
      <c r="B126" s="8">
        <f>B6</f>
        <v/>
      </c>
      <c r="C126" s="8">
        <f>C6</f>
        <v/>
      </c>
      <c r="D126" s="14" t="n"/>
      <c r="E126" s="14" t="n"/>
      <c r="F126" s="8">
        <f>D126+E126</f>
        <v/>
      </c>
      <c r="G126" s="14" t="n"/>
      <c r="H126" s="14" t="n"/>
      <c r="I126" s="8">
        <f>G126+H126</f>
        <v/>
      </c>
      <c r="J126" s="8">
        <f>D126+G126</f>
        <v/>
      </c>
      <c r="K126" s="8">
        <f>E126+H126</f>
        <v/>
      </c>
      <c r="L126" s="8">
        <f>J126+K126</f>
        <v/>
      </c>
      <c r="M126" s="9">
        <f>IF(C126=0,0,L126/C126*100)</f>
        <v/>
      </c>
    </row>
    <row r="127">
      <c r="A127" s="7" t="n">
        <v>3</v>
      </c>
      <c r="B127" s="8">
        <f>B7</f>
        <v/>
      </c>
      <c r="C127" s="8">
        <f>C7</f>
        <v/>
      </c>
      <c r="D127" s="14" t="n"/>
      <c r="E127" s="14" t="n"/>
      <c r="F127" s="8">
        <f>D127+E127</f>
        <v/>
      </c>
      <c r="G127" s="14" t="n"/>
      <c r="H127" s="14" t="n"/>
      <c r="I127" s="8">
        <f>G127+H127</f>
        <v/>
      </c>
      <c r="J127" s="8">
        <f>D127+G127</f>
        <v/>
      </c>
      <c r="K127" s="8">
        <f>E127+H127</f>
        <v/>
      </c>
      <c r="L127" s="8">
        <f>J127+K127</f>
        <v/>
      </c>
      <c r="M127" s="9">
        <f>IF(C127=0,0,L127/C127*100)</f>
        <v/>
      </c>
    </row>
    <row r="128">
      <c r="A128" s="7" t="n">
        <v>4</v>
      </c>
      <c r="B128" s="8">
        <f>B8</f>
        <v/>
      </c>
      <c r="C128" s="8">
        <f>C8</f>
        <v/>
      </c>
      <c r="D128" s="14" t="n"/>
      <c r="E128" s="14" t="n"/>
      <c r="F128" s="8">
        <f>D128+E128</f>
        <v/>
      </c>
      <c r="G128" s="14" t="n"/>
      <c r="H128" s="14" t="n"/>
      <c r="I128" s="8">
        <f>G128+H128</f>
        <v/>
      </c>
      <c r="J128" s="8">
        <f>D128+G128</f>
        <v/>
      </c>
      <c r="K128" s="8">
        <f>E128+H128</f>
        <v/>
      </c>
      <c r="L128" s="8">
        <f>J128+K128</f>
        <v/>
      </c>
      <c r="M128" s="9">
        <f>IF(C128=0,0,L128/C128*100)</f>
        <v/>
      </c>
    </row>
    <row r="129">
      <c r="A129" s="7" t="n">
        <v>5</v>
      </c>
      <c r="B129" s="8">
        <f>B9</f>
        <v/>
      </c>
      <c r="C129" s="8">
        <f>C9</f>
        <v/>
      </c>
      <c r="D129" s="14" t="n"/>
      <c r="E129" s="14" t="n"/>
      <c r="F129" s="8">
        <f>D129+E129</f>
        <v/>
      </c>
      <c r="G129" s="14" t="n"/>
      <c r="H129" s="14" t="n"/>
      <c r="I129" s="8">
        <f>G129+H129</f>
        <v/>
      </c>
      <c r="J129" s="8">
        <f>D129+G129</f>
        <v/>
      </c>
      <c r="K129" s="8">
        <f>E129+H129</f>
        <v/>
      </c>
      <c r="L129" s="8">
        <f>J129+K129</f>
        <v/>
      </c>
      <c r="M129" s="9">
        <f>IF(C129=0,0,L129/C129*100)</f>
        <v/>
      </c>
    </row>
    <row r="130">
      <c r="A130" s="7" t="n">
        <v>6</v>
      </c>
      <c r="B130" s="8">
        <f>B10</f>
        <v/>
      </c>
      <c r="C130" s="8">
        <f>C10</f>
        <v/>
      </c>
      <c r="D130" s="14" t="n"/>
      <c r="E130" s="14" t="n"/>
      <c r="F130" s="8">
        <f>D130+E130</f>
        <v/>
      </c>
      <c r="G130" s="14" t="n"/>
      <c r="H130" s="14" t="n"/>
      <c r="I130" s="8">
        <f>G130+H130</f>
        <v/>
      </c>
      <c r="J130" s="8">
        <f>D130+G130</f>
        <v/>
      </c>
      <c r="K130" s="8">
        <f>E130+H130</f>
        <v/>
      </c>
      <c r="L130" s="8">
        <f>J130+K130</f>
        <v/>
      </c>
      <c r="M130" s="9">
        <f>IF(C130=0,0,L130/C130*100)</f>
        <v/>
      </c>
    </row>
    <row r="131">
      <c r="A131" s="10" t="inlineStr">
        <is>
          <t>Total</t>
        </is>
      </c>
      <c r="B131" s="11">
        <f>SUM(B125:B130)</f>
        <v/>
      </c>
      <c r="C131" s="11">
        <f>SUM(C125:C130)</f>
        <v/>
      </c>
      <c r="D131" s="11">
        <f>SUM(D125:D130)</f>
        <v/>
      </c>
      <c r="E131" s="11">
        <f>SUM(E125:E130)</f>
        <v/>
      </c>
      <c r="F131" s="11">
        <f>D131+E131</f>
        <v/>
      </c>
      <c r="G131" s="11">
        <f>SUM(G125:G130)</f>
        <v/>
      </c>
      <c r="H131" s="11">
        <f>SUM(H125:H130)</f>
        <v/>
      </c>
      <c r="I131" s="11">
        <f>G131+H131</f>
        <v/>
      </c>
      <c r="J131" s="11">
        <f>D131+G131</f>
        <v/>
      </c>
      <c r="K131" s="11">
        <f>E131+H131</f>
        <v/>
      </c>
      <c r="L131" s="11">
        <f>J131+K131</f>
        <v/>
      </c>
      <c r="M131" s="12">
        <f>IF(C131=0,0,L131/C131*100)</f>
        <v/>
      </c>
    </row>
    <row r="133">
      <c r="A133" s="13" t="inlineStr">
        <is>
          <t>Day 11 - 2026-10-15 (Thu 29 Aswin 2083)</t>
        </is>
      </c>
    </row>
    <row r="134">
      <c r="A134" s="6" t="inlineStr">
        <is>
          <t>Ward no.</t>
        </is>
      </c>
      <c r="B134" s="6" t="inlineStr">
        <is>
          <t>Total population</t>
        </is>
      </c>
      <c r="C134" s="6" t="inlineStr">
        <is>
          <t>JE target population</t>
        </is>
      </c>
      <c r="D134" s="6" t="inlineStr">
        <is>
          <t>Vaccinated</t>
        </is>
      </c>
      <c r="E134" s="6" t="n"/>
      <c r="F134" s="6" t="n"/>
      <c r="G134" s="6" t="n"/>
      <c r="H134" s="6" t="n"/>
      <c r="I134" s="6" t="n"/>
      <c r="J134" s="6" t="n"/>
      <c r="K134" s="6" t="n"/>
      <c r="L134" s="6" t="n"/>
      <c r="M134" s="6" t="inlineStr">
        <is>
          <t>Progress %</t>
        </is>
      </c>
    </row>
    <row r="135">
      <c r="A135" s="6" t="n"/>
      <c r="B135" s="6" t="n"/>
      <c r="C135" s="6" t="n"/>
      <c r="D135" s="6" t="inlineStr">
        <is>
          <t>Age 30-60 yrs</t>
        </is>
      </c>
      <c r="E135" s="6" t="n"/>
      <c r="F135" s="6" t="n"/>
      <c r="G135" s="6" t="inlineStr">
        <is>
          <t>Age 60 above</t>
        </is>
      </c>
      <c r="H135" s="6" t="n"/>
      <c r="I135" s="6" t="n"/>
      <c r="J135" s="6" t="inlineStr">
        <is>
          <t>Total</t>
        </is>
      </c>
      <c r="K135" s="6" t="n"/>
      <c r="L135" s="6" t="inlineStr">
        <is>
          <t>Grand Total</t>
        </is>
      </c>
      <c r="M135" s="6" t="n"/>
    </row>
    <row r="136">
      <c r="A136" s="6" t="n"/>
      <c r="B136" s="6" t="n"/>
      <c r="C136" s="6" t="n"/>
      <c r="D136" s="6" t="inlineStr">
        <is>
          <t>F</t>
        </is>
      </c>
      <c r="E136" s="6" t="inlineStr">
        <is>
          <t>M</t>
        </is>
      </c>
      <c r="F136" s="6" t="inlineStr">
        <is>
          <t>Total</t>
        </is>
      </c>
      <c r="G136" s="6" t="inlineStr">
        <is>
          <t>F</t>
        </is>
      </c>
      <c r="H136" s="6" t="inlineStr">
        <is>
          <t>M</t>
        </is>
      </c>
      <c r="I136" s="6" t="inlineStr">
        <is>
          <t>Total</t>
        </is>
      </c>
      <c r="J136" s="6" t="inlineStr">
        <is>
          <t>F</t>
        </is>
      </c>
      <c r="K136" s="6" t="inlineStr">
        <is>
          <t>M</t>
        </is>
      </c>
      <c r="L136" s="6" t="n"/>
      <c r="M136" s="6" t="n"/>
    </row>
    <row r="137">
      <c r="A137" s="7" t="n">
        <v>1</v>
      </c>
      <c r="B137" s="8">
        <f>B5</f>
        <v/>
      </c>
      <c r="C137" s="8">
        <f>C5</f>
        <v/>
      </c>
      <c r="D137" s="14" t="n"/>
      <c r="E137" s="14" t="n"/>
      <c r="F137" s="8">
        <f>D137+E137</f>
        <v/>
      </c>
      <c r="G137" s="14" t="n"/>
      <c r="H137" s="14" t="n"/>
      <c r="I137" s="8">
        <f>G137+H137</f>
        <v/>
      </c>
      <c r="J137" s="8">
        <f>D137+G137</f>
        <v/>
      </c>
      <c r="K137" s="8">
        <f>E137+H137</f>
        <v/>
      </c>
      <c r="L137" s="8">
        <f>J137+K137</f>
        <v/>
      </c>
      <c r="M137" s="9">
        <f>IF(C137=0,0,L137/C137*100)</f>
        <v/>
      </c>
    </row>
    <row r="138">
      <c r="A138" s="7" t="n">
        <v>2</v>
      </c>
      <c r="B138" s="8">
        <f>B6</f>
        <v/>
      </c>
      <c r="C138" s="8">
        <f>C6</f>
        <v/>
      </c>
      <c r="D138" s="14" t="n"/>
      <c r="E138" s="14" t="n"/>
      <c r="F138" s="8">
        <f>D138+E138</f>
        <v/>
      </c>
      <c r="G138" s="14" t="n"/>
      <c r="H138" s="14" t="n"/>
      <c r="I138" s="8">
        <f>G138+H138</f>
        <v/>
      </c>
      <c r="J138" s="8">
        <f>D138+G138</f>
        <v/>
      </c>
      <c r="K138" s="8">
        <f>E138+H138</f>
        <v/>
      </c>
      <c r="L138" s="8">
        <f>J138+K138</f>
        <v/>
      </c>
      <c r="M138" s="9">
        <f>IF(C138=0,0,L138/C138*100)</f>
        <v/>
      </c>
    </row>
    <row r="139">
      <c r="A139" s="7" t="n">
        <v>3</v>
      </c>
      <c r="B139" s="8">
        <f>B7</f>
        <v/>
      </c>
      <c r="C139" s="8">
        <f>C7</f>
        <v/>
      </c>
      <c r="D139" s="14" t="n"/>
      <c r="E139" s="14" t="n"/>
      <c r="F139" s="8">
        <f>D139+E139</f>
        <v/>
      </c>
      <c r="G139" s="14" t="n"/>
      <c r="H139" s="14" t="n"/>
      <c r="I139" s="8">
        <f>G139+H139</f>
        <v/>
      </c>
      <c r="J139" s="8">
        <f>D139+G139</f>
        <v/>
      </c>
      <c r="K139" s="8">
        <f>E139+H139</f>
        <v/>
      </c>
      <c r="L139" s="8">
        <f>J139+K139</f>
        <v/>
      </c>
      <c r="M139" s="9">
        <f>IF(C139=0,0,L139/C139*100)</f>
        <v/>
      </c>
    </row>
    <row r="140">
      <c r="A140" s="7" t="n">
        <v>4</v>
      </c>
      <c r="B140" s="8">
        <f>B8</f>
        <v/>
      </c>
      <c r="C140" s="8">
        <f>C8</f>
        <v/>
      </c>
      <c r="D140" s="14" t="n"/>
      <c r="E140" s="14" t="n"/>
      <c r="F140" s="8">
        <f>D140+E140</f>
        <v/>
      </c>
      <c r="G140" s="14" t="n"/>
      <c r="H140" s="14" t="n"/>
      <c r="I140" s="8">
        <f>G140+H140</f>
        <v/>
      </c>
      <c r="J140" s="8">
        <f>D140+G140</f>
        <v/>
      </c>
      <c r="K140" s="8">
        <f>E140+H140</f>
        <v/>
      </c>
      <c r="L140" s="8">
        <f>J140+K140</f>
        <v/>
      </c>
      <c r="M140" s="9">
        <f>IF(C140=0,0,L140/C140*100)</f>
        <v/>
      </c>
    </row>
    <row r="141">
      <c r="A141" s="7" t="n">
        <v>5</v>
      </c>
      <c r="B141" s="8">
        <f>B9</f>
        <v/>
      </c>
      <c r="C141" s="8">
        <f>C9</f>
        <v/>
      </c>
      <c r="D141" s="14" t="n"/>
      <c r="E141" s="14" t="n"/>
      <c r="F141" s="8">
        <f>D141+E141</f>
        <v/>
      </c>
      <c r="G141" s="14" t="n"/>
      <c r="H141" s="14" t="n"/>
      <c r="I141" s="8">
        <f>G141+H141</f>
        <v/>
      </c>
      <c r="J141" s="8">
        <f>D141+G141</f>
        <v/>
      </c>
      <c r="K141" s="8">
        <f>E141+H141</f>
        <v/>
      </c>
      <c r="L141" s="8">
        <f>J141+K141</f>
        <v/>
      </c>
      <c r="M141" s="9">
        <f>IF(C141=0,0,L141/C141*100)</f>
        <v/>
      </c>
    </row>
    <row r="142">
      <c r="A142" s="7" t="n">
        <v>6</v>
      </c>
      <c r="B142" s="8">
        <f>B10</f>
        <v/>
      </c>
      <c r="C142" s="8">
        <f>C10</f>
        <v/>
      </c>
      <c r="D142" s="14" t="n"/>
      <c r="E142" s="14" t="n"/>
      <c r="F142" s="8">
        <f>D142+E142</f>
        <v/>
      </c>
      <c r="G142" s="14" t="n"/>
      <c r="H142" s="14" t="n"/>
      <c r="I142" s="8">
        <f>G142+H142</f>
        <v/>
      </c>
      <c r="J142" s="8">
        <f>D142+G142</f>
        <v/>
      </c>
      <c r="K142" s="8">
        <f>E142+H142</f>
        <v/>
      </c>
      <c r="L142" s="8">
        <f>J142+K142</f>
        <v/>
      </c>
      <c r="M142" s="9">
        <f>IF(C142=0,0,L142/C142*100)</f>
        <v/>
      </c>
    </row>
    <row r="143">
      <c r="A143" s="10" t="inlineStr">
        <is>
          <t>Total</t>
        </is>
      </c>
      <c r="B143" s="11">
        <f>SUM(B137:B142)</f>
        <v/>
      </c>
      <c r="C143" s="11">
        <f>SUM(C137:C142)</f>
        <v/>
      </c>
      <c r="D143" s="11">
        <f>SUM(D137:D142)</f>
        <v/>
      </c>
      <c r="E143" s="11">
        <f>SUM(E137:E142)</f>
        <v/>
      </c>
      <c r="F143" s="11">
        <f>D143+E143</f>
        <v/>
      </c>
      <c r="G143" s="11">
        <f>SUM(G137:G142)</f>
        <v/>
      </c>
      <c r="H143" s="11">
        <f>SUM(H137:H142)</f>
        <v/>
      </c>
      <c r="I143" s="11">
        <f>G143+H143</f>
        <v/>
      </c>
      <c r="J143" s="11">
        <f>D143+G143</f>
        <v/>
      </c>
      <c r="K143" s="11">
        <f>E143+H143</f>
        <v/>
      </c>
      <c r="L143" s="11">
        <f>J143+K143</f>
        <v/>
      </c>
      <c r="M143" s="12">
        <f>IF(C143=0,0,L143/C143*100)</f>
        <v/>
      </c>
    </row>
    <row r="145">
      <c r="A145" s="13" t="inlineStr">
        <is>
          <t>Day 12 - 2026-10-16 (Fri 30 Aswin 2083)</t>
        </is>
      </c>
    </row>
    <row r="146">
      <c r="A146" s="6" t="inlineStr">
        <is>
          <t>Ward no.</t>
        </is>
      </c>
      <c r="B146" s="6" t="inlineStr">
        <is>
          <t>Total population</t>
        </is>
      </c>
      <c r="C146" s="6" t="inlineStr">
        <is>
          <t>JE target population</t>
        </is>
      </c>
      <c r="D146" s="6" t="inlineStr">
        <is>
          <t>Vaccinated</t>
        </is>
      </c>
      <c r="E146" s="6" t="n"/>
      <c r="F146" s="6" t="n"/>
      <c r="G146" s="6" t="n"/>
      <c r="H146" s="6" t="n"/>
      <c r="I146" s="6" t="n"/>
      <c r="J146" s="6" t="n"/>
      <c r="K146" s="6" t="n"/>
      <c r="L146" s="6" t="n"/>
      <c r="M146" s="6" t="inlineStr">
        <is>
          <t>Progress %</t>
        </is>
      </c>
    </row>
    <row r="147">
      <c r="A147" s="6" t="n"/>
      <c r="B147" s="6" t="n"/>
      <c r="C147" s="6" t="n"/>
      <c r="D147" s="6" t="inlineStr">
        <is>
          <t>Age 30-60 yrs</t>
        </is>
      </c>
      <c r="E147" s="6" t="n"/>
      <c r="F147" s="6" t="n"/>
      <c r="G147" s="6" t="inlineStr">
        <is>
          <t>Age 60 above</t>
        </is>
      </c>
      <c r="H147" s="6" t="n"/>
      <c r="I147" s="6" t="n"/>
      <c r="J147" s="6" t="inlineStr">
        <is>
          <t>Total</t>
        </is>
      </c>
      <c r="K147" s="6" t="n"/>
      <c r="L147" s="6" t="inlineStr">
        <is>
          <t>Grand Total</t>
        </is>
      </c>
      <c r="M147" s="6" t="n"/>
    </row>
    <row r="148">
      <c r="A148" s="6" t="n"/>
      <c r="B148" s="6" t="n"/>
      <c r="C148" s="6" t="n"/>
      <c r="D148" s="6" t="inlineStr">
        <is>
          <t>F</t>
        </is>
      </c>
      <c r="E148" s="6" t="inlineStr">
        <is>
          <t>M</t>
        </is>
      </c>
      <c r="F148" s="6" t="inlineStr">
        <is>
          <t>Total</t>
        </is>
      </c>
      <c r="G148" s="6" t="inlineStr">
        <is>
          <t>F</t>
        </is>
      </c>
      <c r="H148" s="6" t="inlineStr">
        <is>
          <t>M</t>
        </is>
      </c>
      <c r="I148" s="6" t="inlineStr">
        <is>
          <t>Total</t>
        </is>
      </c>
      <c r="J148" s="6" t="inlineStr">
        <is>
          <t>F</t>
        </is>
      </c>
      <c r="K148" s="6" t="inlineStr">
        <is>
          <t>M</t>
        </is>
      </c>
      <c r="L148" s="6" t="n"/>
      <c r="M148" s="6" t="n"/>
    </row>
    <row r="149">
      <c r="A149" s="7" t="n">
        <v>1</v>
      </c>
      <c r="B149" s="8">
        <f>B5</f>
        <v/>
      </c>
      <c r="C149" s="8">
        <f>C5</f>
        <v/>
      </c>
      <c r="D149" s="14" t="n"/>
      <c r="E149" s="14" t="n"/>
      <c r="F149" s="8">
        <f>D149+E149</f>
        <v/>
      </c>
      <c r="G149" s="14" t="n"/>
      <c r="H149" s="14" t="n"/>
      <c r="I149" s="8">
        <f>G149+H149</f>
        <v/>
      </c>
      <c r="J149" s="8">
        <f>D149+G149</f>
        <v/>
      </c>
      <c r="K149" s="8">
        <f>E149+H149</f>
        <v/>
      </c>
      <c r="L149" s="8">
        <f>J149+K149</f>
        <v/>
      </c>
      <c r="M149" s="9">
        <f>IF(C149=0,0,L149/C149*100)</f>
        <v/>
      </c>
    </row>
    <row r="150">
      <c r="A150" s="7" t="n">
        <v>2</v>
      </c>
      <c r="B150" s="8">
        <f>B6</f>
        <v/>
      </c>
      <c r="C150" s="8">
        <f>C6</f>
        <v/>
      </c>
      <c r="D150" s="14" t="n"/>
      <c r="E150" s="14" t="n"/>
      <c r="F150" s="8">
        <f>D150+E150</f>
        <v/>
      </c>
      <c r="G150" s="14" t="n"/>
      <c r="H150" s="14" t="n"/>
      <c r="I150" s="8">
        <f>G150+H150</f>
        <v/>
      </c>
      <c r="J150" s="8">
        <f>D150+G150</f>
        <v/>
      </c>
      <c r="K150" s="8">
        <f>E150+H150</f>
        <v/>
      </c>
      <c r="L150" s="8">
        <f>J150+K150</f>
        <v/>
      </c>
      <c r="M150" s="9">
        <f>IF(C150=0,0,L150/C150*100)</f>
        <v/>
      </c>
    </row>
    <row r="151">
      <c r="A151" s="7" t="n">
        <v>3</v>
      </c>
      <c r="B151" s="8">
        <f>B7</f>
        <v/>
      </c>
      <c r="C151" s="8">
        <f>C7</f>
        <v/>
      </c>
      <c r="D151" s="14" t="n"/>
      <c r="E151" s="14" t="n"/>
      <c r="F151" s="8">
        <f>D151+E151</f>
        <v/>
      </c>
      <c r="G151" s="14" t="n"/>
      <c r="H151" s="14" t="n"/>
      <c r="I151" s="8">
        <f>G151+H151</f>
        <v/>
      </c>
      <c r="J151" s="8">
        <f>D151+G151</f>
        <v/>
      </c>
      <c r="K151" s="8">
        <f>E151+H151</f>
        <v/>
      </c>
      <c r="L151" s="8">
        <f>J151+K151</f>
        <v/>
      </c>
      <c r="M151" s="9">
        <f>IF(C151=0,0,L151/C151*100)</f>
        <v/>
      </c>
    </row>
    <row r="152">
      <c r="A152" s="7" t="n">
        <v>4</v>
      </c>
      <c r="B152" s="8">
        <f>B8</f>
        <v/>
      </c>
      <c r="C152" s="8">
        <f>C8</f>
        <v/>
      </c>
      <c r="D152" s="14" t="n"/>
      <c r="E152" s="14" t="n"/>
      <c r="F152" s="8">
        <f>D152+E152</f>
        <v/>
      </c>
      <c r="G152" s="14" t="n"/>
      <c r="H152" s="14" t="n"/>
      <c r="I152" s="8">
        <f>G152+H152</f>
        <v/>
      </c>
      <c r="J152" s="8">
        <f>D152+G152</f>
        <v/>
      </c>
      <c r="K152" s="8">
        <f>E152+H152</f>
        <v/>
      </c>
      <c r="L152" s="8">
        <f>J152+K152</f>
        <v/>
      </c>
      <c r="M152" s="9">
        <f>IF(C152=0,0,L152/C152*100)</f>
        <v/>
      </c>
    </row>
    <row r="153">
      <c r="A153" s="7" t="n">
        <v>5</v>
      </c>
      <c r="B153" s="8">
        <f>B9</f>
        <v/>
      </c>
      <c r="C153" s="8">
        <f>C9</f>
        <v/>
      </c>
      <c r="D153" s="14" t="n"/>
      <c r="E153" s="14" t="n"/>
      <c r="F153" s="8">
        <f>D153+E153</f>
        <v/>
      </c>
      <c r="G153" s="14" t="n"/>
      <c r="H153" s="14" t="n"/>
      <c r="I153" s="8">
        <f>G153+H153</f>
        <v/>
      </c>
      <c r="J153" s="8">
        <f>D153+G153</f>
        <v/>
      </c>
      <c r="K153" s="8">
        <f>E153+H153</f>
        <v/>
      </c>
      <c r="L153" s="8">
        <f>J153+K153</f>
        <v/>
      </c>
      <c r="M153" s="9">
        <f>IF(C153=0,0,L153/C153*100)</f>
        <v/>
      </c>
    </row>
    <row r="154">
      <c r="A154" s="7" t="n">
        <v>6</v>
      </c>
      <c r="B154" s="8">
        <f>B10</f>
        <v/>
      </c>
      <c r="C154" s="8">
        <f>C10</f>
        <v/>
      </c>
      <c r="D154" s="14" t="n"/>
      <c r="E154" s="14" t="n"/>
      <c r="F154" s="8">
        <f>D154+E154</f>
        <v/>
      </c>
      <c r="G154" s="14" t="n"/>
      <c r="H154" s="14" t="n"/>
      <c r="I154" s="8">
        <f>G154+H154</f>
        <v/>
      </c>
      <c r="J154" s="8">
        <f>D154+G154</f>
        <v/>
      </c>
      <c r="K154" s="8">
        <f>E154+H154</f>
        <v/>
      </c>
      <c r="L154" s="8">
        <f>J154+K154</f>
        <v/>
      </c>
      <c r="M154" s="9">
        <f>IF(C154=0,0,L154/C154*100)</f>
        <v/>
      </c>
    </row>
    <row r="155">
      <c r="A155" s="10" t="inlineStr">
        <is>
          <t>Total</t>
        </is>
      </c>
      <c r="B155" s="11">
        <f>SUM(B149:B154)</f>
        <v/>
      </c>
      <c r="C155" s="11">
        <f>SUM(C149:C154)</f>
        <v/>
      </c>
      <c r="D155" s="11">
        <f>SUM(D149:D154)</f>
        <v/>
      </c>
      <c r="E155" s="11">
        <f>SUM(E149:E154)</f>
        <v/>
      </c>
      <c r="F155" s="11">
        <f>D155+E155</f>
        <v/>
      </c>
      <c r="G155" s="11">
        <f>SUM(G149:G154)</f>
        <v/>
      </c>
      <c r="H155" s="11">
        <f>SUM(H149:H154)</f>
        <v/>
      </c>
      <c r="I155" s="11">
        <f>G155+H155</f>
        <v/>
      </c>
      <c r="J155" s="11">
        <f>D155+G155</f>
        <v/>
      </c>
      <c r="K155" s="11">
        <f>E155+H155</f>
        <v/>
      </c>
      <c r="L155" s="11">
        <f>J155+K155</f>
        <v/>
      </c>
      <c r="M155" s="12">
        <f>IF(C155=0,0,L155/C155*100)</f>
        <v/>
      </c>
    </row>
    <row r="157">
      <c r="A157" s="13" t="inlineStr">
        <is>
          <t>Day 13 - 2026-10-17 (Sat 31 Aswin 2083)</t>
        </is>
      </c>
    </row>
    <row r="158">
      <c r="A158" s="6" t="inlineStr">
        <is>
          <t>Ward no.</t>
        </is>
      </c>
      <c r="B158" s="6" t="inlineStr">
        <is>
          <t>Total population</t>
        </is>
      </c>
      <c r="C158" s="6" t="inlineStr">
        <is>
          <t>JE target population</t>
        </is>
      </c>
      <c r="D158" s="6" t="inlineStr">
        <is>
          <t>Vaccinated</t>
        </is>
      </c>
      <c r="E158" s="6" t="n"/>
      <c r="F158" s="6" t="n"/>
      <c r="G158" s="6" t="n"/>
      <c r="H158" s="6" t="n"/>
      <c r="I158" s="6" t="n"/>
      <c r="J158" s="6" t="n"/>
      <c r="K158" s="6" t="n"/>
      <c r="L158" s="6" t="n"/>
      <c r="M158" s="6" t="inlineStr">
        <is>
          <t>Progress %</t>
        </is>
      </c>
    </row>
    <row r="159">
      <c r="A159" s="6" t="n"/>
      <c r="B159" s="6" t="n"/>
      <c r="C159" s="6" t="n"/>
      <c r="D159" s="6" t="inlineStr">
        <is>
          <t>Age 30-60 yrs</t>
        </is>
      </c>
      <c r="E159" s="6" t="n"/>
      <c r="F159" s="6" t="n"/>
      <c r="G159" s="6" t="inlineStr">
        <is>
          <t>Age 60 above</t>
        </is>
      </c>
      <c r="H159" s="6" t="n"/>
      <c r="I159" s="6" t="n"/>
      <c r="J159" s="6" t="inlineStr">
        <is>
          <t>Total</t>
        </is>
      </c>
      <c r="K159" s="6" t="n"/>
      <c r="L159" s="6" t="inlineStr">
        <is>
          <t>Grand Total</t>
        </is>
      </c>
      <c r="M159" s="6" t="n"/>
    </row>
    <row r="160">
      <c r="A160" s="6" t="n"/>
      <c r="B160" s="6" t="n"/>
      <c r="C160" s="6" t="n"/>
      <c r="D160" s="6" t="inlineStr">
        <is>
          <t>F</t>
        </is>
      </c>
      <c r="E160" s="6" t="inlineStr">
        <is>
          <t>M</t>
        </is>
      </c>
      <c r="F160" s="6" t="inlineStr">
        <is>
          <t>Total</t>
        </is>
      </c>
      <c r="G160" s="6" t="inlineStr">
        <is>
          <t>F</t>
        </is>
      </c>
      <c r="H160" s="6" t="inlineStr">
        <is>
          <t>M</t>
        </is>
      </c>
      <c r="I160" s="6" t="inlineStr">
        <is>
          <t>Total</t>
        </is>
      </c>
      <c r="J160" s="6" t="inlineStr">
        <is>
          <t>F</t>
        </is>
      </c>
      <c r="K160" s="6" t="inlineStr">
        <is>
          <t>M</t>
        </is>
      </c>
      <c r="L160" s="6" t="n"/>
      <c r="M160" s="6" t="n"/>
    </row>
    <row r="161">
      <c r="A161" s="7" t="n">
        <v>1</v>
      </c>
      <c r="B161" s="8">
        <f>B5</f>
        <v/>
      </c>
      <c r="C161" s="8">
        <f>C5</f>
        <v/>
      </c>
      <c r="D161" s="14" t="n"/>
      <c r="E161" s="14" t="n"/>
      <c r="F161" s="8">
        <f>D161+E161</f>
        <v/>
      </c>
      <c r="G161" s="14" t="n"/>
      <c r="H161" s="14" t="n"/>
      <c r="I161" s="8">
        <f>G161+H161</f>
        <v/>
      </c>
      <c r="J161" s="8">
        <f>D161+G161</f>
        <v/>
      </c>
      <c r="K161" s="8">
        <f>E161+H161</f>
        <v/>
      </c>
      <c r="L161" s="8">
        <f>J161+K161</f>
        <v/>
      </c>
      <c r="M161" s="9">
        <f>IF(C161=0,0,L161/C161*100)</f>
        <v/>
      </c>
    </row>
    <row r="162">
      <c r="A162" s="7" t="n">
        <v>2</v>
      </c>
      <c r="B162" s="8">
        <f>B6</f>
        <v/>
      </c>
      <c r="C162" s="8">
        <f>C6</f>
        <v/>
      </c>
      <c r="D162" s="14" t="n"/>
      <c r="E162" s="14" t="n"/>
      <c r="F162" s="8">
        <f>D162+E162</f>
        <v/>
      </c>
      <c r="G162" s="14" t="n"/>
      <c r="H162" s="14" t="n"/>
      <c r="I162" s="8">
        <f>G162+H162</f>
        <v/>
      </c>
      <c r="J162" s="8">
        <f>D162+G162</f>
        <v/>
      </c>
      <c r="K162" s="8">
        <f>E162+H162</f>
        <v/>
      </c>
      <c r="L162" s="8">
        <f>J162+K162</f>
        <v/>
      </c>
      <c r="M162" s="9">
        <f>IF(C162=0,0,L162/C162*100)</f>
        <v/>
      </c>
    </row>
    <row r="163">
      <c r="A163" s="7" t="n">
        <v>3</v>
      </c>
      <c r="B163" s="8">
        <f>B7</f>
        <v/>
      </c>
      <c r="C163" s="8">
        <f>C7</f>
        <v/>
      </c>
      <c r="D163" s="14" t="n"/>
      <c r="E163" s="14" t="n"/>
      <c r="F163" s="8">
        <f>D163+E163</f>
        <v/>
      </c>
      <c r="G163" s="14" t="n"/>
      <c r="H163" s="14" t="n"/>
      <c r="I163" s="8">
        <f>G163+H163</f>
        <v/>
      </c>
      <c r="J163" s="8">
        <f>D163+G163</f>
        <v/>
      </c>
      <c r="K163" s="8">
        <f>E163+H163</f>
        <v/>
      </c>
      <c r="L163" s="8">
        <f>J163+K163</f>
        <v/>
      </c>
      <c r="M163" s="9">
        <f>IF(C163=0,0,L163/C163*100)</f>
        <v/>
      </c>
    </row>
    <row r="164">
      <c r="A164" s="7" t="n">
        <v>4</v>
      </c>
      <c r="B164" s="8">
        <f>B8</f>
        <v/>
      </c>
      <c r="C164" s="8">
        <f>C8</f>
        <v/>
      </c>
      <c r="D164" s="14" t="n"/>
      <c r="E164" s="14" t="n"/>
      <c r="F164" s="8">
        <f>D164+E164</f>
        <v/>
      </c>
      <c r="G164" s="14" t="n"/>
      <c r="H164" s="14" t="n"/>
      <c r="I164" s="8">
        <f>G164+H164</f>
        <v/>
      </c>
      <c r="J164" s="8">
        <f>D164+G164</f>
        <v/>
      </c>
      <c r="K164" s="8">
        <f>E164+H164</f>
        <v/>
      </c>
      <c r="L164" s="8">
        <f>J164+K164</f>
        <v/>
      </c>
      <c r="M164" s="9">
        <f>IF(C164=0,0,L164/C164*100)</f>
        <v/>
      </c>
    </row>
    <row r="165">
      <c r="A165" s="7" t="n">
        <v>5</v>
      </c>
      <c r="B165" s="8">
        <f>B9</f>
        <v/>
      </c>
      <c r="C165" s="8">
        <f>C9</f>
        <v/>
      </c>
      <c r="D165" s="14" t="n"/>
      <c r="E165" s="14" t="n"/>
      <c r="F165" s="8">
        <f>D165+E165</f>
        <v/>
      </c>
      <c r="G165" s="14" t="n"/>
      <c r="H165" s="14" t="n"/>
      <c r="I165" s="8">
        <f>G165+H165</f>
        <v/>
      </c>
      <c r="J165" s="8">
        <f>D165+G165</f>
        <v/>
      </c>
      <c r="K165" s="8">
        <f>E165+H165</f>
        <v/>
      </c>
      <c r="L165" s="8">
        <f>J165+K165</f>
        <v/>
      </c>
      <c r="M165" s="9">
        <f>IF(C165=0,0,L165/C165*100)</f>
        <v/>
      </c>
    </row>
    <row r="166">
      <c r="A166" s="7" t="n">
        <v>6</v>
      </c>
      <c r="B166" s="8">
        <f>B10</f>
        <v/>
      </c>
      <c r="C166" s="8">
        <f>C10</f>
        <v/>
      </c>
      <c r="D166" s="14" t="n"/>
      <c r="E166" s="14" t="n"/>
      <c r="F166" s="8">
        <f>D166+E166</f>
        <v/>
      </c>
      <c r="G166" s="14" t="n"/>
      <c r="H166" s="14" t="n"/>
      <c r="I166" s="8">
        <f>G166+H166</f>
        <v/>
      </c>
      <c r="J166" s="8">
        <f>D166+G166</f>
        <v/>
      </c>
      <c r="K166" s="8">
        <f>E166+H166</f>
        <v/>
      </c>
      <c r="L166" s="8">
        <f>J166+K166</f>
        <v/>
      </c>
      <c r="M166" s="9">
        <f>IF(C166=0,0,L166/C166*100)</f>
        <v/>
      </c>
    </row>
    <row r="167">
      <c r="A167" s="10" t="inlineStr">
        <is>
          <t>Total</t>
        </is>
      </c>
      <c r="B167" s="11">
        <f>SUM(B161:B166)</f>
        <v/>
      </c>
      <c r="C167" s="11">
        <f>SUM(C161:C166)</f>
        <v/>
      </c>
      <c r="D167" s="11">
        <f>SUM(D161:D166)</f>
        <v/>
      </c>
      <c r="E167" s="11">
        <f>SUM(E161:E166)</f>
        <v/>
      </c>
      <c r="F167" s="11">
        <f>D167+E167</f>
        <v/>
      </c>
      <c r="G167" s="11">
        <f>SUM(G161:G166)</f>
        <v/>
      </c>
      <c r="H167" s="11">
        <f>SUM(H161:H166)</f>
        <v/>
      </c>
      <c r="I167" s="11">
        <f>G167+H167</f>
        <v/>
      </c>
      <c r="J167" s="11">
        <f>D167+G167</f>
        <v/>
      </c>
      <c r="K167" s="11">
        <f>E167+H167</f>
        <v/>
      </c>
      <c r="L167" s="11">
        <f>J167+K167</f>
        <v/>
      </c>
      <c r="M167" s="12">
        <f>IF(C167=0,0,L167/C167*100)</f>
        <v/>
      </c>
    </row>
    <row r="169">
      <c r="A169" s="13" t="inlineStr">
        <is>
          <t>Day 14 - 2026-10-18 (Sun 01 Kartik 2083)</t>
        </is>
      </c>
    </row>
    <row r="170">
      <c r="A170" s="6" t="inlineStr">
        <is>
          <t>Ward no.</t>
        </is>
      </c>
      <c r="B170" s="6" t="inlineStr">
        <is>
          <t>Total population</t>
        </is>
      </c>
      <c r="C170" s="6" t="inlineStr">
        <is>
          <t>JE target population</t>
        </is>
      </c>
      <c r="D170" s="6" t="inlineStr">
        <is>
          <t>Vaccinated</t>
        </is>
      </c>
      <c r="E170" s="6" t="n"/>
      <c r="F170" s="6" t="n"/>
      <c r="G170" s="6" t="n"/>
      <c r="H170" s="6" t="n"/>
      <c r="I170" s="6" t="n"/>
      <c r="J170" s="6" t="n"/>
      <c r="K170" s="6" t="n"/>
      <c r="L170" s="6" t="n"/>
      <c r="M170" s="6" t="inlineStr">
        <is>
          <t>Progress %</t>
        </is>
      </c>
    </row>
    <row r="171">
      <c r="A171" s="6" t="n"/>
      <c r="B171" s="6" t="n"/>
      <c r="C171" s="6" t="n"/>
      <c r="D171" s="6" t="inlineStr">
        <is>
          <t>Age 30-60 yrs</t>
        </is>
      </c>
      <c r="E171" s="6" t="n"/>
      <c r="F171" s="6" t="n"/>
      <c r="G171" s="6" t="inlineStr">
        <is>
          <t>Age 60 above</t>
        </is>
      </c>
      <c r="H171" s="6" t="n"/>
      <c r="I171" s="6" t="n"/>
      <c r="J171" s="6" t="inlineStr">
        <is>
          <t>Total</t>
        </is>
      </c>
      <c r="K171" s="6" t="n"/>
      <c r="L171" s="6" t="inlineStr">
        <is>
          <t>Grand Total</t>
        </is>
      </c>
      <c r="M171" s="6" t="n"/>
    </row>
    <row r="172">
      <c r="A172" s="6" t="n"/>
      <c r="B172" s="6" t="n"/>
      <c r="C172" s="6" t="n"/>
      <c r="D172" s="6" t="inlineStr">
        <is>
          <t>F</t>
        </is>
      </c>
      <c r="E172" s="6" t="inlineStr">
        <is>
          <t>M</t>
        </is>
      </c>
      <c r="F172" s="6" t="inlineStr">
        <is>
          <t>Total</t>
        </is>
      </c>
      <c r="G172" s="6" t="inlineStr">
        <is>
          <t>F</t>
        </is>
      </c>
      <c r="H172" s="6" t="inlineStr">
        <is>
          <t>M</t>
        </is>
      </c>
      <c r="I172" s="6" t="inlineStr">
        <is>
          <t>Total</t>
        </is>
      </c>
      <c r="J172" s="6" t="inlineStr">
        <is>
          <t>F</t>
        </is>
      </c>
      <c r="K172" s="6" t="inlineStr">
        <is>
          <t>M</t>
        </is>
      </c>
      <c r="L172" s="6" t="n"/>
      <c r="M172" s="6" t="n"/>
    </row>
    <row r="173">
      <c r="A173" s="7" t="n">
        <v>1</v>
      </c>
      <c r="B173" s="8">
        <f>B5</f>
        <v/>
      </c>
      <c r="C173" s="8">
        <f>C5</f>
        <v/>
      </c>
      <c r="D173" s="14" t="n"/>
      <c r="E173" s="14" t="n"/>
      <c r="F173" s="8">
        <f>D173+E173</f>
        <v/>
      </c>
      <c r="G173" s="14" t="n"/>
      <c r="H173" s="14" t="n"/>
      <c r="I173" s="8">
        <f>G173+H173</f>
        <v/>
      </c>
      <c r="J173" s="8">
        <f>D173+G173</f>
        <v/>
      </c>
      <c r="K173" s="8">
        <f>E173+H173</f>
        <v/>
      </c>
      <c r="L173" s="8">
        <f>J173+K173</f>
        <v/>
      </c>
      <c r="M173" s="9">
        <f>IF(C173=0,0,L173/C173*100)</f>
        <v/>
      </c>
    </row>
    <row r="174">
      <c r="A174" s="7" t="n">
        <v>2</v>
      </c>
      <c r="B174" s="8">
        <f>B6</f>
        <v/>
      </c>
      <c r="C174" s="8">
        <f>C6</f>
        <v/>
      </c>
      <c r="D174" s="14" t="n"/>
      <c r="E174" s="14" t="n"/>
      <c r="F174" s="8">
        <f>D174+E174</f>
        <v/>
      </c>
      <c r="G174" s="14" t="n"/>
      <c r="H174" s="14" t="n"/>
      <c r="I174" s="8">
        <f>G174+H174</f>
        <v/>
      </c>
      <c r="J174" s="8">
        <f>D174+G174</f>
        <v/>
      </c>
      <c r="K174" s="8">
        <f>E174+H174</f>
        <v/>
      </c>
      <c r="L174" s="8">
        <f>J174+K174</f>
        <v/>
      </c>
      <c r="M174" s="9">
        <f>IF(C174=0,0,L174/C174*100)</f>
        <v/>
      </c>
    </row>
    <row r="175">
      <c r="A175" s="7" t="n">
        <v>3</v>
      </c>
      <c r="B175" s="8">
        <f>B7</f>
        <v/>
      </c>
      <c r="C175" s="8">
        <f>C7</f>
        <v/>
      </c>
      <c r="D175" s="14" t="n"/>
      <c r="E175" s="14" t="n"/>
      <c r="F175" s="8">
        <f>D175+E175</f>
        <v/>
      </c>
      <c r="G175" s="14" t="n"/>
      <c r="H175" s="14" t="n"/>
      <c r="I175" s="8">
        <f>G175+H175</f>
        <v/>
      </c>
      <c r="J175" s="8">
        <f>D175+G175</f>
        <v/>
      </c>
      <c r="K175" s="8">
        <f>E175+H175</f>
        <v/>
      </c>
      <c r="L175" s="8">
        <f>J175+K175</f>
        <v/>
      </c>
      <c r="M175" s="9">
        <f>IF(C175=0,0,L175/C175*100)</f>
        <v/>
      </c>
    </row>
    <row r="176">
      <c r="A176" s="7" t="n">
        <v>4</v>
      </c>
      <c r="B176" s="8">
        <f>B8</f>
        <v/>
      </c>
      <c r="C176" s="8">
        <f>C8</f>
        <v/>
      </c>
      <c r="D176" s="14" t="n"/>
      <c r="E176" s="14" t="n"/>
      <c r="F176" s="8">
        <f>D176+E176</f>
        <v/>
      </c>
      <c r="G176" s="14" t="n"/>
      <c r="H176" s="14" t="n"/>
      <c r="I176" s="8">
        <f>G176+H176</f>
        <v/>
      </c>
      <c r="J176" s="8">
        <f>D176+G176</f>
        <v/>
      </c>
      <c r="K176" s="8">
        <f>E176+H176</f>
        <v/>
      </c>
      <c r="L176" s="8">
        <f>J176+K176</f>
        <v/>
      </c>
      <c r="M176" s="9">
        <f>IF(C176=0,0,L176/C176*100)</f>
        <v/>
      </c>
    </row>
    <row r="177">
      <c r="A177" s="7" t="n">
        <v>5</v>
      </c>
      <c r="B177" s="8">
        <f>B9</f>
        <v/>
      </c>
      <c r="C177" s="8">
        <f>C9</f>
        <v/>
      </c>
      <c r="D177" s="14" t="n"/>
      <c r="E177" s="14" t="n"/>
      <c r="F177" s="8">
        <f>D177+E177</f>
        <v/>
      </c>
      <c r="G177" s="14" t="n"/>
      <c r="H177" s="14" t="n"/>
      <c r="I177" s="8">
        <f>G177+H177</f>
        <v/>
      </c>
      <c r="J177" s="8">
        <f>D177+G177</f>
        <v/>
      </c>
      <c r="K177" s="8">
        <f>E177+H177</f>
        <v/>
      </c>
      <c r="L177" s="8">
        <f>J177+K177</f>
        <v/>
      </c>
      <c r="M177" s="9">
        <f>IF(C177=0,0,L177/C177*100)</f>
        <v/>
      </c>
    </row>
    <row r="178">
      <c r="A178" s="7" t="n">
        <v>6</v>
      </c>
      <c r="B178" s="8">
        <f>B10</f>
        <v/>
      </c>
      <c r="C178" s="8">
        <f>C10</f>
        <v/>
      </c>
      <c r="D178" s="14" t="n"/>
      <c r="E178" s="14" t="n"/>
      <c r="F178" s="8">
        <f>D178+E178</f>
        <v/>
      </c>
      <c r="G178" s="14" t="n"/>
      <c r="H178" s="14" t="n"/>
      <c r="I178" s="8">
        <f>G178+H178</f>
        <v/>
      </c>
      <c r="J178" s="8">
        <f>D178+G178</f>
        <v/>
      </c>
      <c r="K178" s="8">
        <f>E178+H178</f>
        <v/>
      </c>
      <c r="L178" s="8">
        <f>J178+K178</f>
        <v/>
      </c>
      <c r="M178" s="9">
        <f>IF(C178=0,0,L178/C178*100)</f>
        <v/>
      </c>
    </row>
    <row r="179">
      <c r="A179" s="10" t="inlineStr">
        <is>
          <t>Total</t>
        </is>
      </c>
      <c r="B179" s="11">
        <f>SUM(B173:B178)</f>
        <v/>
      </c>
      <c r="C179" s="11">
        <f>SUM(C173:C178)</f>
        <v/>
      </c>
      <c r="D179" s="11">
        <f>SUM(D173:D178)</f>
        <v/>
      </c>
      <c r="E179" s="11">
        <f>SUM(E173:E178)</f>
        <v/>
      </c>
      <c r="F179" s="11">
        <f>D179+E179</f>
        <v/>
      </c>
      <c r="G179" s="11">
        <f>SUM(G173:G178)</f>
        <v/>
      </c>
      <c r="H179" s="11">
        <f>SUM(H173:H178)</f>
        <v/>
      </c>
      <c r="I179" s="11">
        <f>G179+H179</f>
        <v/>
      </c>
      <c r="J179" s="11">
        <f>D179+G179</f>
        <v/>
      </c>
      <c r="K179" s="11">
        <f>E179+H179</f>
        <v/>
      </c>
      <c r="L179" s="11">
        <f>J179+K179</f>
        <v/>
      </c>
      <c r="M179" s="12">
        <f>IF(C179=0,0,L179/C179*100)</f>
        <v/>
      </c>
    </row>
    <row r="181">
      <c r="A181" s="13" t="inlineStr">
        <is>
          <t>Day 15 - 2026-10-19 (Mon 02 Kartik 2083)</t>
        </is>
      </c>
    </row>
    <row r="182">
      <c r="A182" s="6" t="inlineStr">
        <is>
          <t>Ward no.</t>
        </is>
      </c>
      <c r="B182" s="6" t="inlineStr">
        <is>
          <t>Total population</t>
        </is>
      </c>
      <c r="C182" s="6" t="inlineStr">
        <is>
          <t>JE target population</t>
        </is>
      </c>
      <c r="D182" s="6" t="inlineStr">
        <is>
          <t>Vaccinated</t>
        </is>
      </c>
      <c r="E182" s="6" t="n"/>
      <c r="F182" s="6" t="n"/>
      <c r="G182" s="6" t="n"/>
      <c r="H182" s="6" t="n"/>
      <c r="I182" s="6" t="n"/>
      <c r="J182" s="6" t="n"/>
      <c r="K182" s="6" t="n"/>
      <c r="L182" s="6" t="n"/>
      <c r="M182" s="6" t="inlineStr">
        <is>
          <t>Progress %</t>
        </is>
      </c>
    </row>
    <row r="183">
      <c r="A183" s="6" t="n"/>
      <c r="B183" s="6" t="n"/>
      <c r="C183" s="6" t="n"/>
      <c r="D183" s="6" t="inlineStr">
        <is>
          <t>Age 30-60 yrs</t>
        </is>
      </c>
      <c r="E183" s="6" t="n"/>
      <c r="F183" s="6" t="n"/>
      <c r="G183" s="6" t="inlineStr">
        <is>
          <t>Age 60 above</t>
        </is>
      </c>
      <c r="H183" s="6" t="n"/>
      <c r="I183" s="6" t="n"/>
      <c r="J183" s="6" t="inlineStr">
        <is>
          <t>Total</t>
        </is>
      </c>
      <c r="K183" s="6" t="n"/>
      <c r="L183" s="6" t="inlineStr">
        <is>
          <t>Grand Total</t>
        </is>
      </c>
      <c r="M183" s="6" t="n"/>
    </row>
    <row r="184">
      <c r="A184" s="6" t="n"/>
      <c r="B184" s="6" t="n"/>
      <c r="C184" s="6" t="n"/>
      <c r="D184" s="6" t="inlineStr">
        <is>
          <t>F</t>
        </is>
      </c>
      <c r="E184" s="6" t="inlineStr">
        <is>
          <t>M</t>
        </is>
      </c>
      <c r="F184" s="6" t="inlineStr">
        <is>
          <t>Total</t>
        </is>
      </c>
      <c r="G184" s="6" t="inlineStr">
        <is>
          <t>F</t>
        </is>
      </c>
      <c r="H184" s="6" t="inlineStr">
        <is>
          <t>M</t>
        </is>
      </c>
      <c r="I184" s="6" t="inlineStr">
        <is>
          <t>Total</t>
        </is>
      </c>
      <c r="J184" s="6" t="inlineStr">
        <is>
          <t>F</t>
        </is>
      </c>
      <c r="K184" s="6" t="inlineStr">
        <is>
          <t>M</t>
        </is>
      </c>
      <c r="L184" s="6" t="n"/>
      <c r="M184" s="6" t="n"/>
    </row>
    <row r="185">
      <c r="A185" s="7" t="n">
        <v>1</v>
      </c>
      <c r="B185" s="8">
        <f>B5</f>
        <v/>
      </c>
      <c r="C185" s="8">
        <f>C5</f>
        <v/>
      </c>
      <c r="D185" s="14" t="n"/>
      <c r="E185" s="14" t="n"/>
      <c r="F185" s="8">
        <f>D185+E185</f>
        <v/>
      </c>
      <c r="G185" s="14" t="n"/>
      <c r="H185" s="14" t="n"/>
      <c r="I185" s="8">
        <f>G185+H185</f>
        <v/>
      </c>
      <c r="J185" s="8">
        <f>D185+G185</f>
        <v/>
      </c>
      <c r="K185" s="8">
        <f>E185+H185</f>
        <v/>
      </c>
      <c r="L185" s="8">
        <f>J185+K185</f>
        <v/>
      </c>
      <c r="M185" s="9">
        <f>IF(C185=0,0,L185/C185*100)</f>
        <v/>
      </c>
    </row>
    <row r="186">
      <c r="A186" s="7" t="n">
        <v>2</v>
      </c>
      <c r="B186" s="8">
        <f>B6</f>
        <v/>
      </c>
      <c r="C186" s="8">
        <f>C6</f>
        <v/>
      </c>
      <c r="D186" s="14" t="n"/>
      <c r="E186" s="14" t="n"/>
      <c r="F186" s="8">
        <f>D186+E186</f>
        <v/>
      </c>
      <c r="G186" s="14" t="n"/>
      <c r="H186" s="14" t="n"/>
      <c r="I186" s="8">
        <f>G186+H186</f>
        <v/>
      </c>
      <c r="J186" s="8">
        <f>D186+G186</f>
        <v/>
      </c>
      <c r="K186" s="8">
        <f>E186+H186</f>
        <v/>
      </c>
      <c r="L186" s="8">
        <f>J186+K186</f>
        <v/>
      </c>
      <c r="M186" s="9">
        <f>IF(C186=0,0,L186/C186*100)</f>
        <v/>
      </c>
    </row>
    <row r="187">
      <c r="A187" s="7" t="n">
        <v>3</v>
      </c>
      <c r="B187" s="8">
        <f>B7</f>
        <v/>
      </c>
      <c r="C187" s="8">
        <f>C7</f>
        <v/>
      </c>
      <c r="D187" s="14" t="n"/>
      <c r="E187" s="14" t="n"/>
      <c r="F187" s="8">
        <f>D187+E187</f>
        <v/>
      </c>
      <c r="G187" s="14" t="n"/>
      <c r="H187" s="14" t="n"/>
      <c r="I187" s="8">
        <f>G187+H187</f>
        <v/>
      </c>
      <c r="J187" s="8">
        <f>D187+G187</f>
        <v/>
      </c>
      <c r="K187" s="8">
        <f>E187+H187</f>
        <v/>
      </c>
      <c r="L187" s="8">
        <f>J187+K187</f>
        <v/>
      </c>
      <c r="M187" s="9">
        <f>IF(C187=0,0,L187/C187*100)</f>
        <v/>
      </c>
    </row>
    <row r="188">
      <c r="A188" s="7" t="n">
        <v>4</v>
      </c>
      <c r="B188" s="8">
        <f>B8</f>
        <v/>
      </c>
      <c r="C188" s="8">
        <f>C8</f>
        <v/>
      </c>
      <c r="D188" s="14" t="n"/>
      <c r="E188" s="14" t="n"/>
      <c r="F188" s="8">
        <f>D188+E188</f>
        <v/>
      </c>
      <c r="G188" s="14" t="n"/>
      <c r="H188" s="14" t="n"/>
      <c r="I188" s="8">
        <f>G188+H188</f>
        <v/>
      </c>
      <c r="J188" s="8">
        <f>D188+G188</f>
        <v/>
      </c>
      <c r="K188" s="8">
        <f>E188+H188</f>
        <v/>
      </c>
      <c r="L188" s="8">
        <f>J188+K188</f>
        <v/>
      </c>
      <c r="M188" s="9">
        <f>IF(C188=0,0,L188/C188*100)</f>
        <v/>
      </c>
    </row>
    <row r="189">
      <c r="A189" s="7" t="n">
        <v>5</v>
      </c>
      <c r="B189" s="8">
        <f>B9</f>
        <v/>
      </c>
      <c r="C189" s="8">
        <f>C9</f>
        <v/>
      </c>
      <c r="D189" s="14" t="n"/>
      <c r="E189" s="14" t="n"/>
      <c r="F189" s="8">
        <f>D189+E189</f>
        <v/>
      </c>
      <c r="G189" s="14" t="n"/>
      <c r="H189" s="14" t="n"/>
      <c r="I189" s="8">
        <f>G189+H189</f>
        <v/>
      </c>
      <c r="J189" s="8">
        <f>D189+G189</f>
        <v/>
      </c>
      <c r="K189" s="8">
        <f>E189+H189</f>
        <v/>
      </c>
      <c r="L189" s="8">
        <f>J189+K189</f>
        <v/>
      </c>
      <c r="M189" s="9">
        <f>IF(C189=0,0,L189/C189*100)</f>
        <v/>
      </c>
    </row>
    <row r="190">
      <c r="A190" s="7" t="n">
        <v>6</v>
      </c>
      <c r="B190" s="8">
        <f>B10</f>
        <v/>
      </c>
      <c r="C190" s="8">
        <f>C10</f>
        <v/>
      </c>
      <c r="D190" s="14" t="n"/>
      <c r="E190" s="14" t="n"/>
      <c r="F190" s="8">
        <f>D190+E190</f>
        <v/>
      </c>
      <c r="G190" s="14" t="n"/>
      <c r="H190" s="14" t="n"/>
      <c r="I190" s="8">
        <f>G190+H190</f>
        <v/>
      </c>
      <c r="J190" s="8">
        <f>D190+G190</f>
        <v/>
      </c>
      <c r="K190" s="8">
        <f>E190+H190</f>
        <v/>
      </c>
      <c r="L190" s="8">
        <f>J190+K190</f>
        <v/>
      </c>
      <c r="M190" s="9">
        <f>IF(C190=0,0,L190/C190*100)</f>
        <v/>
      </c>
    </row>
    <row r="191">
      <c r="A191" s="10" t="inlineStr">
        <is>
          <t>Total</t>
        </is>
      </c>
      <c r="B191" s="11">
        <f>SUM(B185:B190)</f>
        <v/>
      </c>
      <c r="C191" s="11">
        <f>SUM(C185:C190)</f>
        <v/>
      </c>
      <c r="D191" s="11">
        <f>SUM(D185:D190)</f>
        <v/>
      </c>
      <c r="E191" s="11">
        <f>SUM(E185:E190)</f>
        <v/>
      </c>
      <c r="F191" s="11">
        <f>D191+E191</f>
        <v/>
      </c>
      <c r="G191" s="11">
        <f>SUM(G185:G190)</f>
        <v/>
      </c>
      <c r="H191" s="11">
        <f>SUM(H185:H190)</f>
        <v/>
      </c>
      <c r="I191" s="11">
        <f>G191+H191</f>
        <v/>
      </c>
      <c r="J191" s="11">
        <f>D191+G191</f>
        <v/>
      </c>
      <c r="K191" s="11">
        <f>E191+H191</f>
        <v/>
      </c>
      <c r="L191" s="11">
        <f>J191+K191</f>
        <v/>
      </c>
      <c r="M191" s="12">
        <f>IF(C191=0,0,L191/C191*100)</f>
        <v/>
      </c>
    </row>
  </sheetData>
  <sheetProtection selectLockedCells="0" selectUnlockedCells="0" sheet="1" objects="0" insertRows="1" insertHyperlinks="1" autoFilter="1" scenarios="0" formatColumns="0" deleteColumns="1" insertColumns="1" pivotTables="1" deleteRows="1" formatCells="0" formatRows="0" sort="1"/>
  <mergeCells count="160">
    <mergeCell ref="L75:L76"/>
    <mergeCell ref="D86:L86"/>
    <mergeCell ref="B146:B148"/>
    <mergeCell ref="A26:A28"/>
    <mergeCell ref="L3:L4"/>
    <mergeCell ref="A97:M97"/>
    <mergeCell ref="L183:L184"/>
    <mergeCell ref="M122:M124"/>
    <mergeCell ref="G87:I87"/>
    <mergeCell ref="A134:A136"/>
    <mergeCell ref="A38:A40"/>
    <mergeCell ref="D75:F75"/>
    <mergeCell ref="C38:C40"/>
    <mergeCell ref="M14:M16"/>
    <mergeCell ref="G15:I15"/>
    <mergeCell ref="A121:M121"/>
    <mergeCell ref="A13:M13"/>
    <mergeCell ref="B110:B112"/>
    <mergeCell ref="D134:L134"/>
    <mergeCell ref="D62:L62"/>
    <mergeCell ref="D122:L122"/>
    <mergeCell ref="M170:M172"/>
    <mergeCell ref="L147:L148"/>
    <mergeCell ref="D39:F39"/>
    <mergeCell ref="A73:M73"/>
    <mergeCell ref="L39:L40"/>
    <mergeCell ref="M146:M148"/>
    <mergeCell ref="G63:I63"/>
    <mergeCell ref="B62:B64"/>
    <mergeCell ref="D98:L98"/>
    <mergeCell ref="J147:K147"/>
    <mergeCell ref="B134:B136"/>
    <mergeCell ref="D26:L26"/>
    <mergeCell ref="A50:A52"/>
    <mergeCell ref="C50:C52"/>
    <mergeCell ref="M110:M112"/>
    <mergeCell ref="L111:L112"/>
    <mergeCell ref="D159:F159"/>
    <mergeCell ref="B98:B100"/>
    <mergeCell ref="D183:F183"/>
    <mergeCell ref="A85:M85"/>
    <mergeCell ref="D2:L2"/>
    <mergeCell ref="D27:F27"/>
    <mergeCell ref="J171:K171"/>
    <mergeCell ref="M86:M88"/>
    <mergeCell ref="A122:A124"/>
    <mergeCell ref="C122:C124"/>
    <mergeCell ref="A14:A16"/>
    <mergeCell ref="D147:F147"/>
    <mergeCell ref="B74:B76"/>
    <mergeCell ref="D171:F171"/>
    <mergeCell ref="L123:L124"/>
    <mergeCell ref="J99:K99"/>
    <mergeCell ref="M134:M136"/>
    <mergeCell ref="M38:M40"/>
    <mergeCell ref="A170:A172"/>
    <mergeCell ref="D3:F3"/>
    <mergeCell ref="C170:C172"/>
    <mergeCell ref="J27:K27"/>
    <mergeCell ref="G135:I135"/>
    <mergeCell ref="C62:C64"/>
    <mergeCell ref="G51:I51"/>
    <mergeCell ref="A98:A100"/>
    <mergeCell ref="C98:C100"/>
    <mergeCell ref="A169:M169"/>
    <mergeCell ref="G159:I159"/>
    <mergeCell ref="D38:L38"/>
    <mergeCell ref="A61:M61"/>
    <mergeCell ref="J183:K183"/>
    <mergeCell ref="L99:L100"/>
    <mergeCell ref="J75:K75"/>
    <mergeCell ref="B182:B184"/>
    <mergeCell ref="A146:A148"/>
    <mergeCell ref="C26:C28"/>
    <mergeCell ref="C146:C148"/>
    <mergeCell ref="J3:K3"/>
    <mergeCell ref="G27:I27"/>
    <mergeCell ref="A74:A76"/>
    <mergeCell ref="J51:K51"/>
    <mergeCell ref="A145:M145"/>
    <mergeCell ref="B14:B16"/>
    <mergeCell ref="D111:F111"/>
    <mergeCell ref="B38:B40"/>
    <mergeCell ref="C182:C184"/>
    <mergeCell ref="G147:I147"/>
    <mergeCell ref="J159:K159"/>
    <mergeCell ref="D170:L170"/>
    <mergeCell ref="C110:C112"/>
    <mergeCell ref="J111:K111"/>
    <mergeCell ref="A181:M181"/>
    <mergeCell ref="A2:A4"/>
    <mergeCell ref="B158:B160"/>
    <mergeCell ref="C2:C4"/>
    <mergeCell ref="G3:I3"/>
    <mergeCell ref="A109:M109"/>
    <mergeCell ref="D87:F87"/>
    <mergeCell ref="A62:A64"/>
    <mergeCell ref="L87:L88"/>
    <mergeCell ref="C158:C160"/>
    <mergeCell ref="M62:M64"/>
    <mergeCell ref="G123:I123"/>
    <mergeCell ref="B26:B28"/>
    <mergeCell ref="D146:L146"/>
    <mergeCell ref="C86:C88"/>
    <mergeCell ref="B50:B52"/>
    <mergeCell ref="A49:M49"/>
    <mergeCell ref="D51:F51"/>
    <mergeCell ref="L171:L172"/>
    <mergeCell ref="A1:M1"/>
    <mergeCell ref="D14:L14"/>
    <mergeCell ref="D123:F123"/>
    <mergeCell ref="C14:C16"/>
    <mergeCell ref="G111:I111"/>
    <mergeCell ref="B2:B4"/>
    <mergeCell ref="M98:M100"/>
    <mergeCell ref="D182:L182"/>
    <mergeCell ref="D99:F99"/>
    <mergeCell ref="A37:M37"/>
    <mergeCell ref="B86:B88"/>
    <mergeCell ref="C134:C136"/>
    <mergeCell ref="J135:K135"/>
    <mergeCell ref="J39:K39"/>
    <mergeCell ref="M74:M76"/>
    <mergeCell ref="M26:M28"/>
    <mergeCell ref="D135:F135"/>
    <mergeCell ref="G171:I171"/>
    <mergeCell ref="L15:L16"/>
    <mergeCell ref="J87:K87"/>
    <mergeCell ref="J123:K123"/>
    <mergeCell ref="J15:K15"/>
    <mergeCell ref="B122:B124"/>
    <mergeCell ref="M50:M52"/>
    <mergeCell ref="A157:M157"/>
    <mergeCell ref="D15:F15"/>
    <mergeCell ref="L63:L64"/>
    <mergeCell ref="D74:L74"/>
    <mergeCell ref="A182:A184"/>
    <mergeCell ref="C74:C76"/>
    <mergeCell ref="M182:M184"/>
    <mergeCell ref="G99:I99"/>
    <mergeCell ref="A110:A112"/>
    <mergeCell ref="G183:I183"/>
    <mergeCell ref="L51:L52"/>
    <mergeCell ref="G75:I75"/>
    <mergeCell ref="J63:K63"/>
    <mergeCell ref="D50:L50"/>
    <mergeCell ref="D110:L110"/>
    <mergeCell ref="L159:L160"/>
    <mergeCell ref="M2:M4"/>
    <mergeCell ref="B170:B172"/>
    <mergeCell ref="A25:M25"/>
    <mergeCell ref="D63:F63"/>
    <mergeCell ref="L27:L28"/>
    <mergeCell ref="A158:A160"/>
    <mergeCell ref="A133:M133"/>
    <mergeCell ref="M158:M160"/>
    <mergeCell ref="G39:I39"/>
    <mergeCell ref="A86:A88"/>
    <mergeCell ref="L135:L136"/>
    <mergeCell ref="D158:L158"/>
  </mergeCells>
  <dataValidations count="1">
    <dataValidation sqref="D17 D18 D19 D20 D21 D22 D29 D30 D31 D32 D33 D34 D41 D42 D43 D44 D45 D46 D53 D54 D55 D56 D57 D58 D65 D66 D67 D68 D69 D70 D77 D78 D79 D80 D81 D82 D89 D90 D91 D92 D93 D94 D101 D102 D103 D104 D105 D106 D113 D114 D115 D116 D117 D118 D125 D126 D127 D128 D129 D130 D137 D138 D139 D140 D141 D142 D149 D150 D151 D152 D153 D154 D161 D162 D163 D164 D165 D166 D173 D174 D175 D176 D177 D178 D185 D186 D187 D188 D189 D190 E17 E18 E19 E20 E21 E22 E29 E30 E31 E32 E33 E34 E41 E42 E43 E44 E45 E46 E53 E54 E55 E56 E57 E58 E65 E66 E67 E68 E69 E70 E77 E78 E79 E80 E81 E82 E89 E90 E91 E92 E93 E94 E101 E102 E103 E104 E105 E106 E113 E114 E115 E116 E117 E118 E125 E126 E127 E128 E129 E130 E137 E138 E139 E140 E141 E142 E149 E150 E151 E152 E153 E154 E161 E162 E163 E164 E165 E166 E173 E174 E175 E176 E177 E178 E185 E186 E187 E188 E189 E190 G17 G18 G19 G20 G21 G22 G29 G30 G31 G32 G33 G34 G41 G42 G43 G44 G45 G46 G53 G54 G55 G56 G57 G58 G65 G66 G67 G68 G69 G70 G77 G78 G79 G80 G81 G82 G89 G90 G91 G92 G93 G94 G101 G102 G103 G104 G105 G106 G113 G114 G115 G116 G117 G118 G125 G126 G127 G128 G129 G130 G137 G138 G139 G140 G141 G142 G149 G150 G151 G152 G153 G154 G161 G162 G163 G164 G165 G166 G173 G174 G175 G176 G177 G178 G185 G186 G187 G188 G189 G190 H17 H18 H19 H20 H21 H22 H29 H30 H31 H32 H33 H34 H41 H42 H43 H44 H45 H46 H53 H54 H55 H56 H57 H58 H65 H66 H67 H68 H69 H70 H77 H78 H79 H80 H81 H82 H89 H90 H91 H92 H93 H94 H101 H102 H103 H104 H105 H106 H113 H114 H115 H116 H117 H118 H125 H126 H127 H128 H129 H130 H137 H138 H139 H140 H141 H142 H149 H150 H151 H152 H153 H154 H161 H162 H163 H164 H165 H166 H173 H174 H175 H176 H177 H178 H185 H186 H187 H188 H189 H190" showDropDown="0" showInputMessage="0" showErrorMessage="1" allowBlank="0" errorTitle="Whole number only" error="Enter a whole number of 0 or more." type="whole" operator="greaterThanOrEqual">
      <formula1>0</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07"/>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13"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10" customWidth="1" min="12" max="12"/>
    <col width="9" customWidth="1" min="13" max="13"/>
  </cols>
  <sheetData>
    <row r="1">
      <c r="A1" s="5" t="inlineStr">
        <is>
          <t>Jhapa Gaunpalika - Campaign Total (5-19 Oct 2026)</t>
        </is>
      </c>
    </row>
    <row r="2">
      <c r="A2" s="6" t="inlineStr">
        <is>
          <t>Ward no.</t>
        </is>
      </c>
      <c r="B2" s="6" t="inlineStr">
        <is>
          <t>Total population</t>
        </is>
      </c>
      <c r="C2" s="6" t="inlineStr">
        <is>
          <t>JE target population</t>
        </is>
      </c>
      <c r="D2" s="6" t="inlineStr">
        <is>
          <t>Vaccinated</t>
        </is>
      </c>
      <c r="E2" s="6" t="n"/>
      <c r="F2" s="6" t="n"/>
      <c r="G2" s="6" t="n"/>
      <c r="H2" s="6" t="n"/>
      <c r="I2" s="6" t="n"/>
      <c r="J2" s="6" t="n"/>
      <c r="K2" s="6" t="n"/>
      <c r="L2" s="6" t="n"/>
      <c r="M2" s="6" t="inlineStr">
        <is>
          <t>Progress %</t>
        </is>
      </c>
    </row>
    <row r="3">
      <c r="A3" s="6" t="n"/>
      <c r="B3" s="6" t="n"/>
      <c r="C3" s="6" t="n"/>
      <c r="D3" s="6" t="inlineStr">
        <is>
          <t>Age 30-60 yrs</t>
        </is>
      </c>
      <c r="E3" s="6" t="n"/>
      <c r="F3" s="6" t="n"/>
      <c r="G3" s="6" t="inlineStr">
        <is>
          <t>Age 60 above</t>
        </is>
      </c>
      <c r="H3" s="6" t="n"/>
      <c r="I3" s="6" t="n"/>
      <c r="J3" s="6" t="inlineStr">
        <is>
          <t>Total</t>
        </is>
      </c>
      <c r="K3" s="6" t="n"/>
      <c r="L3" s="6" t="inlineStr">
        <is>
          <t>Grand Total</t>
        </is>
      </c>
      <c r="M3" s="6" t="n"/>
    </row>
    <row r="4">
      <c r="A4" s="6" t="n"/>
      <c r="B4" s="6" t="n"/>
      <c r="C4" s="6" t="n"/>
      <c r="D4" s="6" t="inlineStr">
        <is>
          <t>F</t>
        </is>
      </c>
      <c r="E4" s="6" t="inlineStr">
        <is>
          <t>M</t>
        </is>
      </c>
      <c r="F4" s="6" t="inlineStr">
        <is>
          <t>Total</t>
        </is>
      </c>
      <c r="G4" s="6" t="inlineStr">
        <is>
          <t>F</t>
        </is>
      </c>
      <c r="H4" s="6" t="inlineStr">
        <is>
          <t>M</t>
        </is>
      </c>
      <c r="I4" s="6" t="inlineStr">
        <is>
          <t>Total</t>
        </is>
      </c>
      <c r="J4" s="6" t="inlineStr">
        <is>
          <t>F</t>
        </is>
      </c>
      <c r="K4" s="6" t="inlineStr">
        <is>
          <t>M</t>
        </is>
      </c>
      <c r="L4" s="6" t="n"/>
      <c r="M4" s="6" t="n"/>
    </row>
    <row r="5">
      <c r="A5" s="7" t="n">
        <v>1</v>
      </c>
      <c r="B5" s="8" t="n">
        <v>5005</v>
      </c>
      <c r="C5" s="8" t="n">
        <v>2402.4</v>
      </c>
      <c r="D5" s="8">
        <f>D18+D31+D44+D57+D70+D83+D96+D109+D122+D135+D148+D161+D174+D187+D200</f>
        <v/>
      </c>
      <c r="E5" s="8">
        <f>E18+E31+E44+E57+E70+E83+E96+E109+E122+E135+E148+E161+E174+E187+E200</f>
        <v/>
      </c>
      <c r="F5" s="8">
        <f>D5+E5</f>
        <v/>
      </c>
      <c r="G5" s="8">
        <f>G18+G31+G44+G57+G70+G83+G96+G109+G122+G135+G148+G161+G174+G187+G200</f>
        <v/>
      </c>
      <c r="H5" s="8">
        <f>H18+H31+H44+H57+H70+H83+H96+H109+H122+H135+H148+H161+H174+H187+H200</f>
        <v/>
      </c>
      <c r="I5" s="8">
        <f>G5+H5</f>
        <v/>
      </c>
      <c r="J5" s="8">
        <f>D5+G5</f>
        <v/>
      </c>
      <c r="K5" s="8">
        <f>E5+H5</f>
        <v/>
      </c>
      <c r="L5" s="8">
        <f>J5+K5</f>
        <v/>
      </c>
      <c r="M5" s="9">
        <f>IF(C5=0,0,L5/C5*100)</f>
        <v/>
      </c>
    </row>
    <row r="6">
      <c r="A6" s="7" t="n">
        <v>2</v>
      </c>
      <c r="B6" s="8" t="n">
        <v>5231</v>
      </c>
      <c r="C6" s="8" t="n">
        <v>2510.88</v>
      </c>
      <c r="D6" s="8">
        <f>D19+D32+D45+D58+D71+D84+D97+D110+D123+D136+D149+D162+D175+D188+D201</f>
        <v/>
      </c>
      <c r="E6" s="8">
        <f>E19+E32+E45+E58+E71+E84+E97+E110+E123+E136+E149+E162+E175+E188+E201</f>
        <v/>
      </c>
      <c r="F6" s="8">
        <f>D6+E6</f>
        <v/>
      </c>
      <c r="G6" s="8">
        <f>G19+G32+G45+G58+G71+G84+G97+G110+G123+G136+G149+G162+G175+G188+G201</f>
        <v/>
      </c>
      <c r="H6" s="8">
        <f>H19+H32+H45+H58+H71+H84+H97+H110+H123+H136+H149+H162+H175+H188+H201</f>
        <v/>
      </c>
      <c r="I6" s="8">
        <f>G6+H6</f>
        <v/>
      </c>
      <c r="J6" s="8">
        <f>D6+G6</f>
        <v/>
      </c>
      <c r="K6" s="8">
        <f>E6+H6</f>
        <v/>
      </c>
      <c r="L6" s="8">
        <f>J6+K6</f>
        <v/>
      </c>
      <c r="M6" s="9">
        <f>IF(C6=0,0,L6/C6*100)</f>
        <v/>
      </c>
    </row>
    <row r="7">
      <c r="A7" s="7" t="n">
        <v>3</v>
      </c>
      <c r="B7" s="8" t="n">
        <v>6386</v>
      </c>
      <c r="C7" s="8" t="n">
        <v>3065.28</v>
      </c>
      <c r="D7" s="8">
        <f>D20+D33+D46+D59+D72+D85+D98+D111+D124+D137+D150+D163+D176+D189+D202</f>
        <v/>
      </c>
      <c r="E7" s="8">
        <f>E20+E33+E46+E59+E72+E85+E98+E111+E124+E137+E150+E163+E176+E189+E202</f>
        <v/>
      </c>
      <c r="F7" s="8">
        <f>D7+E7</f>
        <v/>
      </c>
      <c r="G7" s="8">
        <f>G20+G33+G46+G59+G72+G85+G98+G111+G124+G137+G150+G163+G176+G189+G202</f>
        <v/>
      </c>
      <c r="H7" s="8">
        <f>H20+H33+H46+H59+H72+H85+H98+H111+H124+H137+H150+H163+H176+H189+H202</f>
        <v/>
      </c>
      <c r="I7" s="8">
        <f>G7+H7</f>
        <v/>
      </c>
      <c r="J7" s="8">
        <f>D7+G7</f>
        <v/>
      </c>
      <c r="K7" s="8">
        <f>E7+H7</f>
        <v/>
      </c>
      <c r="L7" s="8">
        <f>J7+K7</f>
        <v/>
      </c>
      <c r="M7" s="9">
        <f>IF(C7=0,0,L7/C7*100)</f>
        <v/>
      </c>
    </row>
    <row r="8">
      <c r="A8" s="7" t="n">
        <v>4</v>
      </c>
      <c r="B8" s="8" t="n">
        <v>6392</v>
      </c>
      <c r="C8" s="8" t="n">
        <v>3068.16</v>
      </c>
      <c r="D8" s="8">
        <f>D21+D34+D47+D60+D73+D86+D99+D112+D125+D138+D151+D164+D177+D190+D203</f>
        <v/>
      </c>
      <c r="E8" s="8">
        <f>E21+E34+E47+E60+E73+E86+E99+E112+E125+E138+E151+E164+E177+E190+E203</f>
        <v/>
      </c>
      <c r="F8" s="8">
        <f>D8+E8</f>
        <v/>
      </c>
      <c r="G8" s="8">
        <f>G21+G34+G47+G60+G73+G86+G99+G112+G125+G138+G151+G164+G177+G190+G203</f>
        <v/>
      </c>
      <c r="H8" s="8">
        <f>H21+H34+H47+H60+H73+H86+H99+H112+H125+H138+H151+H164+H177+H190+H203</f>
        <v/>
      </c>
      <c r="I8" s="8">
        <f>G8+H8</f>
        <v/>
      </c>
      <c r="J8" s="8">
        <f>D8+G8</f>
        <v/>
      </c>
      <c r="K8" s="8">
        <f>E8+H8</f>
        <v/>
      </c>
      <c r="L8" s="8">
        <f>J8+K8</f>
        <v/>
      </c>
      <c r="M8" s="9">
        <f>IF(C8=0,0,L8/C8*100)</f>
        <v/>
      </c>
    </row>
    <row r="9">
      <c r="A9" s="7" t="n">
        <v>5</v>
      </c>
      <c r="B9" s="8" t="n">
        <v>6200</v>
      </c>
      <c r="C9" s="8" t="n">
        <v>2976</v>
      </c>
      <c r="D9" s="8">
        <f>D22+D35+D48+D61+D74+D87+D100+D113+D126+D139+D152+D165+D178+D191+D204</f>
        <v/>
      </c>
      <c r="E9" s="8">
        <f>E22+E35+E48+E61+E74+E87+E100+E113+E126+E139+E152+E165+E178+E191+E204</f>
        <v/>
      </c>
      <c r="F9" s="8">
        <f>D9+E9</f>
        <v/>
      </c>
      <c r="G9" s="8">
        <f>G22+G35+G48+G61+G74+G87+G100+G113+G126+G139+G152+G165+G178+G191+G204</f>
        <v/>
      </c>
      <c r="H9" s="8">
        <f>H22+H35+H48+H61+H74+H87+H100+H113+H126+H139+H152+H165+H178+H191+H204</f>
        <v/>
      </c>
      <c r="I9" s="8">
        <f>G9+H9</f>
        <v/>
      </c>
      <c r="J9" s="8">
        <f>D9+G9</f>
        <v/>
      </c>
      <c r="K9" s="8">
        <f>E9+H9</f>
        <v/>
      </c>
      <c r="L9" s="8">
        <f>J9+K9</f>
        <v/>
      </c>
      <c r="M9" s="9">
        <f>IF(C9=0,0,L9/C9*100)</f>
        <v/>
      </c>
    </row>
    <row r="10">
      <c r="A10" s="7" t="n">
        <v>6</v>
      </c>
      <c r="B10" s="8" t="n">
        <v>5766</v>
      </c>
      <c r="C10" s="8" t="n">
        <v>2767.68</v>
      </c>
      <c r="D10" s="8">
        <f>D23+D36+D49+D62+D75+D88+D101+D114+D127+D140+D153+D166+D179+D192+D205</f>
        <v/>
      </c>
      <c r="E10" s="8">
        <f>E23+E36+E49+E62+E75+E88+E101+E114+E127+E140+E153+E166+E179+E192+E205</f>
        <v/>
      </c>
      <c r="F10" s="8">
        <f>D10+E10</f>
        <v/>
      </c>
      <c r="G10" s="8">
        <f>G23+G36+G49+G62+G75+G88+G101+G114+G127+G140+G153+G166+G179+G192+G205</f>
        <v/>
      </c>
      <c r="H10" s="8">
        <f>H23+H36+H49+H62+H75+H88+H101+H114+H127+H140+H153+H166+H179+H192+H205</f>
        <v/>
      </c>
      <c r="I10" s="8">
        <f>G10+H10</f>
        <v/>
      </c>
      <c r="J10" s="8">
        <f>D10+G10</f>
        <v/>
      </c>
      <c r="K10" s="8">
        <f>E10+H10</f>
        <v/>
      </c>
      <c r="L10" s="8">
        <f>J10+K10</f>
        <v/>
      </c>
      <c r="M10" s="9">
        <f>IF(C10=0,0,L10/C10*100)</f>
        <v/>
      </c>
    </row>
    <row r="11">
      <c r="A11" s="7" t="n">
        <v>7</v>
      </c>
      <c r="B11" s="8" t="n">
        <v>4718</v>
      </c>
      <c r="C11" s="8" t="n">
        <v>2264.64</v>
      </c>
      <c r="D11" s="8">
        <f>D24+D37+D50+D63+D76+D89+D102+D115+D128+D141+D154+D167+D180+D193+D206</f>
        <v/>
      </c>
      <c r="E11" s="8">
        <f>E24+E37+E50+E63+E76+E89+E102+E115+E128+E141+E154+E167+E180+E193+E206</f>
        <v/>
      </c>
      <c r="F11" s="8">
        <f>D11+E11</f>
        <v/>
      </c>
      <c r="G11" s="8">
        <f>G24+G37+G50+G63+G76+G89+G102+G115+G128+G141+G154+G167+G180+G193+G206</f>
        <v/>
      </c>
      <c r="H11" s="8">
        <f>H24+H37+H50+H63+H76+H89+H102+H115+H128+H141+H154+H167+H180+H193+H206</f>
        <v/>
      </c>
      <c r="I11" s="8">
        <f>G11+H11</f>
        <v/>
      </c>
      <c r="J11" s="8">
        <f>D11+G11</f>
        <v/>
      </c>
      <c r="K11" s="8">
        <f>E11+H11</f>
        <v/>
      </c>
      <c r="L11" s="8">
        <f>J11+K11</f>
        <v/>
      </c>
      <c r="M11" s="9">
        <f>IF(C11=0,0,L11/C11*100)</f>
        <v/>
      </c>
    </row>
    <row r="12">
      <c r="A12" s="10" t="inlineStr">
        <is>
          <t>Total</t>
        </is>
      </c>
      <c r="B12" s="11">
        <f>SUM(B5:B11)</f>
        <v/>
      </c>
      <c r="C12" s="11">
        <f>SUM(C5:C11)</f>
        <v/>
      </c>
      <c r="D12" s="11">
        <f>SUM(D5:D11)</f>
        <v/>
      </c>
      <c r="E12" s="11">
        <f>SUM(E5:E11)</f>
        <v/>
      </c>
      <c r="F12" s="11">
        <f>D12+E12</f>
        <v/>
      </c>
      <c r="G12" s="11">
        <f>SUM(G5:G11)</f>
        <v/>
      </c>
      <c r="H12" s="11">
        <f>SUM(H5:H11)</f>
        <v/>
      </c>
      <c r="I12" s="11">
        <f>G12+H12</f>
        <v/>
      </c>
      <c r="J12" s="11">
        <f>D12+G12</f>
        <v/>
      </c>
      <c r="K12" s="11">
        <f>E12+H12</f>
        <v/>
      </c>
      <c r="L12" s="11">
        <f>J12+K12</f>
        <v/>
      </c>
      <c r="M12" s="12">
        <f>IF(C12=0,0,L12/C12*100)</f>
        <v/>
      </c>
    </row>
    <row r="14">
      <c r="A14" s="13" t="inlineStr">
        <is>
          <t>Day 1 - 2026-10-05 (Mon 19 Aswin 2083)</t>
        </is>
      </c>
    </row>
    <row r="15">
      <c r="A15" s="6" t="inlineStr">
        <is>
          <t>Ward no.</t>
        </is>
      </c>
      <c r="B15" s="6" t="inlineStr">
        <is>
          <t>Total population</t>
        </is>
      </c>
      <c r="C15" s="6" t="inlineStr">
        <is>
          <t>JE target population</t>
        </is>
      </c>
      <c r="D15" s="6" t="inlineStr">
        <is>
          <t>Vaccinated</t>
        </is>
      </c>
      <c r="E15" s="6" t="n"/>
      <c r="F15" s="6" t="n"/>
      <c r="G15" s="6" t="n"/>
      <c r="H15" s="6" t="n"/>
      <c r="I15" s="6" t="n"/>
      <c r="J15" s="6" t="n"/>
      <c r="K15" s="6" t="n"/>
      <c r="L15" s="6" t="n"/>
      <c r="M15" s="6" t="inlineStr">
        <is>
          <t>Progress %</t>
        </is>
      </c>
    </row>
    <row r="16">
      <c r="A16" s="6" t="n"/>
      <c r="B16" s="6" t="n"/>
      <c r="C16" s="6" t="n"/>
      <c r="D16" s="6" t="inlineStr">
        <is>
          <t>Age 30-60 yrs</t>
        </is>
      </c>
      <c r="E16" s="6" t="n"/>
      <c r="F16" s="6" t="n"/>
      <c r="G16" s="6" t="inlineStr">
        <is>
          <t>Age 60 above</t>
        </is>
      </c>
      <c r="H16" s="6" t="n"/>
      <c r="I16" s="6" t="n"/>
      <c r="J16" s="6" t="inlineStr">
        <is>
          <t>Total</t>
        </is>
      </c>
      <c r="K16" s="6" t="n"/>
      <c r="L16" s="6" t="inlineStr">
        <is>
          <t>Grand Total</t>
        </is>
      </c>
      <c r="M16" s="6" t="n"/>
    </row>
    <row r="17">
      <c r="A17" s="6" t="n"/>
      <c r="B17" s="6" t="n"/>
      <c r="C17" s="6" t="n"/>
      <c r="D17" s="6" t="inlineStr">
        <is>
          <t>F</t>
        </is>
      </c>
      <c r="E17" s="6" t="inlineStr">
        <is>
          <t>M</t>
        </is>
      </c>
      <c r="F17" s="6" t="inlineStr">
        <is>
          <t>Total</t>
        </is>
      </c>
      <c r="G17" s="6" t="inlineStr">
        <is>
          <t>F</t>
        </is>
      </c>
      <c r="H17" s="6" t="inlineStr">
        <is>
          <t>M</t>
        </is>
      </c>
      <c r="I17" s="6" t="inlineStr">
        <is>
          <t>Total</t>
        </is>
      </c>
      <c r="J17" s="6" t="inlineStr">
        <is>
          <t>F</t>
        </is>
      </c>
      <c r="K17" s="6" t="inlineStr">
        <is>
          <t>M</t>
        </is>
      </c>
      <c r="L17" s="6" t="n"/>
      <c r="M17" s="6" t="n"/>
    </row>
    <row r="18">
      <c r="A18" s="7" t="n">
        <v>1</v>
      </c>
      <c r="B18" s="8">
        <f>B5</f>
        <v/>
      </c>
      <c r="C18" s="8">
        <f>C5</f>
        <v/>
      </c>
      <c r="D18" s="14" t="n"/>
      <c r="E18" s="14" t="n"/>
      <c r="F18" s="8">
        <f>D18+E18</f>
        <v/>
      </c>
      <c r="G18" s="14" t="n"/>
      <c r="H18" s="14" t="n"/>
      <c r="I18" s="8">
        <f>G18+H18</f>
        <v/>
      </c>
      <c r="J18" s="8">
        <f>D18+G18</f>
        <v/>
      </c>
      <c r="K18" s="8">
        <f>E18+H18</f>
        <v/>
      </c>
      <c r="L18" s="8">
        <f>J18+K18</f>
        <v/>
      </c>
      <c r="M18" s="9">
        <f>IF(C18=0,0,L18/C18*100)</f>
        <v/>
      </c>
    </row>
    <row r="19">
      <c r="A19" s="7" t="n">
        <v>2</v>
      </c>
      <c r="B19" s="8">
        <f>B6</f>
        <v/>
      </c>
      <c r="C19" s="8">
        <f>C6</f>
        <v/>
      </c>
      <c r="D19" s="14" t="n"/>
      <c r="E19" s="14" t="n"/>
      <c r="F19" s="8">
        <f>D19+E19</f>
        <v/>
      </c>
      <c r="G19" s="14" t="n"/>
      <c r="H19" s="14" t="n"/>
      <c r="I19" s="8">
        <f>G19+H19</f>
        <v/>
      </c>
      <c r="J19" s="8">
        <f>D19+G19</f>
        <v/>
      </c>
      <c r="K19" s="8">
        <f>E19+H19</f>
        <v/>
      </c>
      <c r="L19" s="8">
        <f>J19+K19</f>
        <v/>
      </c>
      <c r="M19" s="9">
        <f>IF(C19=0,0,L19/C19*100)</f>
        <v/>
      </c>
    </row>
    <row r="20">
      <c r="A20" s="7" t="n">
        <v>3</v>
      </c>
      <c r="B20" s="8">
        <f>B7</f>
        <v/>
      </c>
      <c r="C20" s="8">
        <f>C7</f>
        <v/>
      </c>
      <c r="D20" s="14" t="n"/>
      <c r="E20" s="14" t="n"/>
      <c r="F20" s="8">
        <f>D20+E20</f>
        <v/>
      </c>
      <c r="G20" s="14" t="n"/>
      <c r="H20" s="14" t="n"/>
      <c r="I20" s="8">
        <f>G20+H20</f>
        <v/>
      </c>
      <c r="J20" s="8">
        <f>D20+G20</f>
        <v/>
      </c>
      <c r="K20" s="8">
        <f>E20+H20</f>
        <v/>
      </c>
      <c r="L20" s="8">
        <f>J20+K20</f>
        <v/>
      </c>
      <c r="M20" s="9">
        <f>IF(C20=0,0,L20/C20*100)</f>
        <v/>
      </c>
    </row>
    <row r="21">
      <c r="A21" s="7" t="n">
        <v>4</v>
      </c>
      <c r="B21" s="8">
        <f>B8</f>
        <v/>
      </c>
      <c r="C21" s="8">
        <f>C8</f>
        <v/>
      </c>
      <c r="D21" s="14" t="n"/>
      <c r="E21" s="14" t="n"/>
      <c r="F21" s="8">
        <f>D21+E21</f>
        <v/>
      </c>
      <c r="G21" s="14" t="n"/>
      <c r="H21" s="14" t="n"/>
      <c r="I21" s="8">
        <f>G21+H21</f>
        <v/>
      </c>
      <c r="J21" s="8">
        <f>D21+G21</f>
        <v/>
      </c>
      <c r="K21" s="8">
        <f>E21+H21</f>
        <v/>
      </c>
      <c r="L21" s="8">
        <f>J21+K21</f>
        <v/>
      </c>
      <c r="M21" s="9">
        <f>IF(C21=0,0,L21/C21*100)</f>
        <v/>
      </c>
    </row>
    <row r="22">
      <c r="A22" s="7" t="n">
        <v>5</v>
      </c>
      <c r="B22" s="8">
        <f>B9</f>
        <v/>
      </c>
      <c r="C22" s="8">
        <f>C9</f>
        <v/>
      </c>
      <c r="D22" s="14" t="n"/>
      <c r="E22" s="14" t="n"/>
      <c r="F22" s="8">
        <f>D22+E22</f>
        <v/>
      </c>
      <c r="G22" s="14" t="n"/>
      <c r="H22" s="14" t="n"/>
      <c r="I22" s="8">
        <f>G22+H22</f>
        <v/>
      </c>
      <c r="J22" s="8">
        <f>D22+G22</f>
        <v/>
      </c>
      <c r="K22" s="8">
        <f>E22+H22</f>
        <v/>
      </c>
      <c r="L22" s="8">
        <f>J22+K22</f>
        <v/>
      </c>
      <c r="M22" s="9">
        <f>IF(C22=0,0,L22/C22*100)</f>
        <v/>
      </c>
    </row>
    <row r="23">
      <c r="A23" s="7" t="n">
        <v>6</v>
      </c>
      <c r="B23" s="8">
        <f>B10</f>
        <v/>
      </c>
      <c r="C23" s="8">
        <f>C10</f>
        <v/>
      </c>
      <c r="D23" s="14" t="n"/>
      <c r="E23" s="14" t="n"/>
      <c r="F23" s="8">
        <f>D23+E23</f>
        <v/>
      </c>
      <c r="G23" s="14" t="n"/>
      <c r="H23" s="14" t="n"/>
      <c r="I23" s="8">
        <f>G23+H23</f>
        <v/>
      </c>
      <c r="J23" s="8">
        <f>D23+G23</f>
        <v/>
      </c>
      <c r="K23" s="8">
        <f>E23+H23</f>
        <v/>
      </c>
      <c r="L23" s="8">
        <f>J23+K23</f>
        <v/>
      </c>
      <c r="M23" s="9">
        <f>IF(C23=0,0,L23/C23*100)</f>
        <v/>
      </c>
    </row>
    <row r="24">
      <c r="A24" s="7" t="n">
        <v>7</v>
      </c>
      <c r="B24" s="8">
        <f>B11</f>
        <v/>
      </c>
      <c r="C24" s="8">
        <f>C11</f>
        <v/>
      </c>
      <c r="D24" s="14" t="n"/>
      <c r="E24" s="14" t="n"/>
      <c r="F24" s="8">
        <f>D24+E24</f>
        <v/>
      </c>
      <c r="G24" s="14" t="n"/>
      <c r="H24" s="14" t="n"/>
      <c r="I24" s="8">
        <f>G24+H24</f>
        <v/>
      </c>
      <c r="J24" s="8">
        <f>D24+G24</f>
        <v/>
      </c>
      <c r="K24" s="8">
        <f>E24+H24</f>
        <v/>
      </c>
      <c r="L24" s="8">
        <f>J24+K24</f>
        <v/>
      </c>
      <c r="M24" s="9">
        <f>IF(C24=0,0,L24/C24*100)</f>
        <v/>
      </c>
    </row>
    <row r="25">
      <c r="A25" s="10" t="inlineStr">
        <is>
          <t>Total</t>
        </is>
      </c>
      <c r="B25" s="11">
        <f>SUM(B18:B24)</f>
        <v/>
      </c>
      <c r="C25" s="11">
        <f>SUM(C18:C24)</f>
        <v/>
      </c>
      <c r="D25" s="11">
        <f>SUM(D18:D24)</f>
        <v/>
      </c>
      <c r="E25" s="11">
        <f>SUM(E18:E24)</f>
        <v/>
      </c>
      <c r="F25" s="11">
        <f>D25+E25</f>
        <v/>
      </c>
      <c r="G25" s="11">
        <f>SUM(G18:G24)</f>
        <v/>
      </c>
      <c r="H25" s="11">
        <f>SUM(H18:H24)</f>
        <v/>
      </c>
      <c r="I25" s="11">
        <f>G25+H25</f>
        <v/>
      </c>
      <c r="J25" s="11">
        <f>D25+G25</f>
        <v/>
      </c>
      <c r="K25" s="11">
        <f>E25+H25</f>
        <v/>
      </c>
      <c r="L25" s="11">
        <f>J25+K25</f>
        <v/>
      </c>
      <c r="M25" s="12">
        <f>IF(C25=0,0,L25/C25*100)</f>
        <v/>
      </c>
    </row>
    <row r="27">
      <c r="A27" s="13" t="inlineStr">
        <is>
          <t>Day 2 - 2026-10-06 (Tue 20 Aswin 2083)</t>
        </is>
      </c>
    </row>
    <row r="28">
      <c r="A28" s="6" t="inlineStr">
        <is>
          <t>Ward no.</t>
        </is>
      </c>
      <c r="B28" s="6" t="inlineStr">
        <is>
          <t>Total population</t>
        </is>
      </c>
      <c r="C28" s="6" t="inlineStr">
        <is>
          <t>JE target population</t>
        </is>
      </c>
      <c r="D28" s="6" t="inlineStr">
        <is>
          <t>Vaccinated</t>
        </is>
      </c>
      <c r="E28" s="6" t="n"/>
      <c r="F28" s="6" t="n"/>
      <c r="G28" s="6" t="n"/>
      <c r="H28" s="6" t="n"/>
      <c r="I28" s="6" t="n"/>
      <c r="J28" s="6" t="n"/>
      <c r="K28" s="6" t="n"/>
      <c r="L28" s="6" t="n"/>
      <c r="M28" s="6" t="inlineStr">
        <is>
          <t>Progress %</t>
        </is>
      </c>
    </row>
    <row r="29">
      <c r="A29" s="6" t="n"/>
      <c r="B29" s="6" t="n"/>
      <c r="C29" s="6" t="n"/>
      <c r="D29" s="6" t="inlineStr">
        <is>
          <t>Age 30-60 yrs</t>
        </is>
      </c>
      <c r="E29" s="6" t="n"/>
      <c r="F29" s="6" t="n"/>
      <c r="G29" s="6" t="inlineStr">
        <is>
          <t>Age 60 above</t>
        </is>
      </c>
      <c r="H29" s="6" t="n"/>
      <c r="I29" s="6" t="n"/>
      <c r="J29" s="6" t="inlineStr">
        <is>
          <t>Total</t>
        </is>
      </c>
      <c r="K29" s="6" t="n"/>
      <c r="L29" s="6" t="inlineStr">
        <is>
          <t>Grand Total</t>
        </is>
      </c>
      <c r="M29" s="6" t="n"/>
    </row>
    <row r="30">
      <c r="A30" s="6" t="n"/>
      <c r="B30" s="6" t="n"/>
      <c r="C30" s="6" t="n"/>
      <c r="D30" s="6" t="inlineStr">
        <is>
          <t>F</t>
        </is>
      </c>
      <c r="E30" s="6" t="inlineStr">
        <is>
          <t>M</t>
        </is>
      </c>
      <c r="F30" s="6" t="inlineStr">
        <is>
          <t>Total</t>
        </is>
      </c>
      <c r="G30" s="6" t="inlineStr">
        <is>
          <t>F</t>
        </is>
      </c>
      <c r="H30" s="6" t="inlineStr">
        <is>
          <t>M</t>
        </is>
      </c>
      <c r="I30" s="6" t="inlineStr">
        <is>
          <t>Total</t>
        </is>
      </c>
      <c r="J30" s="6" t="inlineStr">
        <is>
          <t>F</t>
        </is>
      </c>
      <c r="K30" s="6" t="inlineStr">
        <is>
          <t>M</t>
        </is>
      </c>
      <c r="L30" s="6" t="n"/>
      <c r="M30" s="6" t="n"/>
    </row>
    <row r="31">
      <c r="A31" s="7" t="n">
        <v>1</v>
      </c>
      <c r="B31" s="8">
        <f>B5</f>
        <v/>
      </c>
      <c r="C31" s="8">
        <f>C5</f>
        <v/>
      </c>
      <c r="D31" s="14" t="n"/>
      <c r="E31" s="14" t="n"/>
      <c r="F31" s="8">
        <f>D31+E31</f>
        <v/>
      </c>
      <c r="G31" s="14" t="n"/>
      <c r="H31" s="14" t="n"/>
      <c r="I31" s="8">
        <f>G31+H31</f>
        <v/>
      </c>
      <c r="J31" s="8">
        <f>D31+G31</f>
        <v/>
      </c>
      <c r="K31" s="8">
        <f>E31+H31</f>
        <v/>
      </c>
      <c r="L31" s="8">
        <f>J31+K31</f>
        <v/>
      </c>
      <c r="M31" s="9">
        <f>IF(C31=0,0,L31/C31*100)</f>
        <v/>
      </c>
    </row>
    <row r="32">
      <c r="A32" s="7" t="n">
        <v>2</v>
      </c>
      <c r="B32" s="8">
        <f>B6</f>
        <v/>
      </c>
      <c r="C32" s="8">
        <f>C6</f>
        <v/>
      </c>
      <c r="D32" s="14" t="n"/>
      <c r="E32" s="14" t="n"/>
      <c r="F32" s="8">
        <f>D32+E32</f>
        <v/>
      </c>
      <c r="G32" s="14" t="n"/>
      <c r="H32" s="14" t="n"/>
      <c r="I32" s="8">
        <f>G32+H32</f>
        <v/>
      </c>
      <c r="J32" s="8">
        <f>D32+G32</f>
        <v/>
      </c>
      <c r="K32" s="8">
        <f>E32+H32</f>
        <v/>
      </c>
      <c r="L32" s="8">
        <f>J32+K32</f>
        <v/>
      </c>
      <c r="M32" s="9">
        <f>IF(C32=0,0,L32/C32*100)</f>
        <v/>
      </c>
    </row>
    <row r="33">
      <c r="A33" s="7" t="n">
        <v>3</v>
      </c>
      <c r="B33" s="8">
        <f>B7</f>
        <v/>
      </c>
      <c r="C33" s="8">
        <f>C7</f>
        <v/>
      </c>
      <c r="D33" s="14" t="n"/>
      <c r="E33" s="14" t="n"/>
      <c r="F33" s="8">
        <f>D33+E33</f>
        <v/>
      </c>
      <c r="G33" s="14" t="n"/>
      <c r="H33" s="14" t="n"/>
      <c r="I33" s="8">
        <f>G33+H33</f>
        <v/>
      </c>
      <c r="J33" s="8">
        <f>D33+G33</f>
        <v/>
      </c>
      <c r="K33" s="8">
        <f>E33+H33</f>
        <v/>
      </c>
      <c r="L33" s="8">
        <f>J33+K33</f>
        <v/>
      </c>
      <c r="M33" s="9">
        <f>IF(C33=0,0,L33/C33*100)</f>
        <v/>
      </c>
    </row>
    <row r="34">
      <c r="A34" s="7" t="n">
        <v>4</v>
      </c>
      <c r="B34" s="8">
        <f>B8</f>
        <v/>
      </c>
      <c r="C34" s="8">
        <f>C8</f>
        <v/>
      </c>
      <c r="D34" s="14" t="n"/>
      <c r="E34" s="14" t="n"/>
      <c r="F34" s="8">
        <f>D34+E34</f>
        <v/>
      </c>
      <c r="G34" s="14" t="n"/>
      <c r="H34" s="14" t="n"/>
      <c r="I34" s="8">
        <f>G34+H34</f>
        <v/>
      </c>
      <c r="J34" s="8">
        <f>D34+G34</f>
        <v/>
      </c>
      <c r="K34" s="8">
        <f>E34+H34</f>
        <v/>
      </c>
      <c r="L34" s="8">
        <f>J34+K34</f>
        <v/>
      </c>
      <c r="M34" s="9">
        <f>IF(C34=0,0,L34/C34*100)</f>
        <v/>
      </c>
    </row>
    <row r="35">
      <c r="A35" s="7" t="n">
        <v>5</v>
      </c>
      <c r="B35" s="8">
        <f>B9</f>
        <v/>
      </c>
      <c r="C35" s="8">
        <f>C9</f>
        <v/>
      </c>
      <c r="D35" s="14" t="n"/>
      <c r="E35" s="14" t="n"/>
      <c r="F35" s="8">
        <f>D35+E35</f>
        <v/>
      </c>
      <c r="G35" s="14" t="n"/>
      <c r="H35" s="14" t="n"/>
      <c r="I35" s="8">
        <f>G35+H35</f>
        <v/>
      </c>
      <c r="J35" s="8">
        <f>D35+G35</f>
        <v/>
      </c>
      <c r="K35" s="8">
        <f>E35+H35</f>
        <v/>
      </c>
      <c r="L35" s="8">
        <f>J35+K35</f>
        <v/>
      </c>
      <c r="M35" s="9">
        <f>IF(C35=0,0,L35/C35*100)</f>
        <v/>
      </c>
    </row>
    <row r="36">
      <c r="A36" s="7" t="n">
        <v>6</v>
      </c>
      <c r="B36" s="8">
        <f>B10</f>
        <v/>
      </c>
      <c r="C36" s="8">
        <f>C10</f>
        <v/>
      </c>
      <c r="D36" s="14" t="n"/>
      <c r="E36" s="14" t="n"/>
      <c r="F36" s="8">
        <f>D36+E36</f>
        <v/>
      </c>
      <c r="G36" s="14" t="n"/>
      <c r="H36" s="14" t="n"/>
      <c r="I36" s="8">
        <f>G36+H36</f>
        <v/>
      </c>
      <c r="J36" s="8">
        <f>D36+G36</f>
        <v/>
      </c>
      <c r="K36" s="8">
        <f>E36+H36</f>
        <v/>
      </c>
      <c r="L36" s="8">
        <f>J36+K36</f>
        <v/>
      </c>
      <c r="M36" s="9">
        <f>IF(C36=0,0,L36/C36*100)</f>
        <v/>
      </c>
    </row>
    <row r="37">
      <c r="A37" s="7" t="n">
        <v>7</v>
      </c>
      <c r="B37" s="8">
        <f>B11</f>
        <v/>
      </c>
      <c r="C37" s="8">
        <f>C11</f>
        <v/>
      </c>
      <c r="D37" s="14" t="n"/>
      <c r="E37" s="14" t="n"/>
      <c r="F37" s="8">
        <f>D37+E37</f>
        <v/>
      </c>
      <c r="G37" s="14" t="n"/>
      <c r="H37" s="14" t="n"/>
      <c r="I37" s="8">
        <f>G37+H37</f>
        <v/>
      </c>
      <c r="J37" s="8">
        <f>D37+G37</f>
        <v/>
      </c>
      <c r="K37" s="8">
        <f>E37+H37</f>
        <v/>
      </c>
      <c r="L37" s="8">
        <f>J37+K37</f>
        <v/>
      </c>
      <c r="M37" s="9">
        <f>IF(C37=0,0,L37/C37*100)</f>
        <v/>
      </c>
    </row>
    <row r="38">
      <c r="A38" s="10" t="inlineStr">
        <is>
          <t>Total</t>
        </is>
      </c>
      <c r="B38" s="11">
        <f>SUM(B31:B37)</f>
        <v/>
      </c>
      <c r="C38" s="11">
        <f>SUM(C31:C37)</f>
        <v/>
      </c>
      <c r="D38" s="11">
        <f>SUM(D31:D37)</f>
        <v/>
      </c>
      <c r="E38" s="11">
        <f>SUM(E31:E37)</f>
        <v/>
      </c>
      <c r="F38" s="11">
        <f>D38+E38</f>
        <v/>
      </c>
      <c r="G38" s="11">
        <f>SUM(G31:G37)</f>
        <v/>
      </c>
      <c r="H38" s="11">
        <f>SUM(H31:H37)</f>
        <v/>
      </c>
      <c r="I38" s="11">
        <f>G38+H38</f>
        <v/>
      </c>
      <c r="J38" s="11">
        <f>D38+G38</f>
        <v/>
      </c>
      <c r="K38" s="11">
        <f>E38+H38</f>
        <v/>
      </c>
      <c r="L38" s="11">
        <f>J38+K38</f>
        <v/>
      </c>
      <c r="M38" s="12">
        <f>IF(C38=0,0,L38/C38*100)</f>
        <v/>
      </c>
    </row>
    <row r="40">
      <c r="A40" s="13" t="inlineStr">
        <is>
          <t>Day 3 - 2026-10-07 (Wed 21 Aswin 2083)</t>
        </is>
      </c>
    </row>
    <row r="41">
      <c r="A41" s="6" t="inlineStr">
        <is>
          <t>Ward no.</t>
        </is>
      </c>
      <c r="B41" s="6" t="inlineStr">
        <is>
          <t>Total population</t>
        </is>
      </c>
      <c r="C41" s="6" t="inlineStr">
        <is>
          <t>JE target population</t>
        </is>
      </c>
      <c r="D41" s="6" t="inlineStr">
        <is>
          <t>Vaccinated</t>
        </is>
      </c>
      <c r="E41" s="6" t="n"/>
      <c r="F41" s="6" t="n"/>
      <c r="G41" s="6" t="n"/>
      <c r="H41" s="6" t="n"/>
      <c r="I41" s="6" t="n"/>
      <c r="J41" s="6" t="n"/>
      <c r="K41" s="6" t="n"/>
      <c r="L41" s="6" t="n"/>
      <c r="M41" s="6" t="inlineStr">
        <is>
          <t>Progress %</t>
        </is>
      </c>
    </row>
    <row r="42">
      <c r="A42" s="6" t="n"/>
      <c r="B42" s="6" t="n"/>
      <c r="C42" s="6" t="n"/>
      <c r="D42" s="6" t="inlineStr">
        <is>
          <t>Age 30-60 yrs</t>
        </is>
      </c>
      <c r="E42" s="6" t="n"/>
      <c r="F42" s="6" t="n"/>
      <c r="G42" s="6" t="inlineStr">
        <is>
          <t>Age 60 above</t>
        </is>
      </c>
      <c r="H42" s="6" t="n"/>
      <c r="I42" s="6" t="n"/>
      <c r="J42" s="6" t="inlineStr">
        <is>
          <t>Total</t>
        </is>
      </c>
      <c r="K42" s="6" t="n"/>
      <c r="L42" s="6" t="inlineStr">
        <is>
          <t>Grand Total</t>
        </is>
      </c>
      <c r="M42" s="6" t="n"/>
    </row>
    <row r="43">
      <c r="A43" s="6" t="n"/>
      <c r="B43" s="6" t="n"/>
      <c r="C43" s="6" t="n"/>
      <c r="D43" s="6" t="inlineStr">
        <is>
          <t>F</t>
        </is>
      </c>
      <c r="E43" s="6" t="inlineStr">
        <is>
          <t>M</t>
        </is>
      </c>
      <c r="F43" s="6" t="inlineStr">
        <is>
          <t>Total</t>
        </is>
      </c>
      <c r="G43" s="6" t="inlineStr">
        <is>
          <t>F</t>
        </is>
      </c>
      <c r="H43" s="6" t="inlineStr">
        <is>
          <t>M</t>
        </is>
      </c>
      <c r="I43" s="6" t="inlineStr">
        <is>
          <t>Total</t>
        </is>
      </c>
      <c r="J43" s="6" t="inlineStr">
        <is>
          <t>F</t>
        </is>
      </c>
      <c r="K43" s="6" t="inlineStr">
        <is>
          <t>M</t>
        </is>
      </c>
      <c r="L43" s="6" t="n"/>
      <c r="M43" s="6" t="n"/>
    </row>
    <row r="44">
      <c r="A44" s="7" t="n">
        <v>1</v>
      </c>
      <c r="B44" s="8">
        <f>B5</f>
        <v/>
      </c>
      <c r="C44" s="8">
        <f>C5</f>
        <v/>
      </c>
      <c r="D44" s="14" t="n"/>
      <c r="E44" s="14" t="n"/>
      <c r="F44" s="8">
        <f>D44+E44</f>
        <v/>
      </c>
      <c r="G44" s="14" t="n"/>
      <c r="H44" s="14" t="n"/>
      <c r="I44" s="8">
        <f>G44+H44</f>
        <v/>
      </c>
      <c r="J44" s="8">
        <f>D44+G44</f>
        <v/>
      </c>
      <c r="K44" s="8">
        <f>E44+H44</f>
        <v/>
      </c>
      <c r="L44" s="8">
        <f>J44+K44</f>
        <v/>
      </c>
      <c r="M44" s="9">
        <f>IF(C44=0,0,L44/C44*100)</f>
        <v/>
      </c>
    </row>
    <row r="45">
      <c r="A45" s="7" t="n">
        <v>2</v>
      </c>
      <c r="B45" s="8">
        <f>B6</f>
        <v/>
      </c>
      <c r="C45" s="8">
        <f>C6</f>
        <v/>
      </c>
      <c r="D45" s="14" t="n"/>
      <c r="E45" s="14" t="n"/>
      <c r="F45" s="8">
        <f>D45+E45</f>
        <v/>
      </c>
      <c r="G45" s="14" t="n"/>
      <c r="H45" s="14" t="n"/>
      <c r="I45" s="8">
        <f>G45+H45</f>
        <v/>
      </c>
      <c r="J45" s="8">
        <f>D45+G45</f>
        <v/>
      </c>
      <c r="K45" s="8">
        <f>E45+H45</f>
        <v/>
      </c>
      <c r="L45" s="8">
        <f>J45+K45</f>
        <v/>
      </c>
      <c r="M45" s="9">
        <f>IF(C45=0,0,L45/C45*100)</f>
        <v/>
      </c>
    </row>
    <row r="46">
      <c r="A46" s="7" t="n">
        <v>3</v>
      </c>
      <c r="B46" s="8">
        <f>B7</f>
        <v/>
      </c>
      <c r="C46" s="8">
        <f>C7</f>
        <v/>
      </c>
      <c r="D46" s="14" t="n"/>
      <c r="E46" s="14" t="n"/>
      <c r="F46" s="8">
        <f>D46+E46</f>
        <v/>
      </c>
      <c r="G46" s="14" t="n"/>
      <c r="H46" s="14" t="n"/>
      <c r="I46" s="8">
        <f>G46+H46</f>
        <v/>
      </c>
      <c r="J46" s="8">
        <f>D46+G46</f>
        <v/>
      </c>
      <c r="K46" s="8">
        <f>E46+H46</f>
        <v/>
      </c>
      <c r="L46" s="8">
        <f>J46+K46</f>
        <v/>
      </c>
      <c r="M46" s="9">
        <f>IF(C46=0,0,L46/C46*100)</f>
        <v/>
      </c>
    </row>
    <row r="47">
      <c r="A47" s="7" t="n">
        <v>4</v>
      </c>
      <c r="B47" s="8">
        <f>B8</f>
        <v/>
      </c>
      <c r="C47" s="8">
        <f>C8</f>
        <v/>
      </c>
      <c r="D47" s="14" t="n"/>
      <c r="E47" s="14" t="n"/>
      <c r="F47" s="8">
        <f>D47+E47</f>
        <v/>
      </c>
      <c r="G47" s="14" t="n"/>
      <c r="H47" s="14" t="n"/>
      <c r="I47" s="8">
        <f>G47+H47</f>
        <v/>
      </c>
      <c r="J47" s="8">
        <f>D47+G47</f>
        <v/>
      </c>
      <c r="K47" s="8">
        <f>E47+H47</f>
        <v/>
      </c>
      <c r="L47" s="8">
        <f>J47+K47</f>
        <v/>
      </c>
      <c r="M47" s="9">
        <f>IF(C47=0,0,L47/C47*100)</f>
        <v/>
      </c>
    </row>
    <row r="48">
      <c r="A48" s="7" t="n">
        <v>5</v>
      </c>
      <c r="B48" s="8">
        <f>B9</f>
        <v/>
      </c>
      <c r="C48" s="8">
        <f>C9</f>
        <v/>
      </c>
      <c r="D48" s="14" t="n"/>
      <c r="E48" s="14" t="n"/>
      <c r="F48" s="8">
        <f>D48+E48</f>
        <v/>
      </c>
      <c r="G48" s="14" t="n"/>
      <c r="H48" s="14" t="n"/>
      <c r="I48" s="8">
        <f>G48+H48</f>
        <v/>
      </c>
      <c r="J48" s="8">
        <f>D48+G48</f>
        <v/>
      </c>
      <c r="K48" s="8">
        <f>E48+H48</f>
        <v/>
      </c>
      <c r="L48" s="8">
        <f>J48+K48</f>
        <v/>
      </c>
      <c r="M48" s="9">
        <f>IF(C48=0,0,L48/C48*100)</f>
        <v/>
      </c>
    </row>
    <row r="49">
      <c r="A49" s="7" t="n">
        <v>6</v>
      </c>
      <c r="B49" s="8">
        <f>B10</f>
        <v/>
      </c>
      <c r="C49" s="8">
        <f>C10</f>
        <v/>
      </c>
      <c r="D49" s="14" t="n"/>
      <c r="E49" s="14" t="n"/>
      <c r="F49" s="8">
        <f>D49+E49</f>
        <v/>
      </c>
      <c r="G49" s="14" t="n"/>
      <c r="H49" s="14" t="n"/>
      <c r="I49" s="8">
        <f>G49+H49</f>
        <v/>
      </c>
      <c r="J49" s="8">
        <f>D49+G49</f>
        <v/>
      </c>
      <c r="K49" s="8">
        <f>E49+H49</f>
        <v/>
      </c>
      <c r="L49" s="8">
        <f>J49+K49</f>
        <v/>
      </c>
      <c r="M49" s="9">
        <f>IF(C49=0,0,L49/C49*100)</f>
        <v/>
      </c>
    </row>
    <row r="50">
      <c r="A50" s="7" t="n">
        <v>7</v>
      </c>
      <c r="B50" s="8">
        <f>B11</f>
        <v/>
      </c>
      <c r="C50" s="8">
        <f>C11</f>
        <v/>
      </c>
      <c r="D50" s="14" t="n"/>
      <c r="E50" s="14" t="n"/>
      <c r="F50" s="8">
        <f>D50+E50</f>
        <v/>
      </c>
      <c r="G50" s="14" t="n"/>
      <c r="H50" s="14" t="n"/>
      <c r="I50" s="8">
        <f>G50+H50</f>
        <v/>
      </c>
      <c r="J50" s="8">
        <f>D50+G50</f>
        <v/>
      </c>
      <c r="K50" s="8">
        <f>E50+H50</f>
        <v/>
      </c>
      <c r="L50" s="8">
        <f>J50+K50</f>
        <v/>
      </c>
      <c r="M50" s="9">
        <f>IF(C50=0,0,L50/C50*100)</f>
        <v/>
      </c>
    </row>
    <row r="51">
      <c r="A51" s="10" t="inlineStr">
        <is>
          <t>Total</t>
        </is>
      </c>
      <c r="B51" s="11">
        <f>SUM(B44:B50)</f>
        <v/>
      </c>
      <c r="C51" s="11">
        <f>SUM(C44:C50)</f>
        <v/>
      </c>
      <c r="D51" s="11">
        <f>SUM(D44:D50)</f>
        <v/>
      </c>
      <c r="E51" s="11">
        <f>SUM(E44:E50)</f>
        <v/>
      </c>
      <c r="F51" s="11">
        <f>D51+E51</f>
        <v/>
      </c>
      <c r="G51" s="11">
        <f>SUM(G44:G50)</f>
        <v/>
      </c>
      <c r="H51" s="11">
        <f>SUM(H44:H50)</f>
        <v/>
      </c>
      <c r="I51" s="11">
        <f>G51+H51</f>
        <v/>
      </c>
      <c r="J51" s="11">
        <f>D51+G51</f>
        <v/>
      </c>
      <c r="K51" s="11">
        <f>E51+H51</f>
        <v/>
      </c>
      <c r="L51" s="11">
        <f>J51+K51</f>
        <v/>
      </c>
      <c r="M51" s="12">
        <f>IF(C51=0,0,L51/C51*100)</f>
        <v/>
      </c>
    </row>
    <row r="53">
      <c r="A53" s="13" t="inlineStr">
        <is>
          <t>Day 4 - 2026-10-08 (Thu 22 Aswin 2083)</t>
        </is>
      </c>
    </row>
    <row r="54">
      <c r="A54" s="6" t="inlineStr">
        <is>
          <t>Ward no.</t>
        </is>
      </c>
      <c r="B54" s="6" t="inlineStr">
        <is>
          <t>Total population</t>
        </is>
      </c>
      <c r="C54" s="6" t="inlineStr">
        <is>
          <t>JE target population</t>
        </is>
      </c>
      <c r="D54" s="6" t="inlineStr">
        <is>
          <t>Vaccinated</t>
        </is>
      </c>
      <c r="E54" s="6" t="n"/>
      <c r="F54" s="6" t="n"/>
      <c r="G54" s="6" t="n"/>
      <c r="H54" s="6" t="n"/>
      <c r="I54" s="6" t="n"/>
      <c r="J54" s="6" t="n"/>
      <c r="K54" s="6" t="n"/>
      <c r="L54" s="6" t="n"/>
      <c r="M54" s="6" t="inlineStr">
        <is>
          <t>Progress %</t>
        </is>
      </c>
    </row>
    <row r="55">
      <c r="A55" s="6" t="n"/>
      <c r="B55" s="6" t="n"/>
      <c r="C55" s="6" t="n"/>
      <c r="D55" s="6" t="inlineStr">
        <is>
          <t>Age 30-60 yrs</t>
        </is>
      </c>
      <c r="E55" s="6" t="n"/>
      <c r="F55" s="6" t="n"/>
      <c r="G55" s="6" t="inlineStr">
        <is>
          <t>Age 60 above</t>
        </is>
      </c>
      <c r="H55" s="6" t="n"/>
      <c r="I55" s="6" t="n"/>
      <c r="J55" s="6" t="inlineStr">
        <is>
          <t>Total</t>
        </is>
      </c>
      <c r="K55" s="6" t="n"/>
      <c r="L55" s="6" t="inlineStr">
        <is>
          <t>Grand Total</t>
        </is>
      </c>
      <c r="M55" s="6" t="n"/>
    </row>
    <row r="56">
      <c r="A56" s="6" t="n"/>
      <c r="B56" s="6" t="n"/>
      <c r="C56" s="6" t="n"/>
      <c r="D56" s="6" t="inlineStr">
        <is>
          <t>F</t>
        </is>
      </c>
      <c r="E56" s="6" t="inlineStr">
        <is>
          <t>M</t>
        </is>
      </c>
      <c r="F56" s="6" t="inlineStr">
        <is>
          <t>Total</t>
        </is>
      </c>
      <c r="G56" s="6" t="inlineStr">
        <is>
          <t>F</t>
        </is>
      </c>
      <c r="H56" s="6" t="inlineStr">
        <is>
          <t>M</t>
        </is>
      </c>
      <c r="I56" s="6" t="inlineStr">
        <is>
          <t>Total</t>
        </is>
      </c>
      <c r="J56" s="6" t="inlineStr">
        <is>
          <t>F</t>
        </is>
      </c>
      <c r="K56" s="6" t="inlineStr">
        <is>
          <t>M</t>
        </is>
      </c>
      <c r="L56" s="6" t="n"/>
      <c r="M56" s="6" t="n"/>
    </row>
    <row r="57">
      <c r="A57" s="7" t="n">
        <v>1</v>
      </c>
      <c r="B57" s="8">
        <f>B5</f>
        <v/>
      </c>
      <c r="C57" s="8">
        <f>C5</f>
        <v/>
      </c>
      <c r="D57" s="14" t="n"/>
      <c r="E57" s="14" t="n"/>
      <c r="F57" s="8">
        <f>D57+E57</f>
        <v/>
      </c>
      <c r="G57" s="14" t="n"/>
      <c r="H57" s="14" t="n"/>
      <c r="I57" s="8">
        <f>G57+H57</f>
        <v/>
      </c>
      <c r="J57" s="8">
        <f>D57+G57</f>
        <v/>
      </c>
      <c r="K57" s="8">
        <f>E57+H57</f>
        <v/>
      </c>
      <c r="L57" s="8">
        <f>J57+K57</f>
        <v/>
      </c>
      <c r="M57" s="9">
        <f>IF(C57=0,0,L57/C57*100)</f>
        <v/>
      </c>
    </row>
    <row r="58">
      <c r="A58" s="7" t="n">
        <v>2</v>
      </c>
      <c r="B58" s="8">
        <f>B6</f>
        <v/>
      </c>
      <c r="C58" s="8">
        <f>C6</f>
        <v/>
      </c>
      <c r="D58" s="14" t="n"/>
      <c r="E58" s="14" t="n"/>
      <c r="F58" s="8">
        <f>D58+E58</f>
        <v/>
      </c>
      <c r="G58" s="14" t="n"/>
      <c r="H58" s="14" t="n"/>
      <c r="I58" s="8">
        <f>G58+H58</f>
        <v/>
      </c>
      <c r="J58" s="8">
        <f>D58+G58</f>
        <v/>
      </c>
      <c r="K58" s="8">
        <f>E58+H58</f>
        <v/>
      </c>
      <c r="L58" s="8">
        <f>J58+K58</f>
        <v/>
      </c>
      <c r="M58" s="9">
        <f>IF(C58=0,0,L58/C58*100)</f>
        <v/>
      </c>
    </row>
    <row r="59">
      <c r="A59" s="7" t="n">
        <v>3</v>
      </c>
      <c r="B59" s="8">
        <f>B7</f>
        <v/>
      </c>
      <c r="C59" s="8">
        <f>C7</f>
        <v/>
      </c>
      <c r="D59" s="14" t="n"/>
      <c r="E59" s="14" t="n"/>
      <c r="F59" s="8">
        <f>D59+E59</f>
        <v/>
      </c>
      <c r="G59" s="14" t="n"/>
      <c r="H59" s="14" t="n"/>
      <c r="I59" s="8">
        <f>G59+H59</f>
        <v/>
      </c>
      <c r="J59" s="8">
        <f>D59+G59</f>
        <v/>
      </c>
      <c r="K59" s="8">
        <f>E59+H59</f>
        <v/>
      </c>
      <c r="L59" s="8">
        <f>J59+K59</f>
        <v/>
      </c>
      <c r="M59" s="9">
        <f>IF(C59=0,0,L59/C59*100)</f>
        <v/>
      </c>
    </row>
    <row r="60">
      <c r="A60" s="7" t="n">
        <v>4</v>
      </c>
      <c r="B60" s="8">
        <f>B8</f>
        <v/>
      </c>
      <c r="C60" s="8">
        <f>C8</f>
        <v/>
      </c>
      <c r="D60" s="14" t="n"/>
      <c r="E60" s="14" t="n"/>
      <c r="F60" s="8">
        <f>D60+E60</f>
        <v/>
      </c>
      <c r="G60" s="14" t="n"/>
      <c r="H60" s="14" t="n"/>
      <c r="I60" s="8">
        <f>G60+H60</f>
        <v/>
      </c>
      <c r="J60" s="8">
        <f>D60+G60</f>
        <v/>
      </c>
      <c r="K60" s="8">
        <f>E60+H60</f>
        <v/>
      </c>
      <c r="L60" s="8">
        <f>J60+K60</f>
        <v/>
      </c>
      <c r="M60" s="9">
        <f>IF(C60=0,0,L60/C60*100)</f>
        <v/>
      </c>
    </row>
    <row r="61">
      <c r="A61" s="7" t="n">
        <v>5</v>
      </c>
      <c r="B61" s="8">
        <f>B9</f>
        <v/>
      </c>
      <c r="C61" s="8">
        <f>C9</f>
        <v/>
      </c>
      <c r="D61" s="14" t="n"/>
      <c r="E61" s="14" t="n"/>
      <c r="F61" s="8">
        <f>D61+E61</f>
        <v/>
      </c>
      <c r="G61" s="14" t="n"/>
      <c r="H61" s="14" t="n"/>
      <c r="I61" s="8">
        <f>G61+H61</f>
        <v/>
      </c>
      <c r="J61" s="8">
        <f>D61+G61</f>
        <v/>
      </c>
      <c r="K61" s="8">
        <f>E61+H61</f>
        <v/>
      </c>
      <c r="L61" s="8">
        <f>J61+K61</f>
        <v/>
      </c>
      <c r="M61" s="9">
        <f>IF(C61=0,0,L61/C61*100)</f>
        <v/>
      </c>
    </row>
    <row r="62">
      <c r="A62" s="7" t="n">
        <v>6</v>
      </c>
      <c r="B62" s="8">
        <f>B10</f>
        <v/>
      </c>
      <c r="C62" s="8">
        <f>C10</f>
        <v/>
      </c>
      <c r="D62" s="14" t="n"/>
      <c r="E62" s="14" t="n"/>
      <c r="F62" s="8">
        <f>D62+E62</f>
        <v/>
      </c>
      <c r="G62" s="14" t="n"/>
      <c r="H62" s="14" t="n"/>
      <c r="I62" s="8">
        <f>G62+H62</f>
        <v/>
      </c>
      <c r="J62" s="8">
        <f>D62+G62</f>
        <v/>
      </c>
      <c r="K62" s="8">
        <f>E62+H62</f>
        <v/>
      </c>
      <c r="L62" s="8">
        <f>J62+K62</f>
        <v/>
      </c>
      <c r="M62" s="9">
        <f>IF(C62=0,0,L62/C62*100)</f>
        <v/>
      </c>
    </row>
    <row r="63">
      <c r="A63" s="7" t="n">
        <v>7</v>
      </c>
      <c r="B63" s="8">
        <f>B11</f>
        <v/>
      </c>
      <c r="C63" s="8">
        <f>C11</f>
        <v/>
      </c>
      <c r="D63" s="14" t="n"/>
      <c r="E63" s="14" t="n"/>
      <c r="F63" s="8">
        <f>D63+E63</f>
        <v/>
      </c>
      <c r="G63" s="14" t="n"/>
      <c r="H63" s="14" t="n"/>
      <c r="I63" s="8">
        <f>G63+H63</f>
        <v/>
      </c>
      <c r="J63" s="8">
        <f>D63+G63</f>
        <v/>
      </c>
      <c r="K63" s="8">
        <f>E63+H63</f>
        <v/>
      </c>
      <c r="L63" s="8">
        <f>J63+K63</f>
        <v/>
      </c>
      <c r="M63" s="9">
        <f>IF(C63=0,0,L63/C63*100)</f>
        <v/>
      </c>
    </row>
    <row r="64">
      <c r="A64" s="10" t="inlineStr">
        <is>
          <t>Total</t>
        </is>
      </c>
      <c r="B64" s="11">
        <f>SUM(B57:B63)</f>
        <v/>
      </c>
      <c r="C64" s="11">
        <f>SUM(C57:C63)</f>
        <v/>
      </c>
      <c r="D64" s="11">
        <f>SUM(D57:D63)</f>
        <v/>
      </c>
      <c r="E64" s="11">
        <f>SUM(E57:E63)</f>
        <v/>
      </c>
      <c r="F64" s="11">
        <f>D64+E64</f>
        <v/>
      </c>
      <c r="G64" s="11">
        <f>SUM(G57:G63)</f>
        <v/>
      </c>
      <c r="H64" s="11">
        <f>SUM(H57:H63)</f>
        <v/>
      </c>
      <c r="I64" s="11">
        <f>G64+H64</f>
        <v/>
      </c>
      <c r="J64" s="11">
        <f>D64+G64</f>
        <v/>
      </c>
      <c r="K64" s="11">
        <f>E64+H64</f>
        <v/>
      </c>
      <c r="L64" s="11">
        <f>J64+K64</f>
        <v/>
      </c>
      <c r="M64" s="12">
        <f>IF(C64=0,0,L64/C64*100)</f>
        <v/>
      </c>
    </row>
    <row r="66">
      <c r="A66" s="13" t="inlineStr">
        <is>
          <t>Day 5 - 2026-10-09 (Fri 23 Aswin 2083)</t>
        </is>
      </c>
    </row>
    <row r="67">
      <c r="A67" s="6" t="inlineStr">
        <is>
          <t>Ward no.</t>
        </is>
      </c>
      <c r="B67" s="6" t="inlineStr">
        <is>
          <t>Total population</t>
        </is>
      </c>
      <c r="C67" s="6" t="inlineStr">
        <is>
          <t>JE target population</t>
        </is>
      </c>
      <c r="D67" s="6" t="inlineStr">
        <is>
          <t>Vaccinated</t>
        </is>
      </c>
      <c r="E67" s="6" t="n"/>
      <c r="F67" s="6" t="n"/>
      <c r="G67" s="6" t="n"/>
      <c r="H67" s="6" t="n"/>
      <c r="I67" s="6" t="n"/>
      <c r="J67" s="6" t="n"/>
      <c r="K67" s="6" t="n"/>
      <c r="L67" s="6" t="n"/>
      <c r="M67" s="6" t="inlineStr">
        <is>
          <t>Progress %</t>
        </is>
      </c>
    </row>
    <row r="68">
      <c r="A68" s="6" t="n"/>
      <c r="B68" s="6" t="n"/>
      <c r="C68" s="6" t="n"/>
      <c r="D68" s="6" t="inlineStr">
        <is>
          <t>Age 30-60 yrs</t>
        </is>
      </c>
      <c r="E68" s="6" t="n"/>
      <c r="F68" s="6" t="n"/>
      <c r="G68" s="6" t="inlineStr">
        <is>
          <t>Age 60 above</t>
        </is>
      </c>
      <c r="H68" s="6" t="n"/>
      <c r="I68" s="6" t="n"/>
      <c r="J68" s="6" t="inlineStr">
        <is>
          <t>Total</t>
        </is>
      </c>
      <c r="K68" s="6" t="n"/>
      <c r="L68" s="6" t="inlineStr">
        <is>
          <t>Grand Total</t>
        </is>
      </c>
      <c r="M68" s="6" t="n"/>
    </row>
    <row r="69">
      <c r="A69" s="6" t="n"/>
      <c r="B69" s="6" t="n"/>
      <c r="C69" s="6" t="n"/>
      <c r="D69" s="6" t="inlineStr">
        <is>
          <t>F</t>
        </is>
      </c>
      <c r="E69" s="6" t="inlineStr">
        <is>
          <t>M</t>
        </is>
      </c>
      <c r="F69" s="6" t="inlineStr">
        <is>
          <t>Total</t>
        </is>
      </c>
      <c r="G69" s="6" t="inlineStr">
        <is>
          <t>F</t>
        </is>
      </c>
      <c r="H69" s="6" t="inlineStr">
        <is>
          <t>M</t>
        </is>
      </c>
      <c r="I69" s="6" t="inlineStr">
        <is>
          <t>Total</t>
        </is>
      </c>
      <c r="J69" s="6" t="inlineStr">
        <is>
          <t>F</t>
        </is>
      </c>
      <c r="K69" s="6" t="inlineStr">
        <is>
          <t>M</t>
        </is>
      </c>
      <c r="L69" s="6" t="n"/>
      <c r="M69" s="6" t="n"/>
    </row>
    <row r="70">
      <c r="A70" s="7" t="n">
        <v>1</v>
      </c>
      <c r="B70" s="8">
        <f>B5</f>
        <v/>
      </c>
      <c r="C70" s="8">
        <f>C5</f>
        <v/>
      </c>
      <c r="D70" s="14" t="n"/>
      <c r="E70" s="14" t="n"/>
      <c r="F70" s="8">
        <f>D70+E70</f>
        <v/>
      </c>
      <c r="G70" s="14" t="n"/>
      <c r="H70" s="14" t="n"/>
      <c r="I70" s="8">
        <f>G70+H70</f>
        <v/>
      </c>
      <c r="J70" s="8">
        <f>D70+G70</f>
        <v/>
      </c>
      <c r="K70" s="8">
        <f>E70+H70</f>
        <v/>
      </c>
      <c r="L70" s="8">
        <f>J70+K70</f>
        <v/>
      </c>
      <c r="M70" s="9">
        <f>IF(C70=0,0,L70/C70*100)</f>
        <v/>
      </c>
    </row>
    <row r="71">
      <c r="A71" s="7" t="n">
        <v>2</v>
      </c>
      <c r="B71" s="8">
        <f>B6</f>
        <v/>
      </c>
      <c r="C71" s="8">
        <f>C6</f>
        <v/>
      </c>
      <c r="D71" s="14" t="n"/>
      <c r="E71" s="14" t="n"/>
      <c r="F71" s="8">
        <f>D71+E71</f>
        <v/>
      </c>
      <c r="G71" s="14" t="n"/>
      <c r="H71" s="14" t="n"/>
      <c r="I71" s="8">
        <f>G71+H71</f>
        <v/>
      </c>
      <c r="J71" s="8">
        <f>D71+G71</f>
        <v/>
      </c>
      <c r="K71" s="8">
        <f>E71+H71</f>
        <v/>
      </c>
      <c r="L71" s="8">
        <f>J71+K71</f>
        <v/>
      </c>
      <c r="M71" s="9">
        <f>IF(C71=0,0,L71/C71*100)</f>
        <v/>
      </c>
    </row>
    <row r="72">
      <c r="A72" s="7" t="n">
        <v>3</v>
      </c>
      <c r="B72" s="8">
        <f>B7</f>
        <v/>
      </c>
      <c r="C72" s="8">
        <f>C7</f>
        <v/>
      </c>
      <c r="D72" s="14" t="n"/>
      <c r="E72" s="14" t="n"/>
      <c r="F72" s="8">
        <f>D72+E72</f>
        <v/>
      </c>
      <c r="G72" s="14" t="n"/>
      <c r="H72" s="14" t="n"/>
      <c r="I72" s="8">
        <f>G72+H72</f>
        <v/>
      </c>
      <c r="J72" s="8">
        <f>D72+G72</f>
        <v/>
      </c>
      <c r="K72" s="8">
        <f>E72+H72</f>
        <v/>
      </c>
      <c r="L72" s="8">
        <f>J72+K72</f>
        <v/>
      </c>
      <c r="M72" s="9">
        <f>IF(C72=0,0,L72/C72*100)</f>
        <v/>
      </c>
    </row>
    <row r="73">
      <c r="A73" s="7" t="n">
        <v>4</v>
      </c>
      <c r="B73" s="8">
        <f>B8</f>
        <v/>
      </c>
      <c r="C73" s="8">
        <f>C8</f>
        <v/>
      </c>
      <c r="D73" s="14" t="n"/>
      <c r="E73" s="14" t="n"/>
      <c r="F73" s="8">
        <f>D73+E73</f>
        <v/>
      </c>
      <c r="G73" s="14" t="n"/>
      <c r="H73" s="14" t="n"/>
      <c r="I73" s="8">
        <f>G73+H73</f>
        <v/>
      </c>
      <c r="J73" s="8">
        <f>D73+G73</f>
        <v/>
      </c>
      <c r="K73" s="8">
        <f>E73+H73</f>
        <v/>
      </c>
      <c r="L73" s="8">
        <f>J73+K73</f>
        <v/>
      </c>
      <c r="M73" s="9">
        <f>IF(C73=0,0,L73/C73*100)</f>
        <v/>
      </c>
    </row>
    <row r="74">
      <c r="A74" s="7" t="n">
        <v>5</v>
      </c>
      <c r="B74" s="8">
        <f>B9</f>
        <v/>
      </c>
      <c r="C74" s="8">
        <f>C9</f>
        <v/>
      </c>
      <c r="D74" s="14" t="n"/>
      <c r="E74" s="14" t="n"/>
      <c r="F74" s="8">
        <f>D74+E74</f>
        <v/>
      </c>
      <c r="G74" s="14" t="n"/>
      <c r="H74" s="14" t="n"/>
      <c r="I74" s="8">
        <f>G74+H74</f>
        <v/>
      </c>
      <c r="J74" s="8">
        <f>D74+G74</f>
        <v/>
      </c>
      <c r="K74" s="8">
        <f>E74+H74</f>
        <v/>
      </c>
      <c r="L74" s="8">
        <f>J74+K74</f>
        <v/>
      </c>
      <c r="M74" s="9">
        <f>IF(C74=0,0,L74/C74*100)</f>
        <v/>
      </c>
    </row>
    <row r="75">
      <c r="A75" s="7" t="n">
        <v>6</v>
      </c>
      <c r="B75" s="8">
        <f>B10</f>
        <v/>
      </c>
      <c r="C75" s="8">
        <f>C10</f>
        <v/>
      </c>
      <c r="D75" s="14" t="n"/>
      <c r="E75" s="14" t="n"/>
      <c r="F75" s="8">
        <f>D75+E75</f>
        <v/>
      </c>
      <c r="G75" s="14" t="n"/>
      <c r="H75" s="14" t="n"/>
      <c r="I75" s="8">
        <f>G75+H75</f>
        <v/>
      </c>
      <c r="J75" s="8">
        <f>D75+G75</f>
        <v/>
      </c>
      <c r="K75" s="8">
        <f>E75+H75</f>
        <v/>
      </c>
      <c r="L75" s="8">
        <f>J75+K75</f>
        <v/>
      </c>
      <c r="M75" s="9">
        <f>IF(C75=0,0,L75/C75*100)</f>
        <v/>
      </c>
    </row>
    <row r="76">
      <c r="A76" s="7" t="n">
        <v>7</v>
      </c>
      <c r="B76" s="8">
        <f>B11</f>
        <v/>
      </c>
      <c r="C76" s="8">
        <f>C11</f>
        <v/>
      </c>
      <c r="D76" s="14" t="n"/>
      <c r="E76" s="14" t="n"/>
      <c r="F76" s="8">
        <f>D76+E76</f>
        <v/>
      </c>
      <c r="G76" s="14" t="n"/>
      <c r="H76" s="14" t="n"/>
      <c r="I76" s="8">
        <f>G76+H76</f>
        <v/>
      </c>
      <c r="J76" s="8">
        <f>D76+G76</f>
        <v/>
      </c>
      <c r="K76" s="8">
        <f>E76+H76</f>
        <v/>
      </c>
      <c r="L76" s="8">
        <f>J76+K76</f>
        <v/>
      </c>
      <c r="M76" s="9">
        <f>IF(C76=0,0,L76/C76*100)</f>
        <v/>
      </c>
    </row>
    <row r="77">
      <c r="A77" s="10" t="inlineStr">
        <is>
          <t>Total</t>
        </is>
      </c>
      <c r="B77" s="11">
        <f>SUM(B70:B76)</f>
        <v/>
      </c>
      <c r="C77" s="11">
        <f>SUM(C70:C76)</f>
        <v/>
      </c>
      <c r="D77" s="11">
        <f>SUM(D70:D76)</f>
        <v/>
      </c>
      <c r="E77" s="11">
        <f>SUM(E70:E76)</f>
        <v/>
      </c>
      <c r="F77" s="11">
        <f>D77+E77</f>
        <v/>
      </c>
      <c r="G77" s="11">
        <f>SUM(G70:G76)</f>
        <v/>
      </c>
      <c r="H77" s="11">
        <f>SUM(H70:H76)</f>
        <v/>
      </c>
      <c r="I77" s="11">
        <f>G77+H77</f>
        <v/>
      </c>
      <c r="J77" s="11">
        <f>D77+G77</f>
        <v/>
      </c>
      <c r="K77" s="11">
        <f>E77+H77</f>
        <v/>
      </c>
      <c r="L77" s="11">
        <f>J77+K77</f>
        <v/>
      </c>
      <c r="M77" s="12">
        <f>IF(C77=0,0,L77/C77*100)</f>
        <v/>
      </c>
    </row>
    <row r="79">
      <c r="A79" s="13" t="inlineStr">
        <is>
          <t>Day 6 - 2026-10-10 (Sat 24 Aswin 2083)</t>
        </is>
      </c>
    </row>
    <row r="80">
      <c r="A80" s="6" t="inlineStr">
        <is>
          <t>Ward no.</t>
        </is>
      </c>
      <c r="B80" s="6" t="inlineStr">
        <is>
          <t>Total population</t>
        </is>
      </c>
      <c r="C80" s="6" t="inlineStr">
        <is>
          <t>JE target population</t>
        </is>
      </c>
      <c r="D80" s="6" t="inlineStr">
        <is>
          <t>Vaccinated</t>
        </is>
      </c>
      <c r="E80" s="6" t="n"/>
      <c r="F80" s="6" t="n"/>
      <c r="G80" s="6" t="n"/>
      <c r="H80" s="6" t="n"/>
      <c r="I80" s="6" t="n"/>
      <c r="J80" s="6" t="n"/>
      <c r="K80" s="6" t="n"/>
      <c r="L80" s="6" t="n"/>
      <c r="M80" s="6" t="inlineStr">
        <is>
          <t>Progress %</t>
        </is>
      </c>
    </row>
    <row r="81">
      <c r="A81" s="6" t="n"/>
      <c r="B81" s="6" t="n"/>
      <c r="C81" s="6" t="n"/>
      <c r="D81" s="6" t="inlineStr">
        <is>
          <t>Age 30-60 yrs</t>
        </is>
      </c>
      <c r="E81" s="6" t="n"/>
      <c r="F81" s="6" t="n"/>
      <c r="G81" s="6" t="inlineStr">
        <is>
          <t>Age 60 above</t>
        </is>
      </c>
      <c r="H81" s="6" t="n"/>
      <c r="I81" s="6" t="n"/>
      <c r="J81" s="6" t="inlineStr">
        <is>
          <t>Total</t>
        </is>
      </c>
      <c r="K81" s="6" t="n"/>
      <c r="L81" s="6" t="inlineStr">
        <is>
          <t>Grand Total</t>
        </is>
      </c>
      <c r="M81" s="6" t="n"/>
    </row>
    <row r="82">
      <c r="A82" s="6" t="n"/>
      <c r="B82" s="6" t="n"/>
      <c r="C82" s="6" t="n"/>
      <c r="D82" s="6" t="inlineStr">
        <is>
          <t>F</t>
        </is>
      </c>
      <c r="E82" s="6" t="inlineStr">
        <is>
          <t>M</t>
        </is>
      </c>
      <c r="F82" s="6" t="inlineStr">
        <is>
          <t>Total</t>
        </is>
      </c>
      <c r="G82" s="6" t="inlineStr">
        <is>
          <t>F</t>
        </is>
      </c>
      <c r="H82" s="6" t="inlineStr">
        <is>
          <t>M</t>
        </is>
      </c>
      <c r="I82" s="6" t="inlineStr">
        <is>
          <t>Total</t>
        </is>
      </c>
      <c r="J82" s="6" t="inlineStr">
        <is>
          <t>F</t>
        </is>
      </c>
      <c r="K82" s="6" t="inlineStr">
        <is>
          <t>M</t>
        </is>
      </c>
      <c r="L82" s="6" t="n"/>
      <c r="M82" s="6" t="n"/>
    </row>
    <row r="83">
      <c r="A83" s="7" t="n">
        <v>1</v>
      </c>
      <c r="B83" s="8">
        <f>B5</f>
        <v/>
      </c>
      <c r="C83" s="8">
        <f>C5</f>
        <v/>
      </c>
      <c r="D83" s="14" t="n"/>
      <c r="E83" s="14" t="n"/>
      <c r="F83" s="8">
        <f>D83+E83</f>
        <v/>
      </c>
      <c r="G83" s="14" t="n"/>
      <c r="H83" s="14" t="n"/>
      <c r="I83" s="8">
        <f>G83+H83</f>
        <v/>
      </c>
      <c r="J83" s="8">
        <f>D83+G83</f>
        <v/>
      </c>
      <c r="K83" s="8">
        <f>E83+H83</f>
        <v/>
      </c>
      <c r="L83" s="8">
        <f>J83+K83</f>
        <v/>
      </c>
      <c r="M83" s="9">
        <f>IF(C83=0,0,L83/C83*100)</f>
        <v/>
      </c>
    </row>
    <row r="84">
      <c r="A84" s="7" t="n">
        <v>2</v>
      </c>
      <c r="B84" s="8">
        <f>B6</f>
        <v/>
      </c>
      <c r="C84" s="8">
        <f>C6</f>
        <v/>
      </c>
      <c r="D84" s="14" t="n"/>
      <c r="E84" s="14" t="n"/>
      <c r="F84" s="8">
        <f>D84+E84</f>
        <v/>
      </c>
      <c r="G84" s="14" t="n"/>
      <c r="H84" s="14" t="n"/>
      <c r="I84" s="8">
        <f>G84+H84</f>
        <v/>
      </c>
      <c r="J84" s="8">
        <f>D84+G84</f>
        <v/>
      </c>
      <c r="K84" s="8">
        <f>E84+H84</f>
        <v/>
      </c>
      <c r="L84" s="8">
        <f>J84+K84</f>
        <v/>
      </c>
      <c r="M84" s="9">
        <f>IF(C84=0,0,L84/C84*100)</f>
        <v/>
      </c>
    </row>
    <row r="85">
      <c r="A85" s="7" t="n">
        <v>3</v>
      </c>
      <c r="B85" s="8">
        <f>B7</f>
        <v/>
      </c>
      <c r="C85" s="8">
        <f>C7</f>
        <v/>
      </c>
      <c r="D85" s="14" t="n"/>
      <c r="E85" s="14" t="n"/>
      <c r="F85" s="8">
        <f>D85+E85</f>
        <v/>
      </c>
      <c r="G85" s="14" t="n"/>
      <c r="H85" s="14" t="n"/>
      <c r="I85" s="8">
        <f>G85+H85</f>
        <v/>
      </c>
      <c r="J85" s="8">
        <f>D85+G85</f>
        <v/>
      </c>
      <c r="K85" s="8">
        <f>E85+H85</f>
        <v/>
      </c>
      <c r="L85" s="8">
        <f>J85+K85</f>
        <v/>
      </c>
      <c r="M85" s="9">
        <f>IF(C85=0,0,L85/C85*100)</f>
        <v/>
      </c>
    </row>
    <row r="86">
      <c r="A86" s="7" t="n">
        <v>4</v>
      </c>
      <c r="B86" s="8">
        <f>B8</f>
        <v/>
      </c>
      <c r="C86" s="8">
        <f>C8</f>
        <v/>
      </c>
      <c r="D86" s="14" t="n"/>
      <c r="E86" s="14" t="n"/>
      <c r="F86" s="8">
        <f>D86+E86</f>
        <v/>
      </c>
      <c r="G86" s="14" t="n"/>
      <c r="H86" s="14" t="n"/>
      <c r="I86" s="8">
        <f>G86+H86</f>
        <v/>
      </c>
      <c r="J86" s="8">
        <f>D86+G86</f>
        <v/>
      </c>
      <c r="K86" s="8">
        <f>E86+H86</f>
        <v/>
      </c>
      <c r="L86" s="8">
        <f>J86+K86</f>
        <v/>
      </c>
      <c r="M86" s="9">
        <f>IF(C86=0,0,L86/C86*100)</f>
        <v/>
      </c>
    </row>
    <row r="87">
      <c r="A87" s="7" t="n">
        <v>5</v>
      </c>
      <c r="B87" s="8">
        <f>B9</f>
        <v/>
      </c>
      <c r="C87" s="8">
        <f>C9</f>
        <v/>
      </c>
      <c r="D87" s="14" t="n"/>
      <c r="E87" s="14" t="n"/>
      <c r="F87" s="8">
        <f>D87+E87</f>
        <v/>
      </c>
      <c r="G87" s="14" t="n"/>
      <c r="H87" s="14" t="n"/>
      <c r="I87" s="8">
        <f>G87+H87</f>
        <v/>
      </c>
      <c r="J87" s="8">
        <f>D87+G87</f>
        <v/>
      </c>
      <c r="K87" s="8">
        <f>E87+H87</f>
        <v/>
      </c>
      <c r="L87" s="8">
        <f>J87+K87</f>
        <v/>
      </c>
      <c r="M87" s="9">
        <f>IF(C87=0,0,L87/C87*100)</f>
        <v/>
      </c>
    </row>
    <row r="88">
      <c r="A88" s="7" t="n">
        <v>6</v>
      </c>
      <c r="B88" s="8">
        <f>B10</f>
        <v/>
      </c>
      <c r="C88" s="8">
        <f>C10</f>
        <v/>
      </c>
      <c r="D88" s="14" t="n"/>
      <c r="E88" s="14" t="n"/>
      <c r="F88" s="8">
        <f>D88+E88</f>
        <v/>
      </c>
      <c r="G88" s="14" t="n"/>
      <c r="H88" s="14" t="n"/>
      <c r="I88" s="8">
        <f>G88+H88</f>
        <v/>
      </c>
      <c r="J88" s="8">
        <f>D88+G88</f>
        <v/>
      </c>
      <c r="K88" s="8">
        <f>E88+H88</f>
        <v/>
      </c>
      <c r="L88" s="8">
        <f>J88+K88</f>
        <v/>
      </c>
      <c r="M88" s="9">
        <f>IF(C88=0,0,L88/C88*100)</f>
        <v/>
      </c>
    </row>
    <row r="89">
      <c r="A89" s="7" t="n">
        <v>7</v>
      </c>
      <c r="B89" s="8">
        <f>B11</f>
        <v/>
      </c>
      <c r="C89" s="8">
        <f>C11</f>
        <v/>
      </c>
      <c r="D89" s="14" t="n"/>
      <c r="E89" s="14" t="n"/>
      <c r="F89" s="8">
        <f>D89+E89</f>
        <v/>
      </c>
      <c r="G89" s="14" t="n"/>
      <c r="H89" s="14" t="n"/>
      <c r="I89" s="8">
        <f>G89+H89</f>
        <v/>
      </c>
      <c r="J89" s="8">
        <f>D89+G89</f>
        <v/>
      </c>
      <c r="K89" s="8">
        <f>E89+H89</f>
        <v/>
      </c>
      <c r="L89" s="8">
        <f>J89+K89</f>
        <v/>
      </c>
      <c r="M89" s="9">
        <f>IF(C89=0,0,L89/C89*100)</f>
        <v/>
      </c>
    </row>
    <row r="90">
      <c r="A90" s="10" t="inlineStr">
        <is>
          <t>Total</t>
        </is>
      </c>
      <c r="B90" s="11">
        <f>SUM(B83:B89)</f>
        <v/>
      </c>
      <c r="C90" s="11">
        <f>SUM(C83:C89)</f>
        <v/>
      </c>
      <c r="D90" s="11">
        <f>SUM(D83:D89)</f>
        <v/>
      </c>
      <c r="E90" s="11">
        <f>SUM(E83:E89)</f>
        <v/>
      </c>
      <c r="F90" s="11">
        <f>D90+E90</f>
        <v/>
      </c>
      <c r="G90" s="11">
        <f>SUM(G83:G89)</f>
        <v/>
      </c>
      <c r="H90" s="11">
        <f>SUM(H83:H89)</f>
        <v/>
      </c>
      <c r="I90" s="11">
        <f>G90+H90</f>
        <v/>
      </c>
      <c r="J90" s="11">
        <f>D90+G90</f>
        <v/>
      </c>
      <c r="K90" s="11">
        <f>E90+H90</f>
        <v/>
      </c>
      <c r="L90" s="11">
        <f>J90+K90</f>
        <v/>
      </c>
      <c r="M90" s="12">
        <f>IF(C90=0,0,L90/C90*100)</f>
        <v/>
      </c>
    </row>
    <row r="92">
      <c r="A92" s="13" t="inlineStr">
        <is>
          <t>Day 7 - 2026-10-11 (Sun 25 Aswin 2083)</t>
        </is>
      </c>
    </row>
    <row r="93">
      <c r="A93" s="6" t="inlineStr">
        <is>
          <t>Ward no.</t>
        </is>
      </c>
      <c r="B93" s="6" t="inlineStr">
        <is>
          <t>Total population</t>
        </is>
      </c>
      <c r="C93" s="6" t="inlineStr">
        <is>
          <t>JE target population</t>
        </is>
      </c>
      <c r="D93" s="6" t="inlineStr">
        <is>
          <t>Vaccinated</t>
        </is>
      </c>
      <c r="E93" s="6" t="n"/>
      <c r="F93" s="6" t="n"/>
      <c r="G93" s="6" t="n"/>
      <c r="H93" s="6" t="n"/>
      <c r="I93" s="6" t="n"/>
      <c r="J93" s="6" t="n"/>
      <c r="K93" s="6" t="n"/>
      <c r="L93" s="6" t="n"/>
      <c r="M93" s="6" t="inlineStr">
        <is>
          <t>Progress %</t>
        </is>
      </c>
    </row>
    <row r="94">
      <c r="A94" s="6" t="n"/>
      <c r="B94" s="6" t="n"/>
      <c r="C94" s="6" t="n"/>
      <c r="D94" s="6" t="inlineStr">
        <is>
          <t>Age 30-60 yrs</t>
        </is>
      </c>
      <c r="E94" s="6" t="n"/>
      <c r="F94" s="6" t="n"/>
      <c r="G94" s="6" t="inlineStr">
        <is>
          <t>Age 60 above</t>
        </is>
      </c>
      <c r="H94" s="6" t="n"/>
      <c r="I94" s="6" t="n"/>
      <c r="J94" s="6" t="inlineStr">
        <is>
          <t>Total</t>
        </is>
      </c>
      <c r="K94" s="6" t="n"/>
      <c r="L94" s="6" t="inlineStr">
        <is>
          <t>Grand Total</t>
        </is>
      </c>
      <c r="M94" s="6" t="n"/>
    </row>
    <row r="95">
      <c r="A95" s="6" t="n"/>
      <c r="B95" s="6" t="n"/>
      <c r="C95" s="6" t="n"/>
      <c r="D95" s="6" t="inlineStr">
        <is>
          <t>F</t>
        </is>
      </c>
      <c r="E95" s="6" t="inlineStr">
        <is>
          <t>M</t>
        </is>
      </c>
      <c r="F95" s="6" t="inlineStr">
        <is>
          <t>Total</t>
        </is>
      </c>
      <c r="G95" s="6" t="inlineStr">
        <is>
          <t>F</t>
        </is>
      </c>
      <c r="H95" s="6" t="inlineStr">
        <is>
          <t>M</t>
        </is>
      </c>
      <c r="I95" s="6" t="inlineStr">
        <is>
          <t>Total</t>
        </is>
      </c>
      <c r="J95" s="6" t="inlineStr">
        <is>
          <t>F</t>
        </is>
      </c>
      <c r="K95" s="6" t="inlineStr">
        <is>
          <t>M</t>
        </is>
      </c>
      <c r="L95" s="6" t="n"/>
      <c r="M95" s="6" t="n"/>
    </row>
    <row r="96">
      <c r="A96" s="7" t="n">
        <v>1</v>
      </c>
      <c r="B96" s="8">
        <f>B5</f>
        <v/>
      </c>
      <c r="C96" s="8">
        <f>C5</f>
        <v/>
      </c>
      <c r="D96" s="14" t="n"/>
      <c r="E96" s="14" t="n"/>
      <c r="F96" s="8">
        <f>D96+E96</f>
        <v/>
      </c>
      <c r="G96" s="14" t="n"/>
      <c r="H96" s="14" t="n"/>
      <c r="I96" s="8">
        <f>G96+H96</f>
        <v/>
      </c>
      <c r="J96" s="8">
        <f>D96+G96</f>
        <v/>
      </c>
      <c r="K96" s="8">
        <f>E96+H96</f>
        <v/>
      </c>
      <c r="L96" s="8">
        <f>J96+K96</f>
        <v/>
      </c>
      <c r="M96" s="9">
        <f>IF(C96=0,0,L96/C96*100)</f>
        <v/>
      </c>
    </row>
    <row r="97">
      <c r="A97" s="7" t="n">
        <v>2</v>
      </c>
      <c r="B97" s="8">
        <f>B6</f>
        <v/>
      </c>
      <c r="C97" s="8">
        <f>C6</f>
        <v/>
      </c>
      <c r="D97" s="14" t="n"/>
      <c r="E97" s="14" t="n"/>
      <c r="F97" s="8">
        <f>D97+E97</f>
        <v/>
      </c>
      <c r="G97" s="14" t="n"/>
      <c r="H97" s="14" t="n"/>
      <c r="I97" s="8">
        <f>G97+H97</f>
        <v/>
      </c>
      <c r="J97" s="8">
        <f>D97+G97</f>
        <v/>
      </c>
      <c r="K97" s="8">
        <f>E97+H97</f>
        <v/>
      </c>
      <c r="L97" s="8">
        <f>J97+K97</f>
        <v/>
      </c>
      <c r="M97" s="9">
        <f>IF(C97=0,0,L97/C97*100)</f>
        <v/>
      </c>
    </row>
    <row r="98">
      <c r="A98" s="7" t="n">
        <v>3</v>
      </c>
      <c r="B98" s="8">
        <f>B7</f>
        <v/>
      </c>
      <c r="C98" s="8">
        <f>C7</f>
        <v/>
      </c>
      <c r="D98" s="14" t="n"/>
      <c r="E98" s="14" t="n"/>
      <c r="F98" s="8">
        <f>D98+E98</f>
        <v/>
      </c>
      <c r="G98" s="14" t="n"/>
      <c r="H98" s="14" t="n"/>
      <c r="I98" s="8">
        <f>G98+H98</f>
        <v/>
      </c>
      <c r="J98" s="8">
        <f>D98+G98</f>
        <v/>
      </c>
      <c r="K98" s="8">
        <f>E98+H98</f>
        <v/>
      </c>
      <c r="L98" s="8">
        <f>J98+K98</f>
        <v/>
      </c>
      <c r="M98" s="9">
        <f>IF(C98=0,0,L98/C98*100)</f>
        <v/>
      </c>
    </row>
    <row r="99">
      <c r="A99" s="7" t="n">
        <v>4</v>
      </c>
      <c r="B99" s="8">
        <f>B8</f>
        <v/>
      </c>
      <c r="C99" s="8">
        <f>C8</f>
        <v/>
      </c>
      <c r="D99" s="14" t="n"/>
      <c r="E99" s="14" t="n"/>
      <c r="F99" s="8">
        <f>D99+E99</f>
        <v/>
      </c>
      <c r="G99" s="14" t="n"/>
      <c r="H99" s="14" t="n"/>
      <c r="I99" s="8">
        <f>G99+H99</f>
        <v/>
      </c>
      <c r="J99" s="8">
        <f>D99+G99</f>
        <v/>
      </c>
      <c r="K99" s="8">
        <f>E99+H99</f>
        <v/>
      </c>
      <c r="L99" s="8">
        <f>J99+K99</f>
        <v/>
      </c>
      <c r="M99" s="9">
        <f>IF(C99=0,0,L99/C99*100)</f>
        <v/>
      </c>
    </row>
    <row r="100">
      <c r="A100" s="7" t="n">
        <v>5</v>
      </c>
      <c r="B100" s="8">
        <f>B9</f>
        <v/>
      </c>
      <c r="C100" s="8">
        <f>C9</f>
        <v/>
      </c>
      <c r="D100" s="14" t="n"/>
      <c r="E100" s="14" t="n"/>
      <c r="F100" s="8">
        <f>D100+E100</f>
        <v/>
      </c>
      <c r="G100" s="14" t="n"/>
      <c r="H100" s="14" t="n"/>
      <c r="I100" s="8">
        <f>G100+H100</f>
        <v/>
      </c>
      <c r="J100" s="8">
        <f>D100+G100</f>
        <v/>
      </c>
      <c r="K100" s="8">
        <f>E100+H100</f>
        <v/>
      </c>
      <c r="L100" s="8">
        <f>J100+K100</f>
        <v/>
      </c>
      <c r="M100" s="9">
        <f>IF(C100=0,0,L100/C100*100)</f>
        <v/>
      </c>
    </row>
    <row r="101">
      <c r="A101" s="7" t="n">
        <v>6</v>
      </c>
      <c r="B101" s="8">
        <f>B10</f>
        <v/>
      </c>
      <c r="C101" s="8">
        <f>C10</f>
        <v/>
      </c>
      <c r="D101" s="14" t="n"/>
      <c r="E101" s="14" t="n"/>
      <c r="F101" s="8">
        <f>D101+E101</f>
        <v/>
      </c>
      <c r="G101" s="14" t="n"/>
      <c r="H101" s="14" t="n"/>
      <c r="I101" s="8">
        <f>G101+H101</f>
        <v/>
      </c>
      <c r="J101" s="8">
        <f>D101+G101</f>
        <v/>
      </c>
      <c r="K101" s="8">
        <f>E101+H101</f>
        <v/>
      </c>
      <c r="L101" s="8">
        <f>J101+K101</f>
        <v/>
      </c>
      <c r="M101" s="9">
        <f>IF(C101=0,0,L101/C101*100)</f>
        <v/>
      </c>
    </row>
    <row r="102">
      <c r="A102" s="7" t="n">
        <v>7</v>
      </c>
      <c r="B102" s="8">
        <f>B11</f>
        <v/>
      </c>
      <c r="C102" s="8">
        <f>C11</f>
        <v/>
      </c>
      <c r="D102" s="14" t="n"/>
      <c r="E102" s="14" t="n"/>
      <c r="F102" s="8">
        <f>D102+E102</f>
        <v/>
      </c>
      <c r="G102" s="14" t="n"/>
      <c r="H102" s="14" t="n"/>
      <c r="I102" s="8">
        <f>G102+H102</f>
        <v/>
      </c>
      <c r="J102" s="8">
        <f>D102+G102</f>
        <v/>
      </c>
      <c r="K102" s="8">
        <f>E102+H102</f>
        <v/>
      </c>
      <c r="L102" s="8">
        <f>J102+K102</f>
        <v/>
      </c>
      <c r="M102" s="9">
        <f>IF(C102=0,0,L102/C102*100)</f>
        <v/>
      </c>
    </row>
    <row r="103">
      <c r="A103" s="10" t="inlineStr">
        <is>
          <t>Total</t>
        </is>
      </c>
      <c r="B103" s="11">
        <f>SUM(B96:B102)</f>
        <v/>
      </c>
      <c r="C103" s="11">
        <f>SUM(C96:C102)</f>
        <v/>
      </c>
      <c r="D103" s="11">
        <f>SUM(D96:D102)</f>
        <v/>
      </c>
      <c r="E103" s="11">
        <f>SUM(E96:E102)</f>
        <v/>
      </c>
      <c r="F103" s="11">
        <f>D103+E103</f>
        <v/>
      </c>
      <c r="G103" s="11">
        <f>SUM(G96:G102)</f>
        <v/>
      </c>
      <c r="H103" s="11">
        <f>SUM(H96:H102)</f>
        <v/>
      </c>
      <c r="I103" s="11">
        <f>G103+H103</f>
        <v/>
      </c>
      <c r="J103" s="11">
        <f>D103+G103</f>
        <v/>
      </c>
      <c r="K103" s="11">
        <f>E103+H103</f>
        <v/>
      </c>
      <c r="L103" s="11">
        <f>J103+K103</f>
        <v/>
      </c>
      <c r="M103" s="12">
        <f>IF(C103=0,0,L103/C103*100)</f>
        <v/>
      </c>
    </row>
    <row r="105">
      <c r="A105" s="13" t="inlineStr">
        <is>
          <t>Day 8 - 2026-10-12 (Mon 26 Aswin 2083)</t>
        </is>
      </c>
    </row>
    <row r="106">
      <c r="A106" s="6" t="inlineStr">
        <is>
          <t>Ward no.</t>
        </is>
      </c>
      <c r="B106" s="6" t="inlineStr">
        <is>
          <t>Total population</t>
        </is>
      </c>
      <c r="C106" s="6" t="inlineStr">
        <is>
          <t>JE target population</t>
        </is>
      </c>
      <c r="D106" s="6" t="inlineStr">
        <is>
          <t>Vaccinated</t>
        </is>
      </c>
      <c r="E106" s="6" t="n"/>
      <c r="F106" s="6" t="n"/>
      <c r="G106" s="6" t="n"/>
      <c r="H106" s="6" t="n"/>
      <c r="I106" s="6" t="n"/>
      <c r="J106" s="6" t="n"/>
      <c r="K106" s="6" t="n"/>
      <c r="L106" s="6" t="n"/>
      <c r="M106" s="6" t="inlineStr">
        <is>
          <t>Progress %</t>
        </is>
      </c>
    </row>
    <row r="107">
      <c r="A107" s="6" t="n"/>
      <c r="B107" s="6" t="n"/>
      <c r="C107" s="6" t="n"/>
      <c r="D107" s="6" t="inlineStr">
        <is>
          <t>Age 30-60 yrs</t>
        </is>
      </c>
      <c r="E107" s="6" t="n"/>
      <c r="F107" s="6" t="n"/>
      <c r="G107" s="6" t="inlineStr">
        <is>
          <t>Age 60 above</t>
        </is>
      </c>
      <c r="H107" s="6" t="n"/>
      <c r="I107" s="6" t="n"/>
      <c r="J107" s="6" t="inlineStr">
        <is>
          <t>Total</t>
        </is>
      </c>
      <c r="K107" s="6" t="n"/>
      <c r="L107" s="6" t="inlineStr">
        <is>
          <t>Grand Total</t>
        </is>
      </c>
      <c r="M107" s="6" t="n"/>
    </row>
    <row r="108">
      <c r="A108" s="6" t="n"/>
      <c r="B108" s="6" t="n"/>
      <c r="C108" s="6" t="n"/>
      <c r="D108" s="6" t="inlineStr">
        <is>
          <t>F</t>
        </is>
      </c>
      <c r="E108" s="6" t="inlineStr">
        <is>
          <t>M</t>
        </is>
      </c>
      <c r="F108" s="6" t="inlineStr">
        <is>
          <t>Total</t>
        </is>
      </c>
      <c r="G108" s="6" t="inlineStr">
        <is>
          <t>F</t>
        </is>
      </c>
      <c r="H108" s="6" t="inlineStr">
        <is>
          <t>M</t>
        </is>
      </c>
      <c r="I108" s="6" t="inlineStr">
        <is>
          <t>Total</t>
        </is>
      </c>
      <c r="J108" s="6" t="inlineStr">
        <is>
          <t>F</t>
        </is>
      </c>
      <c r="K108" s="6" t="inlineStr">
        <is>
          <t>M</t>
        </is>
      </c>
      <c r="L108" s="6" t="n"/>
      <c r="M108" s="6" t="n"/>
    </row>
    <row r="109">
      <c r="A109" s="7" t="n">
        <v>1</v>
      </c>
      <c r="B109" s="8">
        <f>B5</f>
        <v/>
      </c>
      <c r="C109" s="8">
        <f>C5</f>
        <v/>
      </c>
      <c r="D109" s="14" t="n"/>
      <c r="E109" s="14" t="n"/>
      <c r="F109" s="8">
        <f>D109+E109</f>
        <v/>
      </c>
      <c r="G109" s="14" t="n"/>
      <c r="H109" s="14" t="n"/>
      <c r="I109" s="8">
        <f>G109+H109</f>
        <v/>
      </c>
      <c r="J109" s="8">
        <f>D109+G109</f>
        <v/>
      </c>
      <c r="K109" s="8">
        <f>E109+H109</f>
        <v/>
      </c>
      <c r="L109" s="8">
        <f>J109+K109</f>
        <v/>
      </c>
      <c r="M109" s="9">
        <f>IF(C109=0,0,L109/C109*100)</f>
        <v/>
      </c>
    </row>
    <row r="110">
      <c r="A110" s="7" t="n">
        <v>2</v>
      </c>
      <c r="B110" s="8">
        <f>B6</f>
        <v/>
      </c>
      <c r="C110" s="8">
        <f>C6</f>
        <v/>
      </c>
      <c r="D110" s="14" t="n"/>
      <c r="E110" s="14" t="n"/>
      <c r="F110" s="8">
        <f>D110+E110</f>
        <v/>
      </c>
      <c r="G110" s="14" t="n"/>
      <c r="H110" s="14" t="n"/>
      <c r="I110" s="8">
        <f>G110+H110</f>
        <v/>
      </c>
      <c r="J110" s="8">
        <f>D110+G110</f>
        <v/>
      </c>
      <c r="K110" s="8">
        <f>E110+H110</f>
        <v/>
      </c>
      <c r="L110" s="8">
        <f>J110+K110</f>
        <v/>
      </c>
      <c r="M110" s="9">
        <f>IF(C110=0,0,L110/C110*100)</f>
        <v/>
      </c>
    </row>
    <row r="111">
      <c r="A111" s="7" t="n">
        <v>3</v>
      </c>
      <c r="B111" s="8">
        <f>B7</f>
        <v/>
      </c>
      <c r="C111" s="8">
        <f>C7</f>
        <v/>
      </c>
      <c r="D111" s="14" t="n"/>
      <c r="E111" s="14" t="n"/>
      <c r="F111" s="8">
        <f>D111+E111</f>
        <v/>
      </c>
      <c r="G111" s="14" t="n"/>
      <c r="H111" s="14" t="n"/>
      <c r="I111" s="8">
        <f>G111+H111</f>
        <v/>
      </c>
      <c r="J111" s="8">
        <f>D111+G111</f>
        <v/>
      </c>
      <c r="K111" s="8">
        <f>E111+H111</f>
        <v/>
      </c>
      <c r="L111" s="8">
        <f>J111+K111</f>
        <v/>
      </c>
      <c r="M111" s="9">
        <f>IF(C111=0,0,L111/C111*100)</f>
        <v/>
      </c>
    </row>
    <row r="112">
      <c r="A112" s="7" t="n">
        <v>4</v>
      </c>
      <c r="B112" s="8">
        <f>B8</f>
        <v/>
      </c>
      <c r="C112" s="8">
        <f>C8</f>
        <v/>
      </c>
      <c r="D112" s="14" t="n"/>
      <c r="E112" s="14" t="n"/>
      <c r="F112" s="8">
        <f>D112+E112</f>
        <v/>
      </c>
      <c r="G112" s="14" t="n"/>
      <c r="H112" s="14" t="n"/>
      <c r="I112" s="8">
        <f>G112+H112</f>
        <v/>
      </c>
      <c r="J112" s="8">
        <f>D112+G112</f>
        <v/>
      </c>
      <c r="K112" s="8">
        <f>E112+H112</f>
        <v/>
      </c>
      <c r="L112" s="8">
        <f>J112+K112</f>
        <v/>
      </c>
      <c r="M112" s="9">
        <f>IF(C112=0,0,L112/C112*100)</f>
        <v/>
      </c>
    </row>
    <row r="113">
      <c r="A113" s="7" t="n">
        <v>5</v>
      </c>
      <c r="B113" s="8">
        <f>B9</f>
        <v/>
      </c>
      <c r="C113" s="8">
        <f>C9</f>
        <v/>
      </c>
      <c r="D113" s="14" t="n"/>
      <c r="E113" s="14" t="n"/>
      <c r="F113" s="8">
        <f>D113+E113</f>
        <v/>
      </c>
      <c r="G113" s="14" t="n"/>
      <c r="H113" s="14" t="n"/>
      <c r="I113" s="8">
        <f>G113+H113</f>
        <v/>
      </c>
      <c r="J113" s="8">
        <f>D113+G113</f>
        <v/>
      </c>
      <c r="K113" s="8">
        <f>E113+H113</f>
        <v/>
      </c>
      <c r="L113" s="8">
        <f>J113+K113</f>
        <v/>
      </c>
      <c r="M113" s="9">
        <f>IF(C113=0,0,L113/C113*100)</f>
        <v/>
      </c>
    </row>
    <row r="114">
      <c r="A114" s="7" t="n">
        <v>6</v>
      </c>
      <c r="B114" s="8">
        <f>B10</f>
        <v/>
      </c>
      <c r="C114" s="8">
        <f>C10</f>
        <v/>
      </c>
      <c r="D114" s="14" t="n"/>
      <c r="E114" s="14" t="n"/>
      <c r="F114" s="8">
        <f>D114+E114</f>
        <v/>
      </c>
      <c r="G114" s="14" t="n"/>
      <c r="H114" s="14" t="n"/>
      <c r="I114" s="8">
        <f>G114+H114</f>
        <v/>
      </c>
      <c r="J114" s="8">
        <f>D114+G114</f>
        <v/>
      </c>
      <c r="K114" s="8">
        <f>E114+H114</f>
        <v/>
      </c>
      <c r="L114" s="8">
        <f>J114+K114</f>
        <v/>
      </c>
      <c r="M114" s="9">
        <f>IF(C114=0,0,L114/C114*100)</f>
        <v/>
      </c>
    </row>
    <row r="115">
      <c r="A115" s="7" t="n">
        <v>7</v>
      </c>
      <c r="B115" s="8">
        <f>B11</f>
        <v/>
      </c>
      <c r="C115" s="8">
        <f>C11</f>
        <v/>
      </c>
      <c r="D115" s="14" t="n"/>
      <c r="E115" s="14" t="n"/>
      <c r="F115" s="8">
        <f>D115+E115</f>
        <v/>
      </c>
      <c r="G115" s="14" t="n"/>
      <c r="H115" s="14" t="n"/>
      <c r="I115" s="8">
        <f>G115+H115</f>
        <v/>
      </c>
      <c r="J115" s="8">
        <f>D115+G115</f>
        <v/>
      </c>
      <c r="K115" s="8">
        <f>E115+H115</f>
        <v/>
      </c>
      <c r="L115" s="8">
        <f>J115+K115</f>
        <v/>
      </c>
      <c r="M115" s="9">
        <f>IF(C115=0,0,L115/C115*100)</f>
        <v/>
      </c>
    </row>
    <row r="116">
      <c r="A116" s="10" t="inlineStr">
        <is>
          <t>Total</t>
        </is>
      </c>
      <c r="B116" s="11">
        <f>SUM(B109:B115)</f>
        <v/>
      </c>
      <c r="C116" s="11">
        <f>SUM(C109:C115)</f>
        <v/>
      </c>
      <c r="D116" s="11">
        <f>SUM(D109:D115)</f>
        <v/>
      </c>
      <c r="E116" s="11">
        <f>SUM(E109:E115)</f>
        <v/>
      </c>
      <c r="F116" s="11">
        <f>D116+E116</f>
        <v/>
      </c>
      <c r="G116" s="11">
        <f>SUM(G109:G115)</f>
        <v/>
      </c>
      <c r="H116" s="11">
        <f>SUM(H109:H115)</f>
        <v/>
      </c>
      <c r="I116" s="11">
        <f>G116+H116</f>
        <v/>
      </c>
      <c r="J116" s="11">
        <f>D116+G116</f>
        <v/>
      </c>
      <c r="K116" s="11">
        <f>E116+H116</f>
        <v/>
      </c>
      <c r="L116" s="11">
        <f>J116+K116</f>
        <v/>
      </c>
      <c r="M116" s="12">
        <f>IF(C116=0,0,L116/C116*100)</f>
        <v/>
      </c>
    </row>
    <row r="118">
      <c r="A118" s="13" t="inlineStr">
        <is>
          <t>Day 9 - 2026-10-13 (Tue 27 Aswin 2083)</t>
        </is>
      </c>
    </row>
    <row r="119">
      <c r="A119" s="6" t="inlineStr">
        <is>
          <t>Ward no.</t>
        </is>
      </c>
      <c r="B119" s="6" t="inlineStr">
        <is>
          <t>Total population</t>
        </is>
      </c>
      <c r="C119" s="6" t="inlineStr">
        <is>
          <t>JE target population</t>
        </is>
      </c>
      <c r="D119" s="6" t="inlineStr">
        <is>
          <t>Vaccinated</t>
        </is>
      </c>
      <c r="E119" s="6" t="n"/>
      <c r="F119" s="6" t="n"/>
      <c r="G119" s="6" t="n"/>
      <c r="H119" s="6" t="n"/>
      <c r="I119" s="6" t="n"/>
      <c r="J119" s="6" t="n"/>
      <c r="K119" s="6" t="n"/>
      <c r="L119" s="6" t="n"/>
      <c r="M119" s="6" t="inlineStr">
        <is>
          <t>Progress %</t>
        </is>
      </c>
    </row>
    <row r="120">
      <c r="A120" s="6" t="n"/>
      <c r="B120" s="6" t="n"/>
      <c r="C120" s="6" t="n"/>
      <c r="D120" s="6" t="inlineStr">
        <is>
          <t>Age 30-60 yrs</t>
        </is>
      </c>
      <c r="E120" s="6" t="n"/>
      <c r="F120" s="6" t="n"/>
      <c r="G120" s="6" t="inlineStr">
        <is>
          <t>Age 60 above</t>
        </is>
      </c>
      <c r="H120" s="6" t="n"/>
      <c r="I120" s="6" t="n"/>
      <c r="J120" s="6" t="inlineStr">
        <is>
          <t>Total</t>
        </is>
      </c>
      <c r="K120" s="6" t="n"/>
      <c r="L120" s="6" t="inlineStr">
        <is>
          <t>Grand Total</t>
        </is>
      </c>
      <c r="M120" s="6" t="n"/>
    </row>
    <row r="121">
      <c r="A121" s="6" t="n"/>
      <c r="B121" s="6" t="n"/>
      <c r="C121" s="6" t="n"/>
      <c r="D121" s="6" t="inlineStr">
        <is>
          <t>F</t>
        </is>
      </c>
      <c r="E121" s="6" t="inlineStr">
        <is>
          <t>M</t>
        </is>
      </c>
      <c r="F121" s="6" t="inlineStr">
        <is>
          <t>Total</t>
        </is>
      </c>
      <c r="G121" s="6" t="inlineStr">
        <is>
          <t>F</t>
        </is>
      </c>
      <c r="H121" s="6" t="inlineStr">
        <is>
          <t>M</t>
        </is>
      </c>
      <c r="I121" s="6" t="inlineStr">
        <is>
          <t>Total</t>
        </is>
      </c>
      <c r="J121" s="6" t="inlineStr">
        <is>
          <t>F</t>
        </is>
      </c>
      <c r="K121" s="6" t="inlineStr">
        <is>
          <t>M</t>
        </is>
      </c>
      <c r="L121" s="6" t="n"/>
      <c r="M121" s="6" t="n"/>
    </row>
    <row r="122">
      <c r="A122" s="7" t="n">
        <v>1</v>
      </c>
      <c r="B122" s="8">
        <f>B5</f>
        <v/>
      </c>
      <c r="C122" s="8">
        <f>C5</f>
        <v/>
      </c>
      <c r="D122" s="14" t="n"/>
      <c r="E122" s="14" t="n"/>
      <c r="F122" s="8">
        <f>D122+E122</f>
        <v/>
      </c>
      <c r="G122" s="14" t="n"/>
      <c r="H122" s="14" t="n"/>
      <c r="I122" s="8">
        <f>G122+H122</f>
        <v/>
      </c>
      <c r="J122" s="8">
        <f>D122+G122</f>
        <v/>
      </c>
      <c r="K122" s="8">
        <f>E122+H122</f>
        <v/>
      </c>
      <c r="L122" s="8">
        <f>J122+K122</f>
        <v/>
      </c>
      <c r="M122" s="9">
        <f>IF(C122=0,0,L122/C122*100)</f>
        <v/>
      </c>
    </row>
    <row r="123">
      <c r="A123" s="7" t="n">
        <v>2</v>
      </c>
      <c r="B123" s="8">
        <f>B6</f>
        <v/>
      </c>
      <c r="C123" s="8">
        <f>C6</f>
        <v/>
      </c>
      <c r="D123" s="14" t="n"/>
      <c r="E123" s="14" t="n"/>
      <c r="F123" s="8">
        <f>D123+E123</f>
        <v/>
      </c>
      <c r="G123" s="14" t="n"/>
      <c r="H123" s="14" t="n"/>
      <c r="I123" s="8">
        <f>G123+H123</f>
        <v/>
      </c>
      <c r="J123" s="8">
        <f>D123+G123</f>
        <v/>
      </c>
      <c r="K123" s="8">
        <f>E123+H123</f>
        <v/>
      </c>
      <c r="L123" s="8">
        <f>J123+K123</f>
        <v/>
      </c>
      <c r="M123" s="9">
        <f>IF(C123=0,0,L123/C123*100)</f>
        <v/>
      </c>
    </row>
    <row r="124">
      <c r="A124" s="7" t="n">
        <v>3</v>
      </c>
      <c r="B124" s="8">
        <f>B7</f>
        <v/>
      </c>
      <c r="C124" s="8">
        <f>C7</f>
        <v/>
      </c>
      <c r="D124" s="14" t="n"/>
      <c r="E124" s="14" t="n"/>
      <c r="F124" s="8">
        <f>D124+E124</f>
        <v/>
      </c>
      <c r="G124" s="14" t="n"/>
      <c r="H124" s="14" t="n"/>
      <c r="I124" s="8">
        <f>G124+H124</f>
        <v/>
      </c>
      <c r="J124" s="8">
        <f>D124+G124</f>
        <v/>
      </c>
      <c r="K124" s="8">
        <f>E124+H124</f>
        <v/>
      </c>
      <c r="L124" s="8">
        <f>J124+K124</f>
        <v/>
      </c>
      <c r="M124" s="9">
        <f>IF(C124=0,0,L124/C124*100)</f>
        <v/>
      </c>
    </row>
    <row r="125">
      <c r="A125" s="7" t="n">
        <v>4</v>
      </c>
      <c r="B125" s="8">
        <f>B8</f>
        <v/>
      </c>
      <c r="C125" s="8">
        <f>C8</f>
        <v/>
      </c>
      <c r="D125" s="14" t="n"/>
      <c r="E125" s="14" t="n"/>
      <c r="F125" s="8">
        <f>D125+E125</f>
        <v/>
      </c>
      <c r="G125" s="14" t="n"/>
      <c r="H125" s="14" t="n"/>
      <c r="I125" s="8">
        <f>G125+H125</f>
        <v/>
      </c>
      <c r="J125" s="8">
        <f>D125+G125</f>
        <v/>
      </c>
      <c r="K125" s="8">
        <f>E125+H125</f>
        <v/>
      </c>
      <c r="L125" s="8">
        <f>J125+K125</f>
        <v/>
      </c>
      <c r="M125" s="9">
        <f>IF(C125=0,0,L125/C125*100)</f>
        <v/>
      </c>
    </row>
    <row r="126">
      <c r="A126" s="7" t="n">
        <v>5</v>
      </c>
      <c r="B126" s="8">
        <f>B9</f>
        <v/>
      </c>
      <c r="C126" s="8">
        <f>C9</f>
        <v/>
      </c>
      <c r="D126" s="14" t="n"/>
      <c r="E126" s="14" t="n"/>
      <c r="F126" s="8">
        <f>D126+E126</f>
        <v/>
      </c>
      <c r="G126" s="14" t="n"/>
      <c r="H126" s="14" t="n"/>
      <c r="I126" s="8">
        <f>G126+H126</f>
        <v/>
      </c>
      <c r="J126" s="8">
        <f>D126+G126</f>
        <v/>
      </c>
      <c r="K126" s="8">
        <f>E126+H126</f>
        <v/>
      </c>
      <c r="L126" s="8">
        <f>J126+K126</f>
        <v/>
      </c>
      <c r="M126" s="9">
        <f>IF(C126=0,0,L126/C126*100)</f>
        <v/>
      </c>
    </row>
    <row r="127">
      <c r="A127" s="7" t="n">
        <v>6</v>
      </c>
      <c r="B127" s="8">
        <f>B10</f>
        <v/>
      </c>
      <c r="C127" s="8">
        <f>C10</f>
        <v/>
      </c>
      <c r="D127" s="14" t="n"/>
      <c r="E127" s="14" t="n"/>
      <c r="F127" s="8">
        <f>D127+E127</f>
        <v/>
      </c>
      <c r="G127" s="14" t="n"/>
      <c r="H127" s="14" t="n"/>
      <c r="I127" s="8">
        <f>G127+H127</f>
        <v/>
      </c>
      <c r="J127" s="8">
        <f>D127+G127</f>
        <v/>
      </c>
      <c r="K127" s="8">
        <f>E127+H127</f>
        <v/>
      </c>
      <c r="L127" s="8">
        <f>J127+K127</f>
        <v/>
      </c>
      <c r="M127" s="9">
        <f>IF(C127=0,0,L127/C127*100)</f>
        <v/>
      </c>
    </row>
    <row r="128">
      <c r="A128" s="7" t="n">
        <v>7</v>
      </c>
      <c r="B128" s="8">
        <f>B11</f>
        <v/>
      </c>
      <c r="C128" s="8">
        <f>C11</f>
        <v/>
      </c>
      <c r="D128" s="14" t="n"/>
      <c r="E128" s="14" t="n"/>
      <c r="F128" s="8">
        <f>D128+E128</f>
        <v/>
      </c>
      <c r="G128" s="14" t="n"/>
      <c r="H128" s="14" t="n"/>
      <c r="I128" s="8">
        <f>G128+H128</f>
        <v/>
      </c>
      <c r="J128" s="8">
        <f>D128+G128</f>
        <v/>
      </c>
      <c r="K128" s="8">
        <f>E128+H128</f>
        <v/>
      </c>
      <c r="L128" s="8">
        <f>J128+K128</f>
        <v/>
      </c>
      <c r="M128" s="9">
        <f>IF(C128=0,0,L128/C128*100)</f>
        <v/>
      </c>
    </row>
    <row r="129">
      <c r="A129" s="10" t="inlineStr">
        <is>
          <t>Total</t>
        </is>
      </c>
      <c r="B129" s="11">
        <f>SUM(B122:B128)</f>
        <v/>
      </c>
      <c r="C129" s="11">
        <f>SUM(C122:C128)</f>
        <v/>
      </c>
      <c r="D129" s="11">
        <f>SUM(D122:D128)</f>
        <v/>
      </c>
      <c r="E129" s="11">
        <f>SUM(E122:E128)</f>
        <v/>
      </c>
      <c r="F129" s="11">
        <f>D129+E129</f>
        <v/>
      </c>
      <c r="G129" s="11">
        <f>SUM(G122:G128)</f>
        <v/>
      </c>
      <c r="H129" s="11">
        <f>SUM(H122:H128)</f>
        <v/>
      </c>
      <c r="I129" s="11">
        <f>G129+H129</f>
        <v/>
      </c>
      <c r="J129" s="11">
        <f>D129+G129</f>
        <v/>
      </c>
      <c r="K129" s="11">
        <f>E129+H129</f>
        <v/>
      </c>
      <c r="L129" s="11">
        <f>J129+K129</f>
        <v/>
      </c>
      <c r="M129" s="12">
        <f>IF(C129=0,0,L129/C129*100)</f>
        <v/>
      </c>
    </row>
    <row r="131">
      <c r="A131" s="13" t="inlineStr">
        <is>
          <t>Day 10 - 2026-10-14 (Wed 28 Aswin 2083)</t>
        </is>
      </c>
    </row>
    <row r="132">
      <c r="A132" s="6" t="inlineStr">
        <is>
          <t>Ward no.</t>
        </is>
      </c>
      <c r="B132" s="6" t="inlineStr">
        <is>
          <t>Total population</t>
        </is>
      </c>
      <c r="C132" s="6" t="inlineStr">
        <is>
          <t>JE target population</t>
        </is>
      </c>
      <c r="D132" s="6" t="inlineStr">
        <is>
          <t>Vaccinated</t>
        </is>
      </c>
      <c r="E132" s="6" t="n"/>
      <c r="F132" s="6" t="n"/>
      <c r="G132" s="6" t="n"/>
      <c r="H132" s="6" t="n"/>
      <c r="I132" s="6" t="n"/>
      <c r="J132" s="6" t="n"/>
      <c r="K132" s="6" t="n"/>
      <c r="L132" s="6" t="n"/>
      <c r="M132" s="6" t="inlineStr">
        <is>
          <t>Progress %</t>
        </is>
      </c>
    </row>
    <row r="133">
      <c r="A133" s="6" t="n"/>
      <c r="B133" s="6" t="n"/>
      <c r="C133" s="6" t="n"/>
      <c r="D133" s="6" t="inlineStr">
        <is>
          <t>Age 30-60 yrs</t>
        </is>
      </c>
      <c r="E133" s="6" t="n"/>
      <c r="F133" s="6" t="n"/>
      <c r="G133" s="6" t="inlineStr">
        <is>
          <t>Age 60 above</t>
        </is>
      </c>
      <c r="H133" s="6" t="n"/>
      <c r="I133" s="6" t="n"/>
      <c r="J133" s="6" t="inlineStr">
        <is>
          <t>Total</t>
        </is>
      </c>
      <c r="K133" s="6" t="n"/>
      <c r="L133" s="6" t="inlineStr">
        <is>
          <t>Grand Total</t>
        </is>
      </c>
      <c r="M133" s="6" t="n"/>
    </row>
    <row r="134">
      <c r="A134" s="6" t="n"/>
      <c r="B134" s="6" t="n"/>
      <c r="C134" s="6" t="n"/>
      <c r="D134" s="6" t="inlineStr">
        <is>
          <t>F</t>
        </is>
      </c>
      <c r="E134" s="6" t="inlineStr">
        <is>
          <t>M</t>
        </is>
      </c>
      <c r="F134" s="6" t="inlineStr">
        <is>
          <t>Total</t>
        </is>
      </c>
      <c r="G134" s="6" t="inlineStr">
        <is>
          <t>F</t>
        </is>
      </c>
      <c r="H134" s="6" t="inlineStr">
        <is>
          <t>M</t>
        </is>
      </c>
      <c r="I134" s="6" t="inlineStr">
        <is>
          <t>Total</t>
        </is>
      </c>
      <c r="J134" s="6" t="inlineStr">
        <is>
          <t>F</t>
        </is>
      </c>
      <c r="K134" s="6" t="inlineStr">
        <is>
          <t>M</t>
        </is>
      </c>
      <c r="L134" s="6" t="n"/>
      <c r="M134" s="6" t="n"/>
    </row>
    <row r="135">
      <c r="A135" s="7" t="n">
        <v>1</v>
      </c>
      <c r="B135" s="8">
        <f>B5</f>
        <v/>
      </c>
      <c r="C135" s="8">
        <f>C5</f>
        <v/>
      </c>
      <c r="D135" s="14" t="n"/>
      <c r="E135" s="14" t="n"/>
      <c r="F135" s="8">
        <f>D135+E135</f>
        <v/>
      </c>
      <c r="G135" s="14" t="n"/>
      <c r="H135" s="14" t="n"/>
      <c r="I135" s="8">
        <f>G135+H135</f>
        <v/>
      </c>
      <c r="J135" s="8">
        <f>D135+G135</f>
        <v/>
      </c>
      <c r="K135" s="8">
        <f>E135+H135</f>
        <v/>
      </c>
      <c r="L135" s="8">
        <f>J135+K135</f>
        <v/>
      </c>
      <c r="M135" s="9">
        <f>IF(C135=0,0,L135/C135*100)</f>
        <v/>
      </c>
    </row>
    <row r="136">
      <c r="A136" s="7" t="n">
        <v>2</v>
      </c>
      <c r="B136" s="8">
        <f>B6</f>
        <v/>
      </c>
      <c r="C136" s="8">
        <f>C6</f>
        <v/>
      </c>
      <c r="D136" s="14" t="n"/>
      <c r="E136" s="14" t="n"/>
      <c r="F136" s="8">
        <f>D136+E136</f>
        <v/>
      </c>
      <c r="G136" s="14" t="n"/>
      <c r="H136" s="14" t="n"/>
      <c r="I136" s="8">
        <f>G136+H136</f>
        <v/>
      </c>
      <c r="J136" s="8">
        <f>D136+G136</f>
        <v/>
      </c>
      <c r="K136" s="8">
        <f>E136+H136</f>
        <v/>
      </c>
      <c r="L136" s="8">
        <f>J136+K136</f>
        <v/>
      </c>
      <c r="M136" s="9">
        <f>IF(C136=0,0,L136/C136*100)</f>
        <v/>
      </c>
    </row>
    <row r="137">
      <c r="A137" s="7" t="n">
        <v>3</v>
      </c>
      <c r="B137" s="8">
        <f>B7</f>
        <v/>
      </c>
      <c r="C137" s="8">
        <f>C7</f>
        <v/>
      </c>
      <c r="D137" s="14" t="n"/>
      <c r="E137" s="14" t="n"/>
      <c r="F137" s="8">
        <f>D137+E137</f>
        <v/>
      </c>
      <c r="G137" s="14" t="n"/>
      <c r="H137" s="14" t="n"/>
      <c r="I137" s="8">
        <f>G137+H137</f>
        <v/>
      </c>
      <c r="J137" s="8">
        <f>D137+G137</f>
        <v/>
      </c>
      <c r="K137" s="8">
        <f>E137+H137</f>
        <v/>
      </c>
      <c r="L137" s="8">
        <f>J137+K137</f>
        <v/>
      </c>
      <c r="M137" s="9">
        <f>IF(C137=0,0,L137/C137*100)</f>
        <v/>
      </c>
    </row>
    <row r="138">
      <c r="A138" s="7" t="n">
        <v>4</v>
      </c>
      <c r="B138" s="8">
        <f>B8</f>
        <v/>
      </c>
      <c r="C138" s="8">
        <f>C8</f>
        <v/>
      </c>
      <c r="D138" s="14" t="n"/>
      <c r="E138" s="14" t="n"/>
      <c r="F138" s="8">
        <f>D138+E138</f>
        <v/>
      </c>
      <c r="G138" s="14" t="n"/>
      <c r="H138" s="14" t="n"/>
      <c r="I138" s="8">
        <f>G138+H138</f>
        <v/>
      </c>
      <c r="J138" s="8">
        <f>D138+G138</f>
        <v/>
      </c>
      <c r="K138" s="8">
        <f>E138+H138</f>
        <v/>
      </c>
      <c r="L138" s="8">
        <f>J138+K138</f>
        <v/>
      </c>
      <c r="M138" s="9">
        <f>IF(C138=0,0,L138/C138*100)</f>
        <v/>
      </c>
    </row>
    <row r="139">
      <c r="A139" s="7" t="n">
        <v>5</v>
      </c>
      <c r="B139" s="8">
        <f>B9</f>
        <v/>
      </c>
      <c r="C139" s="8">
        <f>C9</f>
        <v/>
      </c>
      <c r="D139" s="14" t="n"/>
      <c r="E139" s="14" t="n"/>
      <c r="F139" s="8">
        <f>D139+E139</f>
        <v/>
      </c>
      <c r="G139" s="14" t="n"/>
      <c r="H139" s="14" t="n"/>
      <c r="I139" s="8">
        <f>G139+H139</f>
        <v/>
      </c>
      <c r="J139" s="8">
        <f>D139+G139</f>
        <v/>
      </c>
      <c r="K139" s="8">
        <f>E139+H139</f>
        <v/>
      </c>
      <c r="L139" s="8">
        <f>J139+K139</f>
        <v/>
      </c>
      <c r="M139" s="9">
        <f>IF(C139=0,0,L139/C139*100)</f>
        <v/>
      </c>
    </row>
    <row r="140">
      <c r="A140" s="7" t="n">
        <v>6</v>
      </c>
      <c r="B140" s="8">
        <f>B10</f>
        <v/>
      </c>
      <c r="C140" s="8">
        <f>C10</f>
        <v/>
      </c>
      <c r="D140" s="14" t="n"/>
      <c r="E140" s="14" t="n"/>
      <c r="F140" s="8">
        <f>D140+E140</f>
        <v/>
      </c>
      <c r="G140" s="14" t="n"/>
      <c r="H140" s="14" t="n"/>
      <c r="I140" s="8">
        <f>G140+H140</f>
        <v/>
      </c>
      <c r="J140" s="8">
        <f>D140+G140</f>
        <v/>
      </c>
      <c r="K140" s="8">
        <f>E140+H140</f>
        <v/>
      </c>
      <c r="L140" s="8">
        <f>J140+K140</f>
        <v/>
      </c>
      <c r="M140" s="9">
        <f>IF(C140=0,0,L140/C140*100)</f>
        <v/>
      </c>
    </row>
    <row r="141">
      <c r="A141" s="7" t="n">
        <v>7</v>
      </c>
      <c r="B141" s="8">
        <f>B11</f>
        <v/>
      </c>
      <c r="C141" s="8">
        <f>C11</f>
        <v/>
      </c>
      <c r="D141" s="14" t="n"/>
      <c r="E141" s="14" t="n"/>
      <c r="F141" s="8">
        <f>D141+E141</f>
        <v/>
      </c>
      <c r="G141" s="14" t="n"/>
      <c r="H141" s="14" t="n"/>
      <c r="I141" s="8">
        <f>G141+H141</f>
        <v/>
      </c>
      <c r="J141" s="8">
        <f>D141+G141</f>
        <v/>
      </c>
      <c r="K141" s="8">
        <f>E141+H141</f>
        <v/>
      </c>
      <c r="L141" s="8">
        <f>J141+K141</f>
        <v/>
      </c>
      <c r="M141" s="9">
        <f>IF(C141=0,0,L141/C141*100)</f>
        <v/>
      </c>
    </row>
    <row r="142">
      <c r="A142" s="10" t="inlineStr">
        <is>
          <t>Total</t>
        </is>
      </c>
      <c r="B142" s="11">
        <f>SUM(B135:B141)</f>
        <v/>
      </c>
      <c r="C142" s="11">
        <f>SUM(C135:C141)</f>
        <v/>
      </c>
      <c r="D142" s="11">
        <f>SUM(D135:D141)</f>
        <v/>
      </c>
      <c r="E142" s="11">
        <f>SUM(E135:E141)</f>
        <v/>
      </c>
      <c r="F142" s="11">
        <f>D142+E142</f>
        <v/>
      </c>
      <c r="G142" s="11">
        <f>SUM(G135:G141)</f>
        <v/>
      </c>
      <c r="H142" s="11">
        <f>SUM(H135:H141)</f>
        <v/>
      </c>
      <c r="I142" s="11">
        <f>G142+H142</f>
        <v/>
      </c>
      <c r="J142" s="11">
        <f>D142+G142</f>
        <v/>
      </c>
      <c r="K142" s="11">
        <f>E142+H142</f>
        <v/>
      </c>
      <c r="L142" s="11">
        <f>J142+K142</f>
        <v/>
      </c>
      <c r="M142" s="12">
        <f>IF(C142=0,0,L142/C142*100)</f>
        <v/>
      </c>
    </row>
    <row r="144">
      <c r="A144" s="13" t="inlineStr">
        <is>
          <t>Day 11 - 2026-10-15 (Thu 29 Aswin 2083)</t>
        </is>
      </c>
    </row>
    <row r="145">
      <c r="A145" s="6" t="inlineStr">
        <is>
          <t>Ward no.</t>
        </is>
      </c>
      <c r="B145" s="6" t="inlineStr">
        <is>
          <t>Total population</t>
        </is>
      </c>
      <c r="C145" s="6" t="inlineStr">
        <is>
          <t>JE target population</t>
        </is>
      </c>
      <c r="D145" s="6" t="inlineStr">
        <is>
          <t>Vaccinated</t>
        </is>
      </c>
      <c r="E145" s="6" t="n"/>
      <c r="F145" s="6" t="n"/>
      <c r="G145" s="6" t="n"/>
      <c r="H145" s="6" t="n"/>
      <c r="I145" s="6" t="n"/>
      <c r="J145" s="6" t="n"/>
      <c r="K145" s="6" t="n"/>
      <c r="L145" s="6" t="n"/>
      <c r="M145" s="6" t="inlineStr">
        <is>
          <t>Progress %</t>
        </is>
      </c>
    </row>
    <row r="146">
      <c r="A146" s="6" t="n"/>
      <c r="B146" s="6" t="n"/>
      <c r="C146" s="6" t="n"/>
      <c r="D146" s="6" t="inlineStr">
        <is>
          <t>Age 30-60 yrs</t>
        </is>
      </c>
      <c r="E146" s="6" t="n"/>
      <c r="F146" s="6" t="n"/>
      <c r="G146" s="6" t="inlineStr">
        <is>
          <t>Age 60 above</t>
        </is>
      </c>
      <c r="H146" s="6" t="n"/>
      <c r="I146" s="6" t="n"/>
      <c r="J146" s="6" t="inlineStr">
        <is>
          <t>Total</t>
        </is>
      </c>
      <c r="K146" s="6" t="n"/>
      <c r="L146" s="6" t="inlineStr">
        <is>
          <t>Grand Total</t>
        </is>
      </c>
      <c r="M146" s="6" t="n"/>
    </row>
    <row r="147">
      <c r="A147" s="6" t="n"/>
      <c r="B147" s="6" t="n"/>
      <c r="C147" s="6" t="n"/>
      <c r="D147" s="6" t="inlineStr">
        <is>
          <t>F</t>
        </is>
      </c>
      <c r="E147" s="6" t="inlineStr">
        <is>
          <t>M</t>
        </is>
      </c>
      <c r="F147" s="6" t="inlineStr">
        <is>
          <t>Total</t>
        </is>
      </c>
      <c r="G147" s="6" t="inlineStr">
        <is>
          <t>F</t>
        </is>
      </c>
      <c r="H147" s="6" t="inlineStr">
        <is>
          <t>M</t>
        </is>
      </c>
      <c r="I147" s="6" t="inlineStr">
        <is>
          <t>Total</t>
        </is>
      </c>
      <c r="J147" s="6" t="inlineStr">
        <is>
          <t>F</t>
        </is>
      </c>
      <c r="K147" s="6" t="inlineStr">
        <is>
          <t>M</t>
        </is>
      </c>
      <c r="L147" s="6" t="n"/>
      <c r="M147" s="6" t="n"/>
    </row>
    <row r="148">
      <c r="A148" s="7" t="n">
        <v>1</v>
      </c>
      <c r="B148" s="8">
        <f>B5</f>
        <v/>
      </c>
      <c r="C148" s="8">
        <f>C5</f>
        <v/>
      </c>
      <c r="D148" s="14" t="n"/>
      <c r="E148" s="14" t="n"/>
      <c r="F148" s="8">
        <f>D148+E148</f>
        <v/>
      </c>
      <c r="G148" s="14" t="n"/>
      <c r="H148" s="14" t="n"/>
      <c r="I148" s="8">
        <f>G148+H148</f>
        <v/>
      </c>
      <c r="J148" s="8">
        <f>D148+G148</f>
        <v/>
      </c>
      <c r="K148" s="8">
        <f>E148+H148</f>
        <v/>
      </c>
      <c r="L148" s="8">
        <f>J148+K148</f>
        <v/>
      </c>
      <c r="M148" s="9">
        <f>IF(C148=0,0,L148/C148*100)</f>
        <v/>
      </c>
    </row>
    <row r="149">
      <c r="A149" s="7" t="n">
        <v>2</v>
      </c>
      <c r="B149" s="8">
        <f>B6</f>
        <v/>
      </c>
      <c r="C149" s="8">
        <f>C6</f>
        <v/>
      </c>
      <c r="D149" s="14" t="n"/>
      <c r="E149" s="14" t="n"/>
      <c r="F149" s="8">
        <f>D149+E149</f>
        <v/>
      </c>
      <c r="G149" s="14" t="n"/>
      <c r="H149" s="14" t="n"/>
      <c r="I149" s="8">
        <f>G149+H149</f>
        <v/>
      </c>
      <c r="J149" s="8">
        <f>D149+G149</f>
        <v/>
      </c>
      <c r="K149" s="8">
        <f>E149+H149</f>
        <v/>
      </c>
      <c r="L149" s="8">
        <f>J149+K149</f>
        <v/>
      </c>
      <c r="M149" s="9">
        <f>IF(C149=0,0,L149/C149*100)</f>
        <v/>
      </c>
    </row>
    <row r="150">
      <c r="A150" s="7" t="n">
        <v>3</v>
      </c>
      <c r="B150" s="8">
        <f>B7</f>
        <v/>
      </c>
      <c r="C150" s="8">
        <f>C7</f>
        <v/>
      </c>
      <c r="D150" s="14" t="n"/>
      <c r="E150" s="14" t="n"/>
      <c r="F150" s="8">
        <f>D150+E150</f>
        <v/>
      </c>
      <c r="G150" s="14" t="n"/>
      <c r="H150" s="14" t="n"/>
      <c r="I150" s="8">
        <f>G150+H150</f>
        <v/>
      </c>
      <c r="J150" s="8">
        <f>D150+G150</f>
        <v/>
      </c>
      <c r="K150" s="8">
        <f>E150+H150</f>
        <v/>
      </c>
      <c r="L150" s="8">
        <f>J150+K150</f>
        <v/>
      </c>
      <c r="M150" s="9">
        <f>IF(C150=0,0,L150/C150*100)</f>
        <v/>
      </c>
    </row>
    <row r="151">
      <c r="A151" s="7" t="n">
        <v>4</v>
      </c>
      <c r="B151" s="8">
        <f>B8</f>
        <v/>
      </c>
      <c r="C151" s="8">
        <f>C8</f>
        <v/>
      </c>
      <c r="D151" s="14" t="n"/>
      <c r="E151" s="14" t="n"/>
      <c r="F151" s="8">
        <f>D151+E151</f>
        <v/>
      </c>
      <c r="G151" s="14" t="n"/>
      <c r="H151" s="14" t="n"/>
      <c r="I151" s="8">
        <f>G151+H151</f>
        <v/>
      </c>
      <c r="J151" s="8">
        <f>D151+G151</f>
        <v/>
      </c>
      <c r="K151" s="8">
        <f>E151+H151</f>
        <v/>
      </c>
      <c r="L151" s="8">
        <f>J151+K151</f>
        <v/>
      </c>
      <c r="M151" s="9">
        <f>IF(C151=0,0,L151/C151*100)</f>
        <v/>
      </c>
    </row>
    <row r="152">
      <c r="A152" s="7" t="n">
        <v>5</v>
      </c>
      <c r="B152" s="8">
        <f>B9</f>
        <v/>
      </c>
      <c r="C152" s="8">
        <f>C9</f>
        <v/>
      </c>
      <c r="D152" s="14" t="n"/>
      <c r="E152" s="14" t="n"/>
      <c r="F152" s="8">
        <f>D152+E152</f>
        <v/>
      </c>
      <c r="G152" s="14" t="n"/>
      <c r="H152" s="14" t="n"/>
      <c r="I152" s="8">
        <f>G152+H152</f>
        <v/>
      </c>
      <c r="J152" s="8">
        <f>D152+G152</f>
        <v/>
      </c>
      <c r="K152" s="8">
        <f>E152+H152</f>
        <v/>
      </c>
      <c r="L152" s="8">
        <f>J152+K152</f>
        <v/>
      </c>
      <c r="M152" s="9">
        <f>IF(C152=0,0,L152/C152*100)</f>
        <v/>
      </c>
    </row>
    <row r="153">
      <c r="A153" s="7" t="n">
        <v>6</v>
      </c>
      <c r="B153" s="8">
        <f>B10</f>
        <v/>
      </c>
      <c r="C153" s="8">
        <f>C10</f>
        <v/>
      </c>
      <c r="D153" s="14" t="n"/>
      <c r="E153" s="14" t="n"/>
      <c r="F153" s="8">
        <f>D153+E153</f>
        <v/>
      </c>
      <c r="G153" s="14" t="n"/>
      <c r="H153" s="14" t="n"/>
      <c r="I153" s="8">
        <f>G153+H153</f>
        <v/>
      </c>
      <c r="J153" s="8">
        <f>D153+G153</f>
        <v/>
      </c>
      <c r="K153" s="8">
        <f>E153+H153</f>
        <v/>
      </c>
      <c r="L153" s="8">
        <f>J153+K153</f>
        <v/>
      </c>
      <c r="M153" s="9">
        <f>IF(C153=0,0,L153/C153*100)</f>
        <v/>
      </c>
    </row>
    <row r="154">
      <c r="A154" s="7" t="n">
        <v>7</v>
      </c>
      <c r="B154" s="8">
        <f>B11</f>
        <v/>
      </c>
      <c r="C154" s="8">
        <f>C11</f>
        <v/>
      </c>
      <c r="D154" s="14" t="n"/>
      <c r="E154" s="14" t="n"/>
      <c r="F154" s="8">
        <f>D154+E154</f>
        <v/>
      </c>
      <c r="G154" s="14" t="n"/>
      <c r="H154" s="14" t="n"/>
      <c r="I154" s="8">
        <f>G154+H154</f>
        <v/>
      </c>
      <c r="J154" s="8">
        <f>D154+G154</f>
        <v/>
      </c>
      <c r="K154" s="8">
        <f>E154+H154</f>
        <v/>
      </c>
      <c r="L154" s="8">
        <f>J154+K154</f>
        <v/>
      </c>
      <c r="M154" s="9">
        <f>IF(C154=0,0,L154/C154*100)</f>
        <v/>
      </c>
    </row>
    <row r="155">
      <c r="A155" s="10" t="inlineStr">
        <is>
          <t>Total</t>
        </is>
      </c>
      <c r="B155" s="11">
        <f>SUM(B148:B154)</f>
        <v/>
      </c>
      <c r="C155" s="11">
        <f>SUM(C148:C154)</f>
        <v/>
      </c>
      <c r="D155" s="11">
        <f>SUM(D148:D154)</f>
        <v/>
      </c>
      <c r="E155" s="11">
        <f>SUM(E148:E154)</f>
        <v/>
      </c>
      <c r="F155" s="11">
        <f>D155+E155</f>
        <v/>
      </c>
      <c r="G155" s="11">
        <f>SUM(G148:G154)</f>
        <v/>
      </c>
      <c r="H155" s="11">
        <f>SUM(H148:H154)</f>
        <v/>
      </c>
      <c r="I155" s="11">
        <f>G155+H155</f>
        <v/>
      </c>
      <c r="J155" s="11">
        <f>D155+G155</f>
        <v/>
      </c>
      <c r="K155" s="11">
        <f>E155+H155</f>
        <v/>
      </c>
      <c r="L155" s="11">
        <f>J155+K155</f>
        <v/>
      </c>
      <c r="M155" s="12">
        <f>IF(C155=0,0,L155/C155*100)</f>
        <v/>
      </c>
    </row>
    <row r="157">
      <c r="A157" s="13" t="inlineStr">
        <is>
          <t>Day 12 - 2026-10-16 (Fri 30 Aswin 2083)</t>
        </is>
      </c>
    </row>
    <row r="158">
      <c r="A158" s="6" t="inlineStr">
        <is>
          <t>Ward no.</t>
        </is>
      </c>
      <c r="B158" s="6" t="inlineStr">
        <is>
          <t>Total population</t>
        </is>
      </c>
      <c r="C158" s="6" t="inlineStr">
        <is>
          <t>JE target population</t>
        </is>
      </c>
      <c r="D158" s="6" t="inlineStr">
        <is>
          <t>Vaccinated</t>
        </is>
      </c>
      <c r="E158" s="6" t="n"/>
      <c r="F158" s="6" t="n"/>
      <c r="G158" s="6" t="n"/>
      <c r="H158" s="6" t="n"/>
      <c r="I158" s="6" t="n"/>
      <c r="J158" s="6" t="n"/>
      <c r="K158" s="6" t="n"/>
      <c r="L158" s="6" t="n"/>
      <c r="M158" s="6" t="inlineStr">
        <is>
          <t>Progress %</t>
        </is>
      </c>
    </row>
    <row r="159">
      <c r="A159" s="6" t="n"/>
      <c r="B159" s="6" t="n"/>
      <c r="C159" s="6" t="n"/>
      <c r="D159" s="6" t="inlineStr">
        <is>
          <t>Age 30-60 yrs</t>
        </is>
      </c>
      <c r="E159" s="6" t="n"/>
      <c r="F159" s="6" t="n"/>
      <c r="G159" s="6" t="inlineStr">
        <is>
          <t>Age 60 above</t>
        </is>
      </c>
      <c r="H159" s="6" t="n"/>
      <c r="I159" s="6" t="n"/>
      <c r="J159" s="6" t="inlineStr">
        <is>
          <t>Total</t>
        </is>
      </c>
      <c r="K159" s="6" t="n"/>
      <c r="L159" s="6" t="inlineStr">
        <is>
          <t>Grand Total</t>
        </is>
      </c>
      <c r="M159" s="6" t="n"/>
    </row>
    <row r="160">
      <c r="A160" s="6" t="n"/>
      <c r="B160" s="6" t="n"/>
      <c r="C160" s="6" t="n"/>
      <c r="D160" s="6" t="inlineStr">
        <is>
          <t>F</t>
        </is>
      </c>
      <c r="E160" s="6" t="inlineStr">
        <is>
          <t>M</t>
        </is>
      </c>
      <c r="F160" s="6" t="inlineStr">
        <is>
          <t>Total</t>
        </is>
      </c>
      <c r="G160" s="6" t="inlineStr">
        <is>
          <t>F</t>
        </is>
      </c>
      <c r="H160" s="6" t="inlineStr">
        <is>
          <t>M</t>
        </is>
      </c>
      <c r="I160" s="6" t="inlineStr">
        <is>
          <t>Total</t>
        </is>
      </c>
      <c r="J160" s="6" t="inlineStr">
        <is>
          <t>F</t>
        </is>
      </c>
      <c r="K160" s="6" t="inlineStr">
        <is>
          <t>M</t>
        </is>
      </c>
      <c r="L160" s="6" t="n"/>
      <c r="M160" s="6" t="n"/>
    </row>
    <row r="161">
      <c r="A161" s="7" t="n">
        <v>1</v>
      </c>
      <c r="B161" s="8">
        <f>B5</f>
        <v/>
      </c>
      <c r="C161" s="8">
        <f>C5</f>
        <v/>
      </c>
      <c r="D161" s="14" t="n"/>
      <c r="E161" s="14" t="n"/>
      <c r="F161" s="8">
        <f>D161+E161</f>
        <v/>
      </c>
      <c r="G161" s="14" t="n"/>
      <c r="H161" s="14" t="n"/>
      <c r="I161" s="8">
        <f>G161+H161</f>
        <v/>
      </c>
      <c r="J161" s="8">
        <f>D161+G161</f>
        <v/>
      </c>
      <c r="K161" s="8">
        <f>E161+H161</f>
        <v/>
      </c>
      <c r="L161" s="8">
        <f>J161+K161</f>
        <v/>
      </c>
      <c r="M161" s="9">
        <f>IF(C161=0,0,L161/C161*100)</f>
        <v/>
      </c>
    </row>
    <row r="162">
      <c r="A162" s="7" t="n">
        <v>2</v>
      </c>
      <c r="B162" s="8">
        <f>B6</f>
        <v/>
      </c>
      <c r="C162" s="8">
        <f>C6</f>
        <v/>
      </c>
      <c r="D162" s="14" t="n"/>
      <c r="E162" s="14" t="n"/>
      <c r="F162" s="8">
        <f>D162+E162</f>
        <v/>
      </c>
      <c r="G162" s="14" t="n"/>
      <c r="H162" s="14" t="n"/>
      <c r="I162" s="8">
        <f>G162+H162</f>
        <v/>
      </c>
      <c r="J162" s="8">
        <f>D162+G162</f>
        <v/>
      </c>
      <c r="K162" s="8">
        <f>E162+H162</f>
        <v/>
      </c>
      <c r="L162" s="8">
        <f>J162+K162</f>
        <v/>
      </c>
      <c r="M162" s="9">
        <f>IF(C162=0,0,L162/C162*100)</f>
        <v/>
      </c>
    </row>
    <row r="163">
      <c r="A163" s="7" t="n">
        <v>3</v>
      </c>
      <c r="B163" s="8">
        <f>B7</f>
        <v/>
      </c>
      <c r="C163" s="8">
        <f>C7</f>
        <v/>
      </c>
      <c r="D163" s="14" t="n"/>
      <c r="E163" s="14" t="n"/>
      <c r="F163" s="8">
        <f>D163+E163</f>
        <v/>
      </c>
      <c r="G163" s="14" t="n"/>
      <c r="H163" s="14" t="n"/>
      <c r="I163" s="8">
        <f>G163+H163</f>
        <v/>
      </c>
      <c r="J163" s="8">
        <f>D163+G163</f>
        <v/>
      </c>
      <c r="K163" s="8">
        <f>E163+H163</f>
        <v/>
      </c>
      <c r="L163" s="8">
        <f>J163+K163</f>
        <v/>
      </c>
      <c r="M163" s="9">
        <f>IF(C163=0,0,L163/C163*100)</f>
        <v/>
      </c>
    </row>
    <row r="164">
      <c r="A164" s="7" t="n">
        <v>4</v>
      </c>
      <c r="B164" s="8">
        <f>B8</f>
        <v/>
      </c>
      <c r="C164" s="8">
        <f>C8</f>
        <v/>
      </c>
      <c r="D164" s="14" t="n"/>
      <c r="E164" s="14" t="n"/>
      <c r="F164" s="8">
        <f>D164+E164</f>
        <v/>
      </c>
      <c r="G164" s="14" t="n"/>
      <c r="H164" s="14" t="n"/>
      <c r="I164" s="8">
        <f>G164+H164</f>
        <v/>
      </c>
      <c r="J164" s="8">
        <f>D164+G164</f>
        <v/>
      </c>
      <c r="K164" s="8">
        <f>E164+H164</f>
        <v/>
      </c>
      <c r="L164" s="8">
        <f>J164+K164</f>
        <v/>
      </c>
      <c r="M164" s="9">
        <f>IF(C164=0,0,L164/C164*100)</f>
        <v/>
      </c>
    </row>
    <row r="165">
      <c r="A165" s="7" t="n">
        <v>5</v>
      </c>
      <c r="B165" s="8">
        <f>B9</f>
        <v/>
      </c>
      <c r="C165" s="8">
        <f>C9</f>
        <v/>
      </c>
      <c r="D165" s="14" t="n"/>
      <c r="E165" s="14" t="n"/>
      <c r="F165" s="8">
        <f>D165+E165</f>
        <v/>
      </c>
      <c r="G165" s="14" t="n"/>
      <c r="H165" s="14" t="n"/>
      <c r="I165" s="8">
        <f>G165+H165</f>
        <v/>
      </c>
      <c r="J165" s="8">
        <f>D165+G165</f>
        <v/>
      </c>
      <c r="K165" s="8">
        <f>E165+H165</f>
        <v/>
      </c>
      <c r="L165" s="8">
        <f>J165+K165</f>
        <v/>
      </c>
      <c r="M165" s="9">
        <f>IF(C165=0,0,L165/C165*100)</f>
        <v/>
      </c>
    </row>
    <row r="166">
      <c r="A166" s="7" t="n">
        <v>6</v>
      </c>
      <c r="B166" s="8">
        <f>B10</f>
        <v/>
      </c>
      <c r="C166" s="8">
        <f>C10</f>
        <v/>
      </c>
      <c r="D166" s="14" t="n"/>
      <c r="E166" s="14" t="n"/>
      <c r="F166" s="8">
        <f>D166+E166</f>
        <v/>
      </c>
      <c r="G166" s="14" t="n"/>
      <c r="H166" s="14" t="n"/>
      <c r="I166" s="8">
        <f>G166+H166</f>
        <v/>
      </c>
      <c r="J166" s="8">
        <f>D166+G166</f>
        <v/>
      </c>
      <c r="K166" s="8">
        <f>E166+H166</f>
        <v/>
      </c>
      <c r="L166" s="8">
        <f>J166+K166</f>
        <v/>
      </c>
      <c r="M166" s="9">
        <f>IF(C166=0,0,L166/C166*100)</f>
        <v/>
      </c>
    </row>
    <row r="167">
      <c r="A167" s="7" t="n">
        <v>7</v>
      </c>
      <c r="B167" s="8">
        <f>B11</f>
        <v/>
      </c>
      <c r="C167" s="8">
        <f>C11</f>
        <v/>
      </c>
      <c r="D167" s="14" t="n"/>
      <c r="E167" s="14" t="n"/>
      <c r="F167" s="8">
        <f>D167+E167</f>
        <v/>
      </c>
      <c r="G167" s="14" t="n"/>
      <c r="H167" s="14" t="n"/>
      <c r="I167" s="8">
        <f>G167+H167</f>
        <v/>
      </c>
      <c r="J167" s="8">
        <f>D167+G167</f>
        <v/>
      </c>
      <c r="K167" s="8">
        <f>E167+H167</f>
        <v/>
      </c>
      <c r="L167" s="8">
        <f>J167+K167</f>
        <v/>
      </c>
      <c r="M167" s="9">
        <f>IF(C167=0,0,L167/C167*100)</f>
        <v/>
      </c>
    </row>
    <row r="168">
      <c r="A168" s="10" t="inlineStr">
        <is>
          <t>Total</t>
        </is>
      </c>
      <c r="B168" s="11">
        <f>SUM(B161:B167)</f>
        <v/>
      </c>
      <c r="C168" s="11">
        <f>SUM(C161:C167)</f>
        <v/>
      </c>
      <c r="D168" s="11">
        <f>SUM(D161:D167)</f>
        <v/>
      </c>
      <c r="E168" s="11">
        <f>SUM(E161:E167)</f>
        <v/>
      </c>
      <c r="F168" s="11">
        <f>D168+E168</f>
        <v/>
      </c>
      <c r="G168" s="11">
        <f>SUM(G161:G167)</f>
        <v/>
      </c>
      <c r="H168" s="11">
        <f>SUM(H161:H167)</f>
        <v/>
      </c>
      <c r="I168" s="11">
        <f>G168+H168</f>
        <v/>
      </c>
      <c r="J168" s="11">
        <f>D168+G168</f>
        <v/>
      </c>
      <c r="K168" s="11">
        <f>E168+H168</f>
        <v/>
      </c>
      <c r="L168" s="11">
        <f>J168+K168</f>
        <v/>
      </c>
      <c r="M168" s="12">
        <f>IF(C168=0,0,L168/C168*100)</f>
        <v/>
      </c>
    </row>
    <row r="170">
      <c r="A170" s="13" t="inlineStr">
        <is>
          <t>Day 13 - 2026-10-17 (Sat 31 Aswin 2083)</t>
        </is>
      </c>
    </row>
    <row r="171">
      <c r="A171" s="6" t="inlineStr">
        <is>
          <t>Ward no.</t>
        </is>
      </c>
      <c r="B171" s="6" t="inlineStr">
        <is>
          <t>Total population</t>
        </is>
      </c>
      <c r="C171" s="6" t="inlineStr">
        <is>
          <t>JE target population</t>
        </is>
      </c>
      <c r="D171" s="6" t="inlineStr">
        <is>
          <t>Vaccinated</t>
        </is>
      </c>
      <c r="E171" s="6" t="n"/>
      <c r="F171" s="6" t="n"/>
      <c r="G171" s="6" t="n"/>
      <c r="H171" s="6" t="n"/>
      <c r="I171" s="6" t="n"/>
      <c r="J171" s="6" t="n"/>
      <c r="K171" s="6" t="n"/>
      <c r="L171" s="6" t="n"/>
      <c r="M171" s="6" t="inlineStr">
        <is>
          <t>Progress %</t>
        </is>
      </c>
    </row>
    <row r="172">
      <c r="A172" s="6" t="n"/>
      <c r="B172" s="6" t="n"/>
      <c r="C172" s="6" t="n"/>
      <c r="D172" s="6" t="inlineStr">
        <is>
          <t>Age 30-60 yrs</t>
        </is>
      </c>
      <c r="E172" s="6" t="n"/>
      <c r="F172" s="6" t="n"/>
      <c r="G172" s="6" t="inlineStr">
        <is>
          <t>Age 60 above</t>
        </is>
      </c>
      <c r="H172" s="6" t="n"/>
      <c r="I172" s="6" t="n"/>
      <c r="J172" s="6" t="inlineStr">
        <is>
          <t>Total</t>
        </is>
      </c>
      <c r="K172" s="6" t="n"/>
      <c r="L172" s="6" t="inlineStr">
        <is>
          <t>Grand Total</t>
        </is>
      </c>
      <c r="M172" s="6" t="n"/>
    </row>
    <row r="173">
      <c r="A173" s="6" t="n"/>
      <c r="B173" s="6" t="n"/>
      <c r="C173" s="6" t="n"/>
      <c r="D173" s="6" t="inlineStr">
        <is>
          <t>F</t>
        </is>
      </c>
      <c r="E173" s="6" t="inlineStr">
        <is>
          <t>M</t>
        </is>
      </c>
      <c r="F173" s="6" t="inlineStr">
        <is>
          <t>Total</t>
        </is>
      </c>
      <c r="G173" s="6" t="inlineStr">
        <is>
          <t>F</t>
        </is>
      </c>
      <c r="H173" s="6" t="inlineStr">
        <is>
          <t>M</t>
        </is>
      </c>
      <c r="I173" s="6" t="inlineStr">
        <is>
          <t>Total</t>
        </is>
      </c>
      <c r="J173" s="6" t="inlineStr">
        <is>
          <t>F</t>
        </is>
      </c>
      <c r="K173" s="6" t="inlineStr">
        <is>
          <t>M</t>
        </is>
      </c>
      <c r="L173" s="6" t="n"/>
      <c r="M173" s="6" t="n"/>
    </row>
    <row r="174">
      <c r="A174" s="7" t="n">
        <v>1</v>
      </c>
      <c r="B174" s="8">
        <f>B5</f>
        <v/>
      </c>
      <c r="C174" s="8">
        <f>C5</f>
        <v/>
      </c>
      <c r="D174" s="14" t="n"/>
      <c r="E174" s="14" t="n"/>
      <c r="F174" s="8">
        <f>D174+E174</f>
        <v/>
      </c>
      <c r="G174" s="14" t="n"/>
      <c r="H174" s="14" t="n"/>
      <c r="I174" s="8">
        <f>G174+H174</f>
        <v/>
      </c>
      <c r="J174" s="8">
        <f>D174+G174</f>
        <v/>
      </c>
      <c r="K174" s="8">
        <f>E174+H174</f>
        <v/>
      </c>
      <c r="L174" s="8">
        <f>J174+K174</f>
        <v/>
      </c>
      <c r="M174" s="9">
        <f>IF(C174=0,0,L174/C174*100)</f>
        <v/>
      </c>
    </row>
    <row r="175">
      <c r="A175" s="7" t="n">
        <v>2</v>
      </c>
      <c r="B175" s="8">
        <f>B6</f>
        <v/>
      </c>
      <c r="C175" s="8">
        <f>C6</f>
        <v/>
      </c>
      <c r="D175" s="14" t="n"/>
      <c r="E175" s="14" t="n"/>
      <c r="F175" s="8">
        <f>D175+E175</f>
        <v/>
      </c>
      <c r="G175" s="14" t="n"/>
      <c r="H175" s="14" t="n"/>
      <c r="I175" s="8">
        <f>G175+H175</f>
        <v/>
      </c>
      <c r="J175" s="8">
        <f>D175+G175</f>
        <v/>
      </c>
      <c r="K175" s="8">
        <f>E175+H175</f>
        <v/>
      </c>
      <c r="L175" s="8">
        <f>J175+K175</f>
        <v/>
      </c>
      <c r="M175" s="9">
        <f>IF(C175=0,0,L175/C175*100)</f>
        <v/>
      </c>
    </row>
    <row r="176">
      <c r="A176" s="7" t="n">
        <v>3</v>
      </c>
      <c r="B176" s="8">
        <f>B7</f>
        <v/>
      </c>
      <c r="C176" s="8">
        <f>C7</f>
        <v/>
      </c>
      <c r="D176" s="14" t="n"/>
      <c r="E176" s="14" t="n"/>
      <c r="F176" s="8">
        <f>D176+E176</f>
        <v/>
      </c>
      <c r="G176" s="14" t="n"/>
      <c r="H176" s="14" t="n"/>
      <c r="I176" s="8">
        <f>G176+H176</f>
        <v/>
      </c>
      <c r="J176" s="8">
        <f>D176+G176</f>
        <v/>
      </c>
      <c r="K176" s="8">
        <f>E176+H176</f>
        <v/>
      </c>
      <c r="L176" s="8">
        <f>J176+K176</f>
        <v/>
      </c>
      <c r="M176" s="9">
        <f>IF(C176=0,0,L176/C176*100)</f>
        <v/>
      </c>
    </row>
    <row r="177">
      <c r="A177" s="7" t="n">
        <v>4</v>
      </c>
      <c r="B177" s="8">
        <f>B8</f>
        <v/>
      </c>
      <c r="C177" s="8">
        <f>C8</f>
        <v/>
      </c>
      <c r="D177" s="14" t="n"/>
      <c r="E177" s="14" t="n"/>
      <c r="F177" s="8">
        <f>D177+E177</f>
        <v/>
      </c>
      <c r="G177" s="14" t="n"/>
      <c r="H177" s="14" t="n"/>
      <c r="I177" s="8">
        <f>G177+H177</f>
        <v/>
      </c>
      <c r="J177" s="8">
        <f>D177+G177</f>
        <v/>
      </c>
      <c r="K177" s="8">
        <f>E177+H177</f>
        <v/>
      </c>
      <c r="L177" s="8">
        <f>J177+K177</f>
        <v/>
      </c>
      <c r="M177" s="9">
        <f>IF(C177=0,0,L177/C177*100)</f>
        <v/>
      </c>
    </row>
    <row r="178">
      <c r="A178" s="7" t="n">
        <v>5</v>
      </c>
      <c r="B178" s="8">
        <f>B9</f>
        <v/>
      </c>
      <c r="C178" s="8">
        <f>C9</f>
        <v/>
      </c>
      <c r="D178" s="14" t="n"/>
      <c r="E178" s="14" t="n"/>
      <c r="F178" s="8">
        <f>D178+E178</f>
        <v/>
      </c>
      <c r="G178" s="14" t="n"/>
      <c r="H178" s="14" t="n"/>
      <c r="I178" s="8">
        <f>G178+H178</f>
        <v/>
      </c>
      <c r="J178" s="8">
        <f>D178+G178</f>
        <v/>
      </c>
      <c r="K178" s="8">
        <f>E178+H178</f>
        <v/>
      </c>
      <c r="L178" s="8">
        <f>J178+K178</f>
        <v/>
      </c>
      <c r="M178" s="9">
        <f>IF(C178=0,0,L178/C178*100)</f>
        <v/>
      </c>
    </row>
    <row r="179">
      <c r="A179" s="7" t="n">
        <v>6</v>
      </c>
      <c r="B179" s="8">
        <f>B10</f>
        <v/>
      </c>
      <c r="C179" s="8">
        <f>C10</f>
        <v/>
      </c>
      <c r="D179" s="14" t="n"/>
      <c r="E179" s="14" t="n"/>
      <c r="F179" s="8">
        <f>D179+E179</f>
        <v/>
      </c>
      <c r="G179" s="14" t="n"/>
      <c r="H179" s="14" t="n"/>
      <c r="I179" s="8">
        <f>G179+H179</f>
        <v/>
      </c>
      <c r="J179" s="8">
        <f>D179+G179</f>
        <v/>
      </c>
      <c r="K179" s="8">
        <f>E179+H179</f>
        <v/>
      </c>
      <c r="L179" s="8">
        <f>J179+K179</f>
        <v/>
      </c>
      <c r="M179" s="9">
        <f>IF(C179=0,0,L179/C179*100)</f>
        <v/>
      </c>
    </row>
    <row r="180">
      <c r="A180" s="7" t="n">
        <v>7</v>
      </c>
      <c r="B180" s="8">
        <f>B11</f>
        <v/>
      </c>
      <c r="C180" s="8">
        <f>C11</f>
        <v/>
      </c>
      <c r="D180" s="14" t="n"/>
      <c r="E180" s="14" t="n"/>
      <c r="F180" s="8">
        <f>D180+E180</f>
        <v/>
      </c>
      <c r="G180" s="14" t="n"/>
      <c r="H180" s="14" t="n"/>
      <c r="I180" s="8">
        <f>G180+H180</f>
        <v/>
      </c>
      <c r="J180" s="8">
        <f>D180+G180</f>
        <v/>
      </c>
      <c r="K180" s="8">
        <f>E180+H180</f>
        <v/>
      </c>
      <c r="L180" s="8">
        <f>J180+K180</f>
        <v/>
      </c>
      <c r="M180" s="9">
        <f>IF(C180=0,0,L180/C180*100)</f>
        <v/>
      </c>
    </row>
    <row r="181">
      <c r="A181" s="10" t="inlineStr">
        <is>
          <t>Total</t>
        </is>
      </c>
      <c r="B181" s="11">
        <f>SUM(B174:B180)</f>
        <v/>
      </c>
      <c r="C181" s="11">
        <f>SUM(C174:C180)</f>
        <v/>
      </c>
      <c r="D181" s="11">
        <f>SUM(D174:D180)</f>
        <v/>
      </c>
      <c r="E181" s="11">
        <f>SUM(E174:E180)</f>
        <v/>
      </c>
      <c r="F181" s="11">
        <f>D181+E181</f>
        <v/>
      </c>
      <c r="G181" s="11">
        <f>SUM(G174:G180)</f>
        <v/>
      </c>
      <c r="H181" s="11">
        <f>SUM(H174:H180)</f>
        <v/>
      </c>
      <c r="I181" s="11">
        <f>G181+H181</f>
        <v/>
      </c>
      <c r="J181" s="11">
        <f>D181+G181</f>
        <v/>
      </c>
      <c r="K181" s="11">
        <f>E181+H181</f>
        <v/>
      </c>
      <c r="L181" s="11">
        <f>J181+K181</f>
        <v/>
      </c>
      <c r="M181" s="12">
        <f>IF(C181=0,0,L181/C181*100)</f>
        <v/>
      </c>
    </row>
    <row r="183">
      <c r="A183" s="13" t="inlineStr">
        <is>
          <t>Day 14 - 2026-10-18 (Sun 01 Kartik 2083)</t>
        </is>
      </c>
    </row>
    <row r="184">
      <c r="A184" s="6" t="inlineStr">
        <is>
          <t>Ward no.</t>
        </is>
      </c>
      <c r="B184" s="6" t="inlineStr">
        <is>
          <t>Total population</t>
        </is>
      </c>
      <c r="C184" s="6" t="inlineStr">
        <is>
          <t>JE target population</t>
        </is>
      </c>
      <c r="D184" s="6" t="inlineStr">
        <is>
          <t>Vaccinated</t>
        </is>
      </c>
      <c r="E184" s="6" t="n"/>
      <c r="F184" s="6" t="n"/>
      <c r="G184" s="6" t="n"/>
      <c r="H184" s="6" t="n"/>
      <c r="I184" s="6" t="n"/>
      <c r="J184" s="6" t="n"/>
      <c r="K184" s="6" t="n"/>
      <c r="L184" s="6" t="n"/>
      <c r="M184" s="6" t="inlineStr">
        <is>
          <t>Progress %</t>
        </is>
      </c>
    </row>
    <row r="185">
      <c r="A185" s="6" t="n"/>
      <c r="B185" s="6" t="n"/>
      <c r="C185" s="6" t="n"/>
      <c r="D185" s="6" t="inlineStr">
        <is>
          <t>Age 30-60 yrs</t>
        </is>
      </c>
      <c r="E185" s="6" t="n"/>
      <c r="F185" s="6" t="n"/>
      <c r="G185" s="6" t="inlineStr">
        <is>
          <t>Age 60 above</t>
        </is>
      </c>
      <c r="H185" s="6" t="n"/>
      <c r="I185" s="6" t="n"/>
      <c r="J185" s="6" t="inlineStr">
        <is>
          <t>Total</t>
        </is>
      </c>
      <c r="K185" s="6" t="n"/>
      <c r="L185" s="6" t="inlineStr">
        <is>
          <t>Grand Total</t>
        </is>
      </c>
      <c r="M185" s="6" t="n"/>
    </row>
    <row r="186">
      <c r="A186" s="6" t="n"/>
      <c r="B186" s="6" t="n"/>
      <c r="C186" s="6" t="n"/>
      <c r="D186" s="6" t="inlineStr">
        <is>
          <t>F</t>
        </is>
      </c>
      <c r="E186" s="6" t="inlineStr">
        <is>
          <t>M</t>
        </is>
      </c>
      <c r="F186" s="6" t="inlineStr">
        <is>
          <t>Total</t>
        </is>
      </c>
      <c r="G186" s="6" t="inlineStr">
        <is>
          <t>F</t>
        </is>
      </c>
      <c r="H186" s="6" t="inlineStr">
        <is>
          <t>M</t>
        </is>
      </c>
      <c r="I186" s="6" t="inlineStr">
        <is>
          <t>Total</t>
        </is>
      </c>
      <c r="J186" s="6" t="inlineStr">
        <is>
          <t>F</t>
        </is>
      </c>
      <c r="K186" s="6" t="inlineStr">
        <is>
          <t>M</t>
        </is>
      </c>
      <c r="L186" s="6" t="n"/>
      <c r="M186" s="6" t="n"/>
    </row>
    <row r="187">
      <c r="A187" s="7" t="n">
        <v>1</v>
      </c>
      <c r="B187" s="8">
        <f>B5</f>
        <v/>
      </c>
      <c r="C187" s="8">
        <f>C5</f>
        <v/>
      </c>
      <c r="D187" s="14" t="n"/>
      <c r="E187" s="14" t="n"/>
      <c r="F187" s="8">
        <f>D187+E187</f>
        <v/>
      </c>
      <c r="G187" s="14" t="n"/>
      <c r="H187" s="14" t="n"/>
      <c r="I187" s="8">
        <f>G187+H187</f>
        <v/>
      </c>
      <c r="J187" s="8">
        <f>D187+G187</f>
        <v/>
      </c>
      <c r="K187" s="8">
        <f>E187+H187</f>
        <v/>
      </c>
      <c r="L187" s="8">
        <f>J187+K187</f>
        <v/>
      </c>
      <c r="M187" s="9">
        <f>IF(C187=0,0,L187/C187*100)</f>
        <v/>
      </c>
    </row>
    <row r="188">
      <c r="A188" s="7" t="n">
        <v>2</v>
      </c>
      <c r="B188" s="8">
        <f>B6</f>
        <v/>
      </c>
      <c r="C188" s="8">
        <f>C6</f>
        <v/>
      </c>
      <c r="D188" s="14" t="n"/>
      <c r="E188" s="14" t="n"/>
      <c r="F188" s="8">
        <f>D188+E188</f>
        <v/>
      </c>
      <c r="G188" s="14" t="n"/>
      <c r="H188" s="14" t="n"/>
      <c r="I188" s="8">
        <f>G188+H188</f>
        <v/>
      </c>
      <c r="J188" s="8">
        <f>D188+G188</f>
        <v/>
      </c>
      <c r="K188" s="8">
        <f>E188+H188</f>
        <v/>
      </c>
      <c r="L188" s="8">
        <f>J188+K188</f>
        <v/>
      </c>
      <c r="M188" s="9">
        <f>IF(C188=0,0,L188/C188*100)</f>
        <v/>
      </c>
    </row>
    <row r="189">
      <c r="A189" s="7" t="n">
        <v>3</v>
      </c>
      <c r="B189" s="8">
        <f>B7</f>
        <v/>
      </c>
      <c r="C189" s="8">
        <f>C7</f>
        <v/>
      </c>
      <c r="D189" s="14" t="n"/>
      <c r="E189" s="14" t="n"/>
      <c r="F189" s="8">
        <f>D189+E189</f>
        <v/>
      </c>
      <c r="G189" s="14" t="n"/>
      <c r="H189" s="14" t="n"/>
      <c r="I189" s="8">
        <f>G189+H189</f>
        <v/>
      </c>
      <c r="J189" s="8">
        <f>D189+G189</f>
        <v/>
      </c>
      <c r="K189" s="8">
        <f>E189+H189</f>
        <v/>
      </c>
      <c r="L189" s="8">
        <f>J189+K189</f>
        <v/>
      </c>
      <c r="M189" s="9">
        <f>IF(C189=0,0,L189/C189*100)</f>
        <v/>
      </c>
    </row>
    <row r="190">
      <c r="A190" s="7" t="n">
        <v>4</v>
      </c>
      <c r="B190" s="8">
        <f>B8</f>
        <v/>
      </c>
      <c r="C190" s="8">
        <f>C8</f>
        <v/>
      </c>
      <c r="D190" s="14" t="n"/>
      <c r="E190" s="14" t="n"/>
      <c r="F190" s="8">
        <f>D190+E190</f>
        <v/>
      </c>
      <c r="G190" s="14" t="n"/>
      <c r="H190" s="14" t="n"/>
      <c r="I190" s="8">
        <f>G190+H190</f>
        <v/>
      </c>
      <c r="J190" s="8">
        <f>D190+G190</f>
        <v/>
      </c>
      <c r="K190" s="8">
        <f>E190+H190</f>
        <v/>
      </c>
      <c r="L190" s="8">
        <f>J190+K190</f>
        <v/>
      </c>
      <c r="M190" s="9">
        <f>IF(C190=0,0,L190/C190*100)</f>
        <v/>
      </c>
    </row>
    <row r="191">
      <c r="A191" s="7" t="n">
        <v>5</v>
      </c>
      <c r="B191" s="8">
        <f>B9</f>
        <v/>
      </c>
      <c r="C191" s="8">
        <f>C9</f>
        <v/>
      </c>
      <c r="D191" s="14" t="n"/>
      <c r="E191" s="14" t="n"/>
      <c r="F191" s="8">
        <f>D191+E191</f>
        <v/>
      </c>
      <c r="G191" s="14" t="n"/>
      <c r="H191" s="14" t="n"/>
      <c r="I191" s="8">
        <f>G191+H191</f>
        <v/>
      </c>
      <c r="J191" s="8">
        <f>D191+G191</f>
        <v/>
      </c>
      <c r="K191" s="8">
        <f>E191+H191</f>
        <v/>
      </c>
      <c r="L191" s="8">
        <f>J191+K191</f>
        <v/>
      </c>
      <c r="M191" s="9">
        <f>IF(C191=0,0,L191/C191*100)</f>
        <v/>
      </c>
    </row>
    <row r="192">
      <c r="A192" s="7" t="n">
        <v>6</v>
      </c>
      <c r="B192" s="8">
        <f>B10</f>
        <v/>
      </c>
      <c r="C192" s="8">
        <f>C10</f>
        <v/>
      </c>
      <c r="D192" s="14" t="n"/>
      <c r="E192" s="14" t="n"/>
      <c r="F192" s="8">
        <f>D192+E192</f>
        <v/>
      </c>
      <c r="G192" s="14" t="n"/>
      <c r="H192" s="14" t="n"/>
      <c r="I192" s="8">
        <f>G192+H192</f>
        <v/>
      </c>
      <c r="J192" s="8">
        <f>D192+G192</f>
        <v/>
      </c>
      <c r="K192" s="8">
        <f>E192+H192</f>
        <v/>
      </c>
      <c r="L192" s="8">
        <f>J192+K192</f>
        <v/>
      </c>
      <c r="M192" s="9">
        <f>IF(C192=0,0,L192/C192*100)</f>
        <v/>
      </c>
    </row>
    <row r="193">
      <c r="A193" s="7" t="n">
        <v>7</v>
      </c>
      <c r="B193" s="8">
        <f>B11</f>
        <v/>
      </c>
      <c r="C193" s="8">
        <f>C11</f>
        <v/>
      </c>
      <c r="D193" s="14" t="n"/>
      <c r="E193" s="14" t="n"/>
      <c r="F193" s="8">
        <f>D193+E193</f>
        <v/>
      </c>
      <c r="G193" s="14" t="n"/>
      <c r="H193" s="14" t="n"/>
      <c r="I193" s="8">
        <f>G193+H193</f>
        <v/>
      </c>
      <c r="J193" s="8">
        <f>D193+G193</f>
        <v/>
      </c>
      <c r="K193" s="8">
        <f>E193+H193</f>
        <v/>
      </c>
      <c r="L193" s="8">
        <f>J193+K193</f>
        <v/>
      </c>
      <c r="M193" s="9">
        <f>IF(C193=0,0,L193/C193*100)</f>
        <v/>
      </c>
    </row>
    <row r="194">
      <c r="A194" s="10" t="inlineStr">
        <is>
          <t>Total</t>
        </is>
      </c>
      <c r="B194" s="11">
        <f>SUM(B187:B193)</f>
        <v/>
      </c>
      <c r="C194" s="11">
        <f>SUM(C187:C193)</f>
        <v/>
      </c>
      <c r="D194" s="11">
        <f>SUM(D187:D193)</f>
        <v/>
      </c>
      <c r="E194" s="11">
        <f>SUM(E187:E193)</f>
        <v/>
      </c>
      <c r="F194" s="11">
        <f>D194+E194</f>
        <v/>
      </c>
      <c r="G194" s="11">
        <f>SUM(G187:G193)</f>
        <v/>
      </c>
      <c r="H194" s="11">
        <f>SUM(H187:H193)</f>
        <v/>
      </c>
      <c r="I194" s="11">
        <f>G194+H194</f>
        <v/>
      </c>
      <c r="J194" s="11">
        <f>D194+G194</f>
        <v/>
      </c>
      <c r="K194" s="11">
        <f>E194+H194</f>
        <v/>
      </c>
      <c r="L194" s="11">
        <f>J194+K194</f>
        <v/>
      </c>
      <c r="M194" s="12">
        <f>IF(C194=0,0,L194/C194*100)</f>
        <v/>
      </c>
    </row>
    <row r="196">
      <c r="A196" s="13" t="inlineStr">
        <is>
          <t>Day 15 - 2026-10-19 (Mon 02 Kartik 2083)</t>
        </is>
      </c>
    </row>
    <row r="197">
      <c r="A197" s="6" t="inlineStr">
        <is>
          <t>Ward no.</t>
        </is>
      </c>
      <c r="B197" s="6" t="inlineStr">
        <is>
          <t>Total population</t>
        </is>
      </c>
      <c r="C197" s="6" t="inlineStr">
        <is>
          <t>JE target population</t>
        </is>
      </c>
      <c r="D197" s="6" t="inlineStr">
        <is>
          <t>Vaccinated</t>
        </is>
      </c>
      <c r="E197" s="6" t="n"/>
      <c r="F197" s="6" t="n"/>
      <c r="G197" s="6" t="n"/>
      <c r="H197" s="6" t="n"/>
      <c r="I197" s="6" t="n"/>
      <c r="J197" s="6" t="n"/>
      <c r="K197" s="6" t="n"/>
      <c r="L197" s="6" t="n"/>
      <c r="M197" s="6" t="inlineStr">
        <is>
          <t>Progress %</t>
        </is>
      </c>
    </row>
    <row r="198">
      <c r="A198" s="6" t="n"/>
      <c r="B198" s="6" t="n"/>
      <c r="C198" s="6" t="n"/>
      <c r="D198" s="6" t="inlineStr">
        <is>
          <t>Age 30-60 yrs</t>
        </is>
      </c>
      <c r="E198" s="6" t="n"/>
      <c r="F198" s="6" t="n"/>
      <c r="G198" s="6" t="inlineStr">
        <is>
          <t>Age 60 above</t>
        </is>
      </c>
      <c r="H198" s="6" t="n"/>
      <c r="I198" s="6" t="n"/>
      <c r="J198" s="6" t="inlineStr">
        <is>
          <t>Total</t>
        </is>
      </c>
      <c r="K198" s="6" t="n"/>
      <c r="L198" s="6" t="inlineStr">
        <is>
          <t>Grand Total</t>
        </is>
      </c>
      <c r="M198" s="6" t="n"/>
    </row>
    <row r="199">
      <c r="A199" s="6" t="n"/>
      <c r="B199" s="6" t="n"/>
      <c r="C199" s="6" t="n"/>
      <c r="D199" s="6" t="inlineStr">
        <is>
          <t>F</t>
        </is>
      </c>
      <c r="E199" s="6" t="inlineStr">
        <is>
          <t>M</t>
        </is>
      </c>
      <c r="F199" s="6" t="inlineStr">
        <is>
          <t>Total</t>
        </is>
      </c>
      <c r="G199" s="6" t="inlineStr">
        <is>
          <t>F</t>
        </is>
      </c>
      <c r="H199" s="6" t="inlineStr">
        <is>
          <t>M</t>
        </is>
      </c>
      <c r="I199" s="6" t="inlineStr">
        <is>
          <t>Total</t>
        </is>
      </c>
      <c r="J199" s="6" t="inlineStr">
        <is>
          <t>F</t>
        </is>
      </c>
      <c r="K199" s="6" t="inlineStr">
        <is>
          <t>M</t>
        </is>
      </c>
      <c r="L199" s="6" t="n"/>
      <c r="M199" s="6" t="n"/>
    </row>
    <row r="200">
      <c r="A200" s="7" t="n">
        <v>1</v>
      </c>
      <c r="B200" s="8">
        <f>B5</f>
        <v/>
      </c>
      <c r="C200" s="8">
        <f>C5</f>
        <v/>
      </c>
      <c r="D200" s="14" t="n"/>
      <c r="E200" s="14" t="n"/>
      <c r="F200" s="8">
        <f>D200+E200</f>
        <v/>
      </c>
      <c r="G200" s="14" t="n"/>
      <c r="H200" s="14" t="n"/>
      <c r="I200" s="8">
        <f>G200+H200</f>
        <v/>
      </c>
      <c r="J200" s="8">
        <f>D200+G200</f>
        <v/>
      </c>
      <c r="K200" s="8">
        <f>E200+H200</f>
        <v/>
      </c>
      <c r="L200" s="8">
        <f>J200+K200</f>
        <v/>
      </c>
      <c r="M200" s="9">
        <f>IF(C200=0,0,L200/C200*100)</f>
        <v/>
      </c>
    </row>
    <row r="201">
      <c r="A201" s="7" t="n">
        <v>2</v>
      </c>
      <c r="B201" s="8">
        <f>B6</f>
        <v/>
      </c>
      <c r="C201" s="8">
        <f>C6</f>
        <v/>
      </c>
      <c r="D201" s="14" t="n"/>
      <c r="E201" s="14" t="n"/>
      <c r="F201" s="8">
        <f>D201+E201</f>
        <v/>
      </c>
      <c r="G201" s="14" t="n"/>
      <c r="H201" s="14" t="n"/>
      <c r="I201" s="8">
        <f>G201+H201</f>
        <v/>
      </c>
      <c r="J201" s="8">
        <f>D201+G201</f>
        <v/>
      </c>
      <c r="K201" s="8">
        <f>E201+H201</f>
        <v/>
      </c>
      <c r="L201" s="8">
        <f>J201+K201</f>
        <v/>
      </c>
      <c r="M201" s="9">
        <f>IF(C201=0,0,L201/C201*100)</f>
        <v/>
      </c>
    </row>
    <row r="202">
      <c r="A202" s="7" t="n">
        <v>3</v>
      </c>
      <c r="B202" s="8">
        <f>B7</f>
        <v/>
      </c>
      <c r="C202" s="8">
        <f>C7</f>
        <v/>
      </c>
      <c r="D202" s="14" t="n"/>
      <c r="E202" s="14" t="n"/>
      <c r="F202" s="8">
        <f>D202+E202</f>
        <v/>
      </c>
      <c r="G202" s="14" t="n"/>
      <c r="H202" s="14" t="n"/>
      <c r="I202" s="8">
        <f>G202+H202</f>
        <v/>
      </c>
      <c r="J202" s="8">
        <f>D202+G202</f>
        <v/>
      </c>
      <c r="K202" s="8">
        <f>E202+H202</f>
        <v/>
      </c>
      <c r="L202" s="8">
        <f>J202+K202</f>
        <v/>
      </c>
      <c r="M202" s="9">
        <f>IF(C202=0,0,L202/C202*100)</f>
        <v/>
      </c>
    </row>
    <row r="203">
      <c r="A203" s="7" t="n">
        <v>4</v>
      </c>
      <c r="B203" s="8">
        <f>B8</f>
        <v/>
      </c>
      <c r="C203" s="8">
        <f>C8</f>
        <v/>
      </c>
      <c r="D203" s="14" t="n"/>
      <c r="E203" s="14" t="n"/>
      <c r="F203" s="8">
        <f>D203+E203</f>
        <v/>
      </c>
      <c r="G203" s="14" t="n"/>
      <c r="H203" s="14" t="n"/>
      <c r="I203" s="8">
        <f>G203+H203</f>
        <v/>
      </c>
      <c r="J203" s="8">
        <f>D203+G203</f>
        <v/>
      </c>
      <c r="K203" s="8">
        <f>E203+H203</f>
        <v/>
      </c>
      <c r="L203" s="8">
        <f>J203+K203</f>
        <v/>
      </c>
      <c r="M203" s="9">
        <f>IF(C203=0,0,L203/C203*100)</f>
        <v/>
      </c>
    </row>
    <row r="204">
      <c r="A204" s="7" t="n">
        <v>5</v>
      </c>
      <c r="B204" s="8">
        <f>B9</f>
        <v/>
      </c>
      <c r="C204" s="8">
        <f>C9</f>
        <v/>
      </c>
      <c r="D204" s="14" t="n"/>
      <c r="E204" s="14" t="n"/>
      <c r="F204" s="8">
        <f>D204+E204</f>
        <v/>
      </c>
      <c r="G204" s="14" t="n"/>
      <c r="H204" s="14" t="n"/>
      <c r="I204" s="8">
        <f>G204+H204</f>
        <v/>
      </c>
      <c r="J204" s="8">
        <f>D204+G204</f>
        <v/>
      </c>
      <c r="K204" s="8">
        <f>E204+H204</f>
        <v/>
      </c>
      <c r="L204" s="8">
        <f>J204+K204</f>
        <v/>
      </c>
      <c r="M204" s="9">
        <f>IF(C204=0,0,L204/C204*100)</f>
        <v/>
      </c>
    </row>
    <row r="205">
      <c r="A205" s="7" t="n">
        <v>6</v>
      </c>
      <c r="B205" s="8">
        <f>B10</f>
        <v/>
      </c>
      <c r="C205" s="8">
        <f>C10</f>
        <v/>
      </c>
      <c r="D205" s="14" t="n"/>
      <c r="E205" s="14" t="n"/>
      <c r="F205" s="8">
        <f>D205+E205</f>
        <v/>
      </c>
      <c r="G205" s="14" t="n"/>
      <c r="H205" s="14" t="n"/>
      <c r="I205" s="8">
        <f>G205+H205</f>
        <v/>
      </c>
      <c r="J205" s="8">
        <f>D205+G205</f>
        <v/>
      </c>
      <c r="K205" s="8">
        <f>E205+H205</f>
        <v/>
      </c>
      <c r="L205" s="8">
        <f>J205+K205</f>
        <v/>
      </c>
      <c r="M205" s="9">
        <f>IF(C205=0,0,L205/C205*100)</f>
        <v/>
      </c>
    </row>
    <row r="206">
      <c r="A206" s="7" t="n">
        <v>7</v>
      </c>
      <c r="B206" s="8">
        <f>B11</f>
        <v/>
      </c>
      <c r="C206" s="8">
        <f>C11</f>
        <v/>
      </c>
      <c r="D206" s="14" t="n"/>
      <c r="E206" s="14" t="n"/>
      <c r="F206" s="8">
        <f>D206+E206</f>
        <v/>
      </c>
      <c r="G206" s="14" t="n"/>
      <c r="H206" s="14" t="n"/>
      <c r="I206" s="8">
        <f>G206+H206</f>
        <v/>
      </c>
      <c r="J206" s="8">
        <f>D206+G206</f>
        <v/>
      </c>
      <c r="K206" s="8">
        <f>E206+H206</f>
        <v/>
      </c>
      <c r="L206" s="8">
        <f>J206+K206</f>
        <v/>
      </c>
      <c r="M206" s="9">
        <f>IF(C206=0,0,L206/C206*100)</f>
        <v/>
      </c>
    </row>
    <row r="207">
      <c r="A207" s="10" t="inlineStr">
        <is>
          <t>Total</t>
        </is>
      </c>
      <c r="B207" s="11">
        <f>SUM(B200:B206)</f>
        <v/>
      </c>
      <c r="C207" s="11">
        <f>SUM(C200:C206)</f>
        <v/>
      </c>
      <c r="D207" s="11">
        <f>SUM(D200:D206)</f>
        <v/>
      </c>
      <c r="E207" s="11">
        <f>SUM(E200:E206)</f>
        <v/>
      </c>
      <c r="F207" s="11">
        <f>D207+E207</f>
        <v/>
      </c>
      <c r="G207" s="11">
        <f>SUM(G200:G206)</f>
        <v/>
      </c>
      <c r="H207" s="11">
        <f>SUM(H200:H206)</f>
        <v/>
      </c>
      <c r="I207" s="11">
        <f>G207+H207</f>
        <v/>
      </c>
      <c r="J207" s="11">
        <f>D207+G207</f>
        <v/>
      </c>
      <c r="K207" s="11">
        <f>E207+H207</f>
        <v/>
      </c>
      <c r="L207" s="11">
        <f>J207+K207</f>
        <v/>
      </c>
      <c r="M207" s="12">
        <f>IF(C207=0,0,L207/C207*100)</f>
        <v/>
      </c>
    </row>
  </sheetData>
  <sheetProtection selectLockedCells="0" selectUnlockedCells="0" sheet="1" objects="0" insertRows="1" insertHyperlinks="1" autoFilter="1" scenarios="0" formatColumns="0" deleteColumns="1" insertColumns="1" pivotTables="1" deleteRows="1" formatCells="0" formatRows="0" sort="1"/>
  <mergeCells count="160">
    <mergeCell ref="A144:M144"/>
    <mergeCell ref="L3:L4"/>
    <mergeCell ref="M184:M186"/>
    <mergeCell ref="J146:K146"/>
    <mergeCell ref="L146:L147"/>
    <mergeCell ref="M41:M43"/>
    <mergeCell ref="L133:L134"/>
    <mergeCell ref="M106:M108"/>
    <mergeCell ref="J68:K68"/>
    <mergeCell ref="L185:L186"/>
    <mergeCell ref="A171:A173"/>
    <mergeCell ref="A40:M40"/>
    <mergeCell ref="L55:L56"/>
    <mergeCell ref="A15:A17"/>
    <mergeCell ref="M67:M69"/>
    <mergeCell ref="D133:F133"/>
    <mergeCell ref="G16:I16"/>
    <mergeCell ref="D29:F29"/>
    <mergeCell ref="D94:F94"/>
    <mergeCell ref="L94:L95"/>
    <mergeCell ref="L81:L82"/>
    <mergeCell ref="A41:A43"/>
    <mergeCell ref="C41:C43"/>
    <mergeCell ref="C93:C95"/>
    <mergeCell ref="M132:M134"/>
    <mergeCell ref="M119:M121"/>
    <mergeCell ref="D159:F159"/>
    <mergeCell ref="G42:I42"/>
    <mergeCell ref="G107:I107"/>
    <mergeCell ref="A27:M27"/>
    <mergeCell ref="J185:K185"/>
    <mergeCell ref="L16:L17"/>
    <mergeCell ref="D2:L2"/>
    <mergeCell ref="J120:K120"/>
    <mergeCell ref="G172:I172"/>
    <mergeCell ref="D120:F120"/>
    <mergeCell ref="B171:B173"/>
    <mergeCell ref="D185:F185"/>
    <mergeCell ref="D107:F107"/>
    <mergeCell ref="L198:L199"/>
    <mergeCell ref="A184:A186"/>
    <mergeCell ref="L68:L69"/>
    <mergeCell ref="D197:L197"/>
    <mergeCell ref="A106:A108"/>
    <mergeCell ref="C106:C108"/>
    <mergeCell ref="G133:I133"/>
    <mergeCell ref="B197:B199"/>
    <mergeCell ref="D146:F146"/>
    <mergeCell ref="L42:L43"/>
    <mergeCell ref="G55:I55"/>
    <mergeCell ref="D3:F3"/>
    <mergeCell ref="L29:L30"/>
    <mergeCell ref="D68:F68"/>
    <mergeCell ref="C145:C147"/>
    <mergeCell ref="D55:F55"/>
    <mergeCell ref="C54:C56"/>
    <mergeCell ref="D15:L15"/>
    <mergeCell ref="C15:C17"/>
    <mergeCell ref="G159:I159"/>
    <mergeCell ref="A79:M79"/>
    <mergeCell ref="J94:K94"/>
    <mergeCell ref="G81:I81"/>
    <mergeCell ref="A54:A56"/>
    <mergeCell ref="A197:A199"/>
    <mergeCell ref="C197:C199"/>
    <mergeCell ref="J3:K3"/>
    <mergeCell ref="G120:I120"/>
    <mergeCell ref="A105:M105"/>
    <mergeCell ref="J159:K159"/>
    <mergeCell ref="C132:C134"/>
    <mergeCell ref="C67:C69"/>
    <mergeCell ref="J29:K29"/>
    <mergeCell ref="C119:C121"/>
    <mergeCell ref="A2:A4"/>
    <mergeCell ref="J81:K81"/>
    <mergeCell ref="B158:B160"/>
    <mergeCell ref="C2:C4"/>
    <mergeCell ref="G146:I146"/>
    <mergeCell ref="A131:M131"/>
    <mergeCell ref="B15:B17"/>
    <mergeCell ref="A53:M53"/>
    <mergeCell ref="G3:I3"/>
    <mergeCell ref="B80:B82"/>
    <mergeCell ref="G68:I68"/>
    <mergeCell ref="D16:F16"/>
    <mergeCell ref="A93:A95"/>
    <mergeCell ref="D171:L171"/>
    <mergeCell ref="M197:M199"/>
    <mergeCell ref="C158:C160"/>
    <mergeCell ref="D106:L106"/>
    <mergeCell ref="D28:L28"/>
    <mergeCell ref="A28:A30"/>
    <mergeCell ref="D93:L93"/>
    <mergeCell ref="C28:C30"/>
    <mergeCell ref="A92:M92"/>
    <mergeCell ref="B41:B43"/>
    <mergeCell ref="G29:I29"/>
    <mergeCell ref="G94:I94"/>
    <mergeCell ref="D42:F42"/>
    <mergeCell ref="A1:M1"/>
    <mergeCell ref="D67:L67"/>
    <mergeCell ref="J172:K172"/>
    <mergeCell ref="J16:K16"/>
    <mergeCell ref="D54:L54"/>
    <mergeCell ref="B2:B4"/>
    <mergeCell ref="B93:B95"/>
    <mergeCell ref="D172:F172"/>
    <mergeCell ref="C184:C186"/>
    <mergeCell ref="C171:C173"/>
    <mergeCell ref="D119:L119"/>
    <mergeCell ref="J133:K133"/>
    <mergeCell ref="J42:K42"/>
    <mergeCell ref="M54:M56"/>
    <mergeCell ref="D80:L80"/>
    <mergeCell ref="L107:L108"/>
    <mergeCell ref="B132:B134"/>
    <mergeCell ref="B28:B30"/>
    <mergeCell ref="B119:B121"/>
    <mergeCell ref="A145:A147"/>
    <mergeCell ref="D198:F198"/>
    <mergeCell ref="A14:M14"/>
    <mergeCell ref="M145:M147"/>
    <mergeCell ref="D145:L145"/>
    <mergeCell ref="D41:L41"/>
    <mergeCell ref="A170:M170"/>
    <mergeCell ref="B54:B56"/>
    <mergeCell ref="A67:A69"/>
    <mergeCell ref="M171:M173"/>
    <mergeCell ref="D184:L184"/>
    <mergeCell ref="J107:K107"/>
    <mergeCell ref="B184:B186"/>
    <mergeCell ref="M93:M95"/>
    <mergeCell ref="J55:K55"/>
    <mergeCell ref="A157:M157"/>
    <mergeCell ref="L172:L173"/>
    <mergeCell ref="B106:B108"/>
    <mergeCell ref="A132:A134"/>
    <mergeCell ref="A119:A121"/>
    <mergeCell ref="D132:L132"/>
    <mergeCell ref="G198:I198"/>
    <mergeCell ref="L159:L160"/>
    <mergeCell ref="M2:M4"/>
    <mergeCell ref="A196:M196"/>
    <mergeCell ref="G185:I185"/>
    <mergeCell ref="B145:B147"/>
    <mergeCell ref="L120:L121"/>
    <mergeCell ref="A183:M183"/>
    <mergeCell ref="B67:B69"/>
    <mergeCell ref="D81:F81"/>
    <mergeCell ref="A66:M66"/>
    <mergeCell ref="A118:M118"/>
    <mergeCell ref="A158:A160"/>
    <mergeCell ref="M158:M160"/>
    <mergeCell ref="A80:A82"/>
    <mergeCell ref="J198:K198"/>
    <mergeCell ref="D158:L158"/>
    <mergeCell ref="C80:C82"/>
    <mergeCell ref="M15:M17"/>
    <mergeCell ref="M28:M30"/>
    <mergeCell ref="M80:M82"/>
  </mergeCells>
  <dataValidations count="1">
    <dataValidation sqref="D18 D19 D20 D21 D22 D23 D24 D31 D32 D33 D34 D35 D36 D37 D44 D45 D46 D47 D48 D49 D50 D57 D58 D59 D60 D61 D62 D63 D70 D71 D72 D73 D74 D75 D76 D83 D84 D85 D86 D87 D88 D89 D96 D97 D98 D99 D100 D101 D102 D109 D110 D111 D112 D113 D114 D115 D122 D123 D124 D125 D126 D127 D128 D135 D136 D137 D138 D139 D140 D141 D148 D149 D150 D151 D152 D153 D154 D161 D162 D163 D164 D165 D166 D167 D174 D175 D176 D177 D178 D179 D180 D187 D188 D189 D190 D191 D192 D193 D200 D201 D202 D203 D204 D205 D206 E18 E19 E20 E21 E22 E23 E24 E31 E32 E33 E34 E35 E36 E37 E44 E45 E46 E47 E48 E49 E50 E57 E58 E59 E60 E61 E62 E63 E70 E71 E72 E73 E74 E75 E76 E83 E84 E85 E86 E87 E88 E89 E96 E97 E98 E99 E100 E101 E102 E109 E110 E111 E112 E113 E114 E115 E122 E123 E124 E125 E126 E127 E128 E135 E136 E137 E138 E139 E140 E141 E148 E149 E150 E151 E152 E153 E154 E161 E162 E163 E164 E165 E166 E167 E174 E175 E176 E177 E178 E179 E180 E187 E188 E189 E190 E191 E192 E193 E200 E201 E202 E203 E204 E205 E206 G18 G19 G20 G21 G22 G23 G24 G31 G32 G33 G34 G35 G36 G37 G44 G45 G46 G47 G48 G49 G50 G57 G58 G59 G60 G61 G62 G63 G70 G71 G72 G73 G74 G75 G76 G83 G84 G85 G86 G87 G88 G89 G96 G97 G98 G99 G100 G101 G102 G109 G110 G111 G112 G113 G114 G115 G122 G123 G124 G125 G126 G127 G128 G135 G136 G137 G138 G139 G140 G141 G148 G149 G150 G151 G152 G153 G154 G161 G162 G163 G164 G165 G166 G167 G174 G175 G176 G177 G178 G179 G180 G187 G188 G189 G190 G191 G192 G193 G200 G201 G202 G203 G204 G205 G206 H18 H19 H20 H21 H22 H23 H24 H31 H32 H33 H34 H35 H36 H37 H44 H45 H46 H47 H48 H49 H50 H57 H58 H59 H60 H61 H62 H63 H70 H71 H72 H73 H74 H75 H76 H83 H84 H85 H86 H87 H88 H89 H96 H97 H98 H99 H100 H101 H102 H109 H110 H111 H112 H113 H114 H115 H122 H123 H124 H125 H126 H127 H128 H135 H136 H137 H138 H139 H140 H141 H148 H149 H150 H151 H152 H153 H154 H161 H162 H163 H164 H165 H166 H167 H174 H175 H176 H177 H178 H179 H180 H187 H188 H189 H190 H191 H192 H193 H200 H201 H202 H203 H204 H205 H206" showDropDown="0" showInputMessage="0" showErrorMessage="1" allowBlank="0" errorTitle="Whole number only" error="Enter a whole number of 0 or more." type="whole" operator="greaterThanOrEqual">
      <formula1>0</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07"/>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13"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10" customWidth="1" min="12" max="12"/>
    <col width="9" customWidth="1" min="13" max="13"/>
  </cols>
  <sheetData>
    <row r="1">
      <c r="A1" s="5" t="inlineStr">
        <is>
          <t>Barhadashi Gaunpalika - Campaign Total (5-19 Oct 2026)</t>
        </is>
      </c>
    </row>
    <row r="2">
      <c r="A2" s="6" t="inlineStr">
        <is>
          <t>Ward no.</t>
        </is>
      </c>
      <c r="B2" s="6" t="inlineStr">
        <is>
          <t>Total population</t>
        </is>
      </c>
      <c r="C2" s="6" t="inlineStr">
        <is>
          <t>JE target population</t>
        </is>
      </c>
      <c r="D2" s="6" t="inlineStr">
        <is>
          <t>Vaccinated</t>
        </is>
      </c>
      <c r="E2" s="6" t="n"/>
      <c r="F2" s="6" t="n"/>
      <c r="G2" s="6" t="n"/>
      <c r="H2" s="6" t="n"/>
      <c r="I2" s="6" t="n"/>
      <c r="J2" s="6" t="n"/>
      <c r="K2" s="6" t="n"/>
      <c r="L2" s="6" t="n"/>
      <c r="M2" s="6" t="inlineStr">
        <is>
          <t>Progress %</t>
        </is>
      </c>
    </row>
    <row r="3">
      <c r="A3" s="6" t="n"/>
      <c r="B3" s="6" t="n"/>
      <c r="C3" s="6" t="n"/>
      <c r="D3" s="6" t="inlineStr">
        <is>
          <t>Age 30-60 yrs</t>
        </is>
      </c>
      <c r="E3" s="6" t="n"/>
      <c r="F3" s="6" t="n"/>
      <c r="G3" s="6" t="inlineStr">
        <is>
          <t>Age 60 above</t>
        </is>
      </c>
      <c r="H3" s="6" t="n"/>
      <c r="I3" s="6" t="n"/>
      <c r="J3" s="6" t="inlineStr">
        <is>
          <t>Total</t>
        </is>
      </c>
      <c r="K3" s="6" t="n"/>
      <c r="L3" s="6" t="inlineStr">
        <is>
          <t>Grand Total</t>
        </is>
      </c>
      <c r="M3" s="6" t="n"/>
    </row>
    <row r="4">
      <c r="A4" s="6" t="n"/>
      <c r="B4" s="6" t="n"/>
      <c r="C4" s="6" t="n"/>
      <c r="D4" s="6" t="inlineStr">
        <is>
          <t>F</t>
        </is>
      </c>
      <c r="E4" s="6" t="inlineStr">
        <is>
          <t>M</t>
        </is>
      </c>
      <c r="F4" s="6" t="inlineStr">
        <is>
          <t>Total</t>
        </is>
      </c>
      <c r="G4" s="6" t="inlineStr">
        <is>
          <t>F</t>
        </is>
      </c>
      <c r="H4" s="6" t="inlineStr">
        <is>
          <t>M</t>
        </is>
      </c>
      <c r="I4" s="6" t="inlineStr">
        <is>
          <t>Total</t>
        </is>
      </c>
      <c r="J4" s="6" t="inlineStr">
        <is>
          <t>F</t>
        </is>
      </c>
      <c r="K4" s="6" t="inlineStr">
        <is>
          <t>M</t>
        </is>
      </c>
      <c r="L4" s="6" t="n"/>
      <c r="M4" s="6" t="n"/>
    </row>
    <row r="5">
      <c r="A5" s="7" t="n">
        <v>1</v>
      </c>
      <c r="B5" s="8" t="n">
        <v>4582</v>
      </c>
      <c r="C5" s="8" t="n">
        <v>2199.36</v>
      </c>
      <c r="D5" s="8">
        <f>D18+D31+D44+D57+D70+D83+D96+D109+D122+D135+D148+D161+D174+D187+D200</f>
        <v/>
      </c>
      <c r="E5" s="8">
        <f>E18+E31+E44+E57+E70+E83+E96+E109+E122+E135+E148+E161+E174+E187+E200</f>
        <v/>
      </c>
      <c r="F5" s="8">
        <f>D5+E5</f>
        <v/>
      </c>
      <c r="G5" s="8">
        <f>G18+G31+G44+G57+G70+G83+G96+G109+G122+G135+G148+G161+G174+G187+G200</f>
        <v/>
      </c>
      <c r="H5" s="8">
        <f>H18+H31+H44+H57+H70+H83+H96+H109+H122+H135+H148+H161+H174+H187+H200</f>
        <v/>
      </c>
      <c r="I5" s="8">
        <f>G5+H5</f>
        <v/>
      </c>
      <c r="J5" s="8">
        <f>D5+G5</f>
        <v/>
      </c>
      <c r="K5" s="8">
        <f>E5+H5</f>
        <v/>
      </c>
      <c r="L5" s="8">
        <f>J5+K5</f>
        <v/>
      </c>
      <c r="M5" s="9">
        <f>IF(C5=0,0,L5/C5*100)</f>
        <v/>
      </c>
    </row>
    <row r="6">
      <c r="A6" s="7" t="n">
        <v>2</v>
      </c>
      <c r="B6" s="8" t="n">
        <v>6302</v>
      </c>
      <c r="C6" s="8" t="n">
        <v>3024.96</v>
      </c>
      <c r="D6" s="8">
        <f>D19+D32+D45+D58+D71+D84+D97+D110+D123+D136+D149+D162+D175+D188+D201</f>
        <v/>
      </c>
      <c r="E6" s="8">
        <f>E19+E32+E45+E58+E71+E84+E97+E110+E123+E136+E149+E162+E175+E188+E201</f>
        <v/>
      </c>
      <c r="F6" s="8">
        <f>D6+E6</f>
        <v/>
      </c>
      <c r="G6" s="8">
        <f>G19+G32+G45+G58+G71+G84+G97+G110+G123+G136+G149+G162+G175+G188+G201</f>
        <v/>
      </c>
      <c r="H6" s="8">
        <f>H19+H32+H45+H58+H71+H84+H97+H110+H123+H136+H149+H162+H175+H188+H201</f>
        <v/>
      </c>
      <c r="I6" s="8">
        <f>G6+H6</f>
        <v/>
      </c>
      <c r="J6" s="8">
        <f>D6+G6</f>
        <v/>
      </c>
      <c r="K6" s="8">
        <f>E6+H6</f>
        <v/>
      </c>
      <c r="L6" s="8">
        <f>J6+K6</f>
        <v/>
      </c>
      <c r="M6" s="9">
        <f>IF(C6=0,0,L6/C6*100)</f>
        <v/>
      </c>
    </row>
    <row r="7">
      <c r="A7" s="7" t="n">
        <v>3</v>
      </c>
      <c r="B7" s="8" t="n">
        <v>6775</v>
      </c>
      <c r="C7" s="8" t="n">
        <v>3252</v>
      </c>
      <c r="D7" s="8">
        <f>D20+D33+D46+D59+D72+D85+D98+D111+D124+D137+D150+D163+D176+D189+D202</f>
        <v/>
      </c>
      <c r="E7" s="8">
        <f>E20+E33+E46+E59+E72+E85+E98+E111+E124+E137+E150+E163+E176+E189+E202</f>
        <v/>
      </c>
      <c r="F7" s="8">
        <f>D7+E7</f>
        <v/>
      </c>
      <c r="G7" s="8">
        <f>G20+G33+G46+G59+G72+G85+G98+G111+G124+G137+G150+G163+G176+G189+G202</f>
        <v/>
      </c>
      <c r="H7" s="8">
        <f>H20+H33+H46+H59+H72+H85+H98+H111+H124+H137+H150+H163+H176+H189+H202</f>
        <v/>
      </c>
      <c r="I7" s="8">
        <f>G7+H7</f>
        <v/>
      </c>
      <c r="J7" s="8">
        <f>D7+G7</f>
        <v/>
      </c>
      <c r="K7" s="8">
        <f>E7+H7</f>
        <v/>
      </c>
      <c r="L7" s="8">
        <f>J7+K7</f>
        <v/>
      </c>
      <c r="M7" s="9">
        <f>IF(C7=0,0,L7/C7*100)</f>
        <v/>
      </c>
    </row>
    <row r="8">
      <c r="A8" s="7" t="n">
        <v>4</v>
      </c>
      <c r="B8" s="8" t="n">
        <v>4524</v>
      </c>
      <c r="C8" s="8" t="n">
        <v>2171.52</v>
      </c>
      <c r="D8" s="8">
        <f>D21+D34+D47+D60+D73+D86+D99+D112+D125+D138+D151+D164+D177+D190+D203</f>
        <v/>
      </c>
      <c r="E8" s="8">
        <f>E21+E34+E47+E60+E73+E86+E99+E112+E125+E138+E151+E164+E177+E190+E203</f>
        <v/>
      </c>
      <c r="F8" s="8">
        <f>D8+E8</f>
        <v/>
      </c>
      <c r="G8" s="8">
        <f>G21+G34+G47+G60+G73+G86+G99+G112+G125+G138+G151+G164+G177+G190+G203</f>
        <v/>
      </c>
      <c r="H8" s="8">
        <f>H21+H34+H47+H60+H73+H86+H99+H112+H125+H138+H151+H164+H177+H190+H203</f>
        <v/>
      </c>
      <c r="I8" s="8">
        <f>G8+H8</f>
        <v/>
      </c>
      <c r="J8" s="8">
        <f>D8+G8</f>
        <v/>
      </c>
      <c r="K8" s="8">
        <f>E8+H8</f>
        <v/>
      </c>
      <c r="L8" s="8">
        <f>J8+K8</f>
        <v/>
      </c>
      <c r="M8" s="9">
        <f>IF(C8=0,0,L8/C8*100)</f>
        <v/>
      </c>
    </row>
    <row r="9">
      <c r="A9" s="7" t="n">
        <v>5</v>
      </c>
      <c r="B9" s="8" t="n">
        <v>7332</v>
      </c>
      <c r="C9" s="8" t="n">
        <v>3519.36</v>
      </c>
      <c r="D9" s="8">
        <f>D22+D35+D48+D61+D74+D87+D100+D113+D126+D139+D152+D165+D178+D191+D204</f>
        <v/>
      </c>
      <c r="E9" s="8">
        <f>E22+E35+E48+E61+E74+E87+E100+E113+E126+E139+E152+E165+E178+E191+E204</f>
        <v/>
      </c>
      <c r="F9" s="8">
        <f>D9+E9</f>
        <v/>
      </c>
      <c r="G9" s="8">
        <f>G22+G35+G48+G61+G74+G87+G100+G113+G126+G139+G152+G165+G178+G191+G204</f>
        <v/>
      </c>
      <c r="H9" s="8">
        <f>H22+H35+H48+H61+H74+H87+H100+H113+H126+H139+H152+H165+H178+H191+H204</f>
        <v/>
      </c>
      <c r="I9" s="8">
        <f>G9+H9</f>
        <v/>
      </c>
      <c r="J9" s="8">
        <f>D9+G9</f>
        <v/>
      </c>
      <c r="K9" s="8">
        <f>E9+H9</f>
        <v/>
      </c>
      <c r="L9" s="8">
        <f>J9+K9</f>
        <v/>
      </c>
      <c r="M9" s="9">
        <f>IF(C9=0,0,L9/C9*100)</f>
        <v/>
      </c>
    </row>
    <row r="10">
      <c r="A10" s="7" t="n">
        <v>6</v>
      </c>
      <c r="B10" s="8" t="n">
        <v>5370</v>
      </c>
      <c r="C10" s="8" t="n">
        <v>2577.6</v>
      </c>
      <c r="D10" s="8">
        <f>D23+D36+D49+D62+D75+D88+D101+D114+D127+D140+D153+D166+D179+D192+D205</f>
        <v/>
      </c>
      <c r="E10" s="8">
        <f>E23+E36+E49+E62+E75+E88+E101+E114+E127+E140+E153+E166+E179+E192+E205</f>
        <v/>
      </c>
      <c r="F10" s="8">
        <f>D10+E10</f>
        <v/>
      </c>
      <c r="G10" s="8">
        <f>G23+G36+G49+G62+G75+G88+G101+G114+G127+G140+G153+G166+G179+G192+G205</f>
        <v/>
      </c>
      <c r="H10" s="8">
        <f>H23+H36+H49+H62+H75+H88+H101+H114+H127+H140+H153+H166+H179+H192+H205</f>
        <v/>
      </c>
      <c r="I10" s="8">
        <f>G10+H10</f>
        <v/>
      </c>
      <c r="J10" s="8">
        <f>D10+G10</f>
        <v/>
      </c>
      <c r="K10" s="8">
        <f>E10+H10</f>
        <v/>
      </c>
      <c r="L10" s="8">
        <f>J10+K10</f>
        <v/>
      </c>
      <c r="M10" s="9">
        <f>IF(C10=0,0,L10/C10*100)</f>
        <v/>
      </c>
    </row>
    <row r="11">
      <c r="A11" s="7" t="n">
        <v>7</v>
      </c>
      <c r="B11" s="8" t="n">
        <v>3287</v>
      </c>
      <c r="C11" s="8" t="n">
        <v>1577.76</v>
      </c>
      <c r="D11" s="8">
        <f>D24+D37+D50+D63+D76+D89+D102+D115+D128+D141+D154+D167+D180+D193+D206</f>
        <v/>
      </c>
      <c r="E11" s="8">
        <f>E24+E37+E50+E63+E76+E89+E102+E115+E128+E141+E154+E167+E180+E193+E206</f>
        <v/>
      </c>
      <c r="F11" s="8">
        <f>D11+E11</f>
        <v/>
      </c>
      <c r="G11" s="8">
        <f>G24+G37+G50+G63+G76+G89+G102+G115+G128+G141+G154+G167+G180+G193+G206</f>
        <v/>
      </c>
      <c r="H11" s="8">
        <f>H24+H37+H50+H63+H76+H89+H102+H115+H128+H141+H154+H167+H180+H193+H206</f>
        <v/>
      </c>
      <c r="I11" s="8">
        <f>G11+H11</f>
        <v/>
      </c>
      <c r="J11" s="8">
        <f>D11+G11</f>
        <v/>
      </c>
      <c r="K11" s="8">
        <f>E11+H11</f>
        <v/>
      </c>
      <c r="L11" s="8">
        <f>J11+K11</f>
        <v/>
      </c>
      <c r="M11" s="9">
        <f>IF(C11=0,0,L11/C11*100)</f>
        <v/>
      </c>
    </row>
    <row r="12">
      <c r="A12" s="10" t="inlineStr">
        <is>
          <t>Total</t>
        </is>
      </c>
      <c r="B12" s="11">
        <f>SUM(B5:B11)</f>
        <v/>
      </c>
      <c r="C12" s="11">
        <f>SUM(C5:C11)</f>
        <v/>
      </c>
      <c r="D12" s="11">
        <f>SUM(D5:D11)</f>
        <v/>
      </c>
      <c r="E12" s="11">
        <f>SUM(E5:E11)</f>
        <v/>
      </c>
      <c r="F12" s="11">
        <f>D12+E12</f>
        <v/>
      </c>
      <c r="G12" s="11">
        <f>SUM(G5:G11)</f>
        <v/>
      </c>
      <c r="H12" s="11">
        <f>SUM(H5:H11)</f>
        <v/>
      </c>
      <c r="I12" s="11">
        <f>G12+H12</f>
        <v/>
      </c>
      <c r="J12" s="11">
        <f>D12+G12</f>
        <v/>
      </c>
      <c r="K12" s="11">
        <f>E12+H12</f>
        <v/>
      </c>
      <c r="L12" s="11">
        <f>J12+K12</f>
        <v/>
      </c>
      <c r="M12" s="12">
        <f>IF(C12=0,0,L12/C12*100)</f>
        <v/>
      </c>
    </row>
    <row r="14">
      <c r="A14" s="13" t="inlineStr">
        <is>
          <t>Day 1 - 2026-10-05 (Mon 19 Aswin 2083)</t>
        </is>
      </c>
    </row>
    <row r="15">
      <c r="A15" s="6" t="inlineStr">
        <is>
          <t>Ward no.</t>
        </is>
      </c>
      <c r="B15" s="6" t="inlineStr">
        <is>
          <t>Total population</t>
        </is>
      </c>
      <c r="C15" s="6" t="inlineStr">
        <is>
          <t>JE target population</t>
        </is>
      </c>
      <c r="D15" s="6" t="inlineStr">
        <is>
          <t>Vaccinated</t>
        </is>
      </c>
      <c r="E15" s="6" t="n"/>
      <c r="F15" s="6" t="n"/>
      <c r="G15" s="6" t="n"/>
      <c r="H15" s="6" t="n"/>
      <c r="I15" s="6" t="n"/>
      <c r="J15" s="6" t="n"/>
      <c r="K15" s="6" t="n"/>
      <c r="L15" s="6" t="n"/>
      <c r="M15" s="6" t="inlineStr">
        <is>
          <t>Progress %</t>
        </is>
      </c>
    </row>
    <row r="16">
      <c r="A16" s="6" t="n"/>
      <c r="B16" s="6" t="n"/>
      <c r="C16" s="6" t="n"/>
      <c r="D16" s="6" t="inlineStr">
        <is>
          <t>Age 30-60 yrs</t>
        </is>
      </c>
      <c r="E16" s="6" t="n"/>
      <c r="F16" s="6" t="n"/>
      <c r="G16" s="6" t="inlineStr">
        <is>
          <t>Age 60 above</t>
        </is>
      </c>
      <c r="H16" s="6" t="n"/>
      <c r="I16" s="6" t="n"/>
      <c r="J16" s="6" t="inlineStr">
        <is>
          <t>Total</t>
        </is>
      </c>
      <c r="K16" s="6" t="n"/>
      <c r="L16" s="6" t="inlineStr">
        <is>
          <t>Grand Total</t>
        </is>
      </c>
      <c r="M16" s="6" t="n"/>
    </row>
    <row r="17">
      <c r="A17" s="6" t="n"/>
      <c r="B17" s="6" t="n"/>
      <c r="C17" s="6" t="n"/>
      <c r="D17" s="6" t="inlineStr">
        <is>
          <t>F</t>
        </is>
      </c>
      <c r="E17" s="6" t="inlineStr">
        <is>
          <t>M</t>
        </is>
      </c>
      <c r="F17" s="6" t="inlineStr">
        <is>
          <t>Total</t>
        </is>
      </c>
      <c r="G17" s="6" t="inlineStr">
        <is>
          <t>F</t>
        </is>
      </c>
      <c r="H17" s="6" t="inlineStr">
        <is>
          <t>M</t>
        </is>
      </c>
      <c r="I17" s="6" t="inlineStr">
        <is>
          <t>Total</t>
        </is>
      </c>
      <c r="J17" s="6" t="inlineStr">
        <is>
          <t>F</t>
        </is>
      </c>
      <c r="K17" s="6" t="inlineStr">
        <is>
          <t>M</t>
        </is>
      </c>
      <c r="L17" s="6" t="n"/>
      <c r="M17" s="6" t="n"/>
    </row>
    <row r="18">
      <c r="A18" s="7" t="n">
        <v>1</v>
      </c>
      <c r="B18" s="8">
        <f>B5</f>
        <v/>
      </c>
      <c r="C18" s="8">
        <f>C5</f>
        <v/>
      </c>
      <c r="D18" s="14" t="n"/>
      <c r="E18" s="14" t="n"/>
      <c r="F18" s="8">
        <f>D18+E18</f>
        <v/>
      </c>
      <c r="G18" s="14" t="n"/>
      <c r="H18" s="14" t="n"/>
      <c r="I18" s="8">
        <f>G18+H18</f>
        <v/>
      </c>
      <c r="J18" s="8">
        <f>D18+G18</f>
        <v/>
      </c>
      <c r="K18" s="8">
        <f>E18+H18</f>
        <v/>
      </c>
      <c r="L18" s="8">
        <f>J18+K18</f>
        <v/>
      </c>
      <c r="M18" s="9">
        <f>IF(C18=0,0,L18/C18*100)</f>
        <v/>
      </c>
    </row>
    <row r="19">
      <c r="A19" s="7" t="n">
        <v>2</v>
      </c>
      <c r="B19" s="8">
        <f>B6</f>
        <v/>
      </c>
      <c r="C19" s="8">
        <f>C6</f>
        <v/>
      </c>
      <c r="D19" s="14" t="n"/>
      <c r="E19" s="14" t="n"/>
      <c r="F19" s="8">
        <f>D19+E19</f>
        <v/>
      </c>
      <c r="G19" s="14" t="n"/>
      <c r="H19" s="14" t="n"/>
      <c r="I19" s="8">
        <f>G19+H19</f>
        <v/>
      </c>
      <c r="J19" s="8">
        <f>D19+G19</f>
        <v/>
      </c>
      <c r="K19" s="8">
        <f>E19+H19</f>
        <v/>
      </c>
      <c r="L19" s="8">
        <f>J19+K19</f>
        <v/>
      </c>
      <c r="M19" s="9">
        <f>IF(C19=0,0,L19/C19*100)</f>
        <v/>
      </c>
    </row>
    <row r="20">
      <c r="A20" s="7" t="n">
        <v>3</v>
      </c>
      <c r="B20" s="8">
        <f>B7</f>
        <v/>
      </c>
      <c r="C20" s="8">
        <f>C7</f>
        <v/>
      </c>
      <c r="D20" s="14" t="n"/>
      <c r="E20" s="14" t="n"/>
      <c r="F20" s="8">
        <f>D20+E20</f>
        <v/>
      </c>
      <c r="G20" s="14" t="n"/>
      <c r="H20" s="14" t="n"/>
      <c r="I20" s="8">
        <f>G20+H20</f>
        <v/>
      </c>
      <c r="J20" s="8">
        <f>D20+G20</f>
        <v/>
      </c>
      <c r="K20" s="8">
        <f>E20+H20</f>
        <v/>
      </c>
      <c r="L20" s="8">
        <f>J20+K20</f>
        <v/>
      </c>
      <c r="M20" s="9">
        <f>IF(C20=0,0,L20/C20*100)</f>
        <v/>
      </c>
    </row>
    <row r="21">
      <c r="A21" s="7" t="n">
        <v>4</v>
      </c>
      <c r="B21" s="8">
        <f>B8</f>
        <v/>
      </c>
      <c r="C21" s="8">
        <f>C8</f>
        <v/>
      </c>
      <c r="D21" s="14" t="n"/>
      <c r="E21" s="14" t="n"/>
      <c r="F21" s="8">
        <f>D21+E21</f>
        <v/>
      </c>
      <c r="G21" s="14" t="n"/>
      <c r="H21" s="14" t="n"/>
      <c r="I21" s="8">
        <f>G21+H21</f>
        <v/>
      </c>
      <c r="J21" s="8">
        <f>D21+G21</f>
        <v/>
      </c>
      <c r="K21" s="8">
        <f>E21+H21</f>
        <v/>
      </c>
      <c r="L21" s="8">
        <f>J21+K21</f>
        <v/>
      </c>
      <c r="M21" s="9">
        <f>IF(C21=0,0,L21/C21*100)</f>
        <v/>
      </c>
    </row>
    <row r="22">
      <c r="A22" s="7" t="n">
        <v>5</v>
      </c>
      <c r="B22" s="8">
        <f>B9</f>
        <v/>
      </c>
      <c r="C22" s="8">
        <f>C9</f>
        <v/>
      </c>
      <c r="D22" s="14" t="n"/>
      <c r="E22" s="14" t="n"/>
      <c r="F22" s="8">
        <f>D22+E22</f>
        <v/>
      </c>
      <c r="G22" s="14" t="n"/>
      <c r="H22" s="14" t="n"/>
      <c r="I22" s="8">
        <f>G22+H22</f>
        <v/>
      </c>
      <c r="J22" s="8">
        <f>D22+G22</f>
        <v/>
      </c>
      <c r="K22" s="8">
        <f>E22+H22</f>
        <v/>
      </c>
      <c r="L22" s="8">
        <f>J22+K22</f>
        <v/>
      </c>
      <c r="M22" s="9">
        <f>IF(C22=0,0,L22/C22*100)</f>
        <v/>
      </c>
    </row>
    <row r="23">
      <c r="A23" s="7" t="n">
        <v>6</v>
      </c>
      <c r="B23" s="8">
        <f>B10</f>
        <v/>
      </c>
      <c r="C23" s="8">
        <f>C10</f>
        <v/>
      </c>
      <c r="D23" s="14" t="n"/>
      <c r="E23" s="14" t="n"/>
      <c r="F23" s="8">
        <f>D23+E23</f>
        <v/>
      </c>
      <c r="G23" s="14" t="n"/>
      <c r="H23" s="14" t="n"/>
      <c r="I23" s="8">
        <f>G23+H23</f>
        <v/>
      </c>
      <c r="J23" s="8">
        <f>D23+G23</f>
        <v/>
      </c>
      <c r="K23" s="8">
        <f>E23+H23</f>
        <v/>
      </c>
      <c r="L23" s="8">
        <f>J23+K23</f>
        <v/>
      </c>
      <c r="M23" s="9">
        <f>IF(C23=0,0,L23/C23*100)</f>
        <v/>
      </c>
    </row>
    <row r="24">
      <c r="A24" s="7" t="n">
        <v>7</v>
      </c>
      <c r="B24" s="8">
        <f>B11</f>
        <v/>
      </c>
      <c r="C24" s="8">
        <f>C11</f>
        <v/>
      </c>
      <c r="D24" s="14" t="n"/>
      <c r="E24" s="14" t="n"/>
      <c r="F24" s="8">
        <f>D24+E24</f>
        <v/>
      </c>
      <c r="G24" s="14" t="n"/>
      <c r="H24" s="14" t="n"/>
      <c r="I24" s="8">
        <f>G24+H24</f>
        <v/>
      </c>
      <c r="J24" s="8">
        <f>D24+G24</f>
        <v/>
      </c>
      <c r="K24" s="8">
        <f>E24+H24</f>
        <v/>
      </c>
      <c r="L24" s="8">
        <f>J24+K24</f>
        <v/>
      </c>
      <c r="M24" s="9">
        <f>IF(C24=0,0,L24/C24*100)</f>
        <v/>
      </c>
    </row>
    <row r="25">
      <c r="A25" s="10" t="inlineStr">
        <is>
          <t>Total</t>
        </is>
      </c>
      <c r="B25" s="11">
        <f>SUM(B18:B24)</f>
        <v/>
      </c>
      <c r="C25" s="11">
        <f>SUM(C18:C24)</f>
        <v/>
      </c>
      <c r="D25" s="11">
        <f>SUM(D18:D24)</f>
        <v/>
      </c>
      <c r="E25" s="11">
        <f>SUM(E18:E24)</f>
        <v/>
      </c>
      <c r="F25" s="11">
        <f>D25+E25</f>
        <v/>
      </c>
      <c r="G25" s="11">
        <f>SUM(G18:G24)</f>
        <v/>
      </c>
      <c r="H25" s="11">
        <f>SUM(H18:H24)</f>
        <v/>
      </c>
      <c r="I25" s="11">
        <f>G25+H25</f>
        <v/>
      </c>
      <c r="J25" s="11">
        <f>D25+G25</f>
        <v/>
      </c>
      <c r="K25" s="11">
        <f>E25+H25</f>
        <v/>
      </c>
      <c r="L25" s="11">
        <f>J25+K25</f>
        <v/>
      </c>
      <c r="M25" s="12">
        <f>IF(C25=0,0,L25/C25*100)</f>
        <v/>
      </c>
    </row>
    <row r="27">
      <c r="A27" s="13" t="inlineStr">
        <is>
          <t>Day 2 - 2026-10-06 (Tue 20 Aswin 2083)</t>
        </is>
      </c>
    </row>
    <row r="28">
      <c r="A28" s="6" t="inlineStr">
        <is>
          <t>Ward no.</t>
        </is>
      </c>
      <c r="B28" s="6" t="inlineStr">
        <is>
          <t>Total population</t>
        </is>
      </c>
      <c r="C28" s="6" t="inlineStr">
        <is>
          <t>JE target population</t>
        </is>
      </c>
      <c r="D28" s="6" t="inlineStr">
        <is>
          <t>Vaccinated</t>
        </is>
      </c>
      <c r="E28" s="6" t="n"/>
      <c r="F28" s="6" t="n"/>
      <c r="G28" s="6" t="n"/>
      <c r="H28" s="6" t="n"/>
      <c r="I28" s="6" t="n"/>
      <c r="J28" s="6" t="n"/>
      <c r="K28" s="6" t="n"/>
      <c r="L28" s="6" t="n"/>
      <c r="M28" s="6" t="inlineStr">
        <is>
          <t>Progress %</t>
        </is>
      </c>
    </row>
    <row r="29">
      <c r="A29" s="6" t="n"/>
      <c r="B29" s="6" t="n"/>
      <c r="C29" s="6" t="n"/>
      <c r="D29" s="6" t="inlineStr">
        <is>
          <t>Age 30-60 yrs</t>
        </is>
      </c>
      <c r="E29" s="6" t="n"/>
      <c r="F29" s="6" t="n"/>
      <c r="G29" s="6" t="inlineStr">
        <is>
          <t>Age 60 above</t>
        </is>
      </c>
      <c r="H29" s="6" t="n"/>
      <c r="I29" s="6" t="n"/>
      <c r="J29" s="6" t="inlineStr">
        <is>
          <t>Total</t>
        </is>
      </c>
      <c r="K29" s="6" t="n"/>
      <c r="L29" s="6" t="inlineStr">
        <is>
          <t>Grand Total</t>
        </is>
      </c>
      <c r="M29" s="6" t="n"/>
    </row>
    <row r="30">
      <c r="A30" s="6" t="n"/>
      <c r="B30" s="6" t="n"/>
      <c r="C30" s="6" t="n"/>
      <c r="D30" s="6" t="inlineStr">
        <is>
          <t>F</t>
        </is>
      </c>
      <c r="E30" s="6" t="inlineStr">
        <is>
          <t>M</t>
        </is>
      </c>
      <c r="F30" s="6" t="inlineStr">
        <is>
          <t>Total</t>
        </is>
      </c>
      <c r="G30" s="6" t="inlineStr">
        <is>
          <t>F</t>
        </is>
      </c>
      <c r="H30" s="6" t="inlineStr">
        <is>
          <t>M</t>
        </is>
      </c>
      <c r="I30" s="6" t="inlineStr">
        <is>
          <t>Total</t>
        </is>
      </c>
      <c r="J30" s="6" t="inlineStr">
        <is>
          <t>F</t>
        </is>
      </c>
      <c r="K30" s="6" t="inlineStr">
        <is>
          <t>M</t>
        </is>
      </c>
      <c r="L30" s="6" t="n"/>
      <c r="M30" s="6" t="n"/>
    </row>
    <row r="31">
      <c r="A31" s="7" t="n">
        <v>1</v>
      </c>
      <c r="B31" s="8">
        <f>B5</f>
        <v/>
      </c>
      <c r="C31" s="8">
        <f>C5</f>
        <v/>
      </c>
      <c r="D31" s="14" t="n"/>
      <c r="E31" s="14" t="n"/>
      <c r="F31" s="8">
        <f>D31+E31</f>
        <v/>
      </c>
      <c r="G31" s="14" t="n"/>
      <c r="H31" s="14" t="n"/>
      <c r="I31" s="8">
        <f>G31+H31</f>
        <v/>
      </c>
      <c r="J31" s="8">
        <f>D31+G31</f>
        <v/>
      </c>
      <c r="K31" s="8">
        <f>E31+H31</f>
        <v/>
      </c>
      <c r="L31" s="8">
        <f>J31+K31</f>
        <v/>
      </c>
      <c r="M31" s="9">
        <f>IF(C31=0,0,L31/C31*100)</f>
        <v/>
      </c>
    </row>
    <row r="32">
      <c r="A32" s="7" t="n">
        <v>2</v>
      </c>
      <c r="B32" s="8">
        <f>B6</f>
        <v/>
      </c>
      <c r="C32" s="8">
        <f>C6</f>
        <v/>
      </c>
      <c r="D32" s="14" t="n"/>
      <c r="E32" s="14" t="n"/>
      <c r="F32" s="8">
        <f>D32+E32</f>
        <v/>
      </c>
      <c r="G32" s="14" t="n"/>
      <c r="H32" s="14" t="n"/>
      <c r="I32" s="8">
        <f>G32+H32</f>
        <v/>
      </c>
      <c r="J32" s="8">
        <f>D32+G32</f>
        <v/>
      </c>
      <c r="K32" s="8">
        <f>E32+H32</f>
        <v/>
      </c>
      <c r="L32" s="8">
        <f>J32+K32</f>
        <v/>
      </c>
      <c r="M32" s="9">
        <f>IF(C32=0,0,L32/C32*100)</f>
        <v/>
      </c>
    </row>
    <row r="33">
      <c r="A33" s="7" t="n">
        <v>3</v>
      </c>
      <c r="B33" s="8">
        <f>B7</f>
        <v/>
      </c>
      <c r="C33" s="8">
        <f>C7</f>
        <v/>
      </c>
      <c r="D33" s="14" t="n"/>
      <c r="E33" s="14" t="n"/>
      <c r="F33" s="8">
        <f>D33+E33</f>
        <v/>
      </c>
      <c r="G33" s="14" t="n"/>
      <c r="H33" s="14" t="n"/>
      <c r="I33" s="8">
        <f>G33+H33</f>
        <v/>
      </c>
      <c r="J33" s="8">
        <f>D33+G33</f>
        <v/>
      </c>
      <c r="K33" s="8">
        <f>E33+H33</f>
        <v/>
      </c>
      <c r="L33" s="8">
        <f>J33+K33</f>
        <v/>
      </c>
      <c r="M33" s="9">
        <f>IF(C33=0,0,L33/C33*100)</f>
        <v/>
      </c>
    </row>
    <row r="34">
      <c r="A34" s="7" t="n">
        <v>4</v>
      </c>
      <c r="B34" s="8">
        <f>B8</f>
        <v/>
      </c>
      <c r="C34" s="8">
        <f>C8</f>
        <v/>
      </c>
      <c r="D34" s="14" t="n"/>
      <c r="E34" s="14" t="n"/>
      <c r="F34" s="8">
        <f>D34+E34</f>
        <v/>
      </c>
      <c r="G34" s="14" t="n"/>
      <c r="H34" s="14" t="n"/>
      <c r="I34" s="8">
        <f>G34+H34</f>
        <v/>
      </c>
      <c r="J34" s="8">
        <f>D34+G34</f>
        <v/>
      </c>
      <c r="K34" s="8">
        <f>E34+H34</f>
        <v/>
      </c>
      <c r="L34" s="8">
        <f>J34+K34</f>
        <v/>
      </c>
      <c r="M34" s="9">
        <f>IF(C34=0,0,L34/C34*100)</f>
        <v/>
      </c>
    </row>
    <row r="35">
      <c r="A35" s="7" t="n">
        <v>5</v>
      </c>
      <c r="B35" s="8">
        <f>B9</f>
        <v/>
      </c>
      <c r="C35" s="8">
        <f>C9</f>
        <v/>
      </c>
      <c r="D35" s="14" t="n"/>
      <c r="E35" s="14" t="n"/>
      <c r="F35" s="8">
        <f>D35+E35</f>
        <v/>
      </c>
      <c r="G35" s="14" t="n"/>
      <c r="H35" s="14" t="n"/>
      <c r="I35" s="8">
        <f>G35+H35</f>
        <v/>
      </c>
      <c r="J35" s="8">
        <f>D35+G35</f>
        <v/>
      </c>
      <c r="K35" s="8">
        <f>E35+H35</f>
        <v/>
      </c>
      <c r="L35" s="8">
        <f>J35+K35</f>
        <v/>
      </c>
      <c r="M35" s="9">
        <f>IF(C35=0,0,L35/C35*100)</f>
        <v/>
      </c>
    </row>
    <row r="36">
      <c r="A36" s="7" t="n">
        <v>6</v>
      </c>
      <c r="B36" s="8">
        <f>B10</f>
        <v/>
      </c>
      <c r="C36" s="8">
        <f>C10</f>
        <v/>
      </c>
      <c r="D36" s="14" t="n"/>
      <c r="E36" s="14" t="n"/>
      <c r="F36" s="8">
        <f>D36+E36</f>
        <v/>
      </c>
      <c r="G36" s="14" t="n"/>
      <c r="H36" s="14" t="n"/>
      <c r="I36" s="8">
        <f>G36+H36</f>
        <v/>
      </c>
      <c r="J36" s="8">
        <f>D36+G36</f>
        <v/>
      </c>
      <c r="K36" s="8">
        <f>E36+H36</f>
        <v/>
      </c>
      <c r="L36" s="8">
        <f>J36+K36</f>
        <v/>
      </c>
      <c r="M36" s="9">
        <f>IF(C36=0,0,L36/C36*100)</f>
        <v/>
      </c>
    </row>
    <row r="37">
      <c r="A37" s="7" t="n">
        <v>7</v>
      </c>
      <c r="B37" s="8">
        <f>B11</f>
        <v/>
      </c>
      <c r="C37" s="8">
        <f>C11</f>
        <v/>
      </c>
      <c r="D37" s="14" t="n"/>
      <c r="E37" s="14" t="n"/>
      <c r="F37" s="8">
        <f>D37+E37</f>
        <v/>
      </c>
      <c r="G37" s="14" t="n"/>
      <c r="H37" s="14" t="n"/>
      <c r="I37" s="8">
        <f>G37+H37</f>
        <v/>
      </c>
      <c r="J37" s="8">
        <f>D37+G37</f>
        <v/>
      </c>
      <c r="K37" s="8">
        <f>E37+H37</f>
        <v/>
      </c>
      <c r="L37" s="8">
        <f>J37+K37</f>
        <v/>
      </c>
      <c r="M37" s="9">
        <f>IF(C37=0,0,L37/C37*100)</f>
        <v/>
      </c>
    </row>
    <row r="38">
      <c r="A38" s="10" t="inlineStr">
        <is>
          <t>Total</t>
        </is>
      </c>
      <c r="B38" s="11">
        <f>SUM(B31:B37)</f>
        <v/>
      </c>
      <c r="C38" s="11">
        <f>SUM(C31:C37)</f>
        <v/>
      </c>
      <c r="D38" s="11">
        <f>SUM(D31:D37)</f>
        <v/>
      </c>
      <c r="E38" s="11">
        <f>SUM(E31:E37)</f>
        <v/>
      </c>
      <c r="F38" s="11">
        <f>D38+E38</f>
        <v/>
      </c>
      <c r="G38" s="11">
        <f>SUM(G31:G37)</f>
        <v/>
      </c>
      <c r="H38" s="11">
        <f>SUM(H31:H37)</f>
        <v/>
      </c>
      <c r="I38" s="11">
        <f>G38+H38</f>
        <v/>
      </c>
      <c r="J38" s="11">
        <f>D38+G38</f>
        <v/>
      </c>
      <c r="K38" s="11">
        <f>E38+H38</f>
        <v/>
      </c>
      <c r="L38" s="11">
        <f>J38+K38</f>
        <v/>
      </c>
      <c r="M38" s="12">
        <f>IF(C38=0,0,L38/C38*100)</f>
        <v/>
      </c>
    </row>
    <row r="40">
      <c r="A40" s="13" t="inlineStr">
        <is>
          <t>Day 3 - 2026-10-07 (Wed 21 Aswin 2083)</t>
        </is>
      </c>
    </row>
    <row r="41">
      <c r="A41" s="6" t="inlineStr">
        <is>
          <t>Ward no.</t>
        </is>
      </c>
      <c r="B41" s="6" t="inlineStr">
        <is>
          <t>Total population</t>
        </is>
      </c>
      <c r="C41" s="6" t="inlineStr">
        <is>
          <t>JE target population</t>
        </is>
      </c>
      <c r="D41" s="6" t="inlineStr">
        <is>
          <t>Vaccinated</t>
        </is>
      </c>
      <c r="E41" s="6" t="n"/>
      <c r="F41" s="6" t="n"/>
      <c r="G41" s="6" t="n"/>
      <c r="H41" s="6" t="n"/>
      <c r="I41" s="6" t="n"/>
      <c r="J41" s="6" t="n"/>
      <c r="K41" s="6" t="n"/>
      <c r="L41" s="6" t="n"/>
      <c r="M41" s="6" t="inlineStr">
        <is>
          <t>Progress %</t>
        </is>
      </c>
    </row>
    <row r="42">
      <c r="A42" s="6" t="n"/>
      <c r="B42" s="6" t="n"/>
      <c r="C42" s="6" t="n"/>
      <c r="D42" s="6" t="inlineStr">
        <is>
          <t>Age 30-60 yrs</t>
        </is>
      </c>
      <c r="E42" s="6" t="n"/>
      <c r="F42" s="6" t="n"/>
      <c r="G42" s="6" t="inlineStr">
        <is>
          <t>Age 60 above</t>
        </is>
      </c>
      <c r="H42" s="6" t="n"/>
      <c r="I42" s="6" t="n"/>
      <c r="J42" s="6" t="inlineStr">
        <is>
          <t>Total</t>
        </is>
      </c>
      <c r="K42" s="6" t="n"/>
      <c r="L42" s="6" t="inlineStr">
        <is>
          <t>Grand Total</t>
        </is>
      </c>
      <c r="M42" s="6" t="n"/>
    </row>
    <row r="43">
      <c r="A43" s="6" t="n"/>
      <c r="B43" s="6" t="n"/>
      <c r="C43" s="6" t="n"/>
      <c r="D43" s="6" t="inlineStr">
        <is>
          <t>F</t>
        </is>
      </c>
      <c r="E43" s="6" t="inlineStr">
        <is>
          <t>M</t>
        </is>
      </c>
      <c r="F43" s="6" t="inlineStr">
        <is>
          <t>Total</t>
        </is>
      </c>
      <c r="G43" s="6" t="inlineStr">
        <is>
          <t>F</t>
        </is>
      </c>
      <c r="H43" s="6" t="inlineStr">
        <is>
          <t>M</t>
        </is>
      </c>
      <c r="I43" s="6" t="inlineStr">
        <is>
          <t>Total</t>
        </is>
      </c>
      <c r="J43" s="6" t="inlineStr">
        <is>
          <t>F</t>
        </is>
      </c>
      <c r="K43" s="6" t="inlineStr">
        <is>
          <t>M</t>
        </is>
      </c>
      <c r="L43" s="6" t="n"/>
      <c r="M43" s="6" t="n"/>
    </row>
    <row r="44">
      <c r="A44" s="7" t="n">
        <v>1</v>
      </c>
      <c r="B44" s="8">
        <f>B5</f>
        <v/>
      </c>
      <c r="C44" s="8">
        <f>C5</f>
        <v/>
      </c>
      <c r="D44" s="14" t="n"/>
      <c r="E44" s="14" t="n"/>
      <c r="F44" s="8">
        <f>D44+E44</f>
        <v/>
      </c>
      <c r="G44" s="14" t="n"/>
      <c r="H44" s="14" t="n"/>
      <c r="I44" s="8">
        <f>G44+H44</f>
        <v/>
      </c>
      <c r="J44" s="8">
        <f>D44+G44</f>
        <v/>
      </c>
      <c r="K44" s="8">
        <f>E44+H44</f>
        <v/>
      </c>
      <c r="L44" s="8">
        <f>J44+K44</f>
        <v/>
      </c>
      <c r="M44" s="9">
        <f>IF(C44=0,0,L44/C44*100)</f>
        <v/>
      </c>
    </row>
    <row r="45">
      <c r="A45" s="7" t="n">
        <v>2</v>
      </c>
      <c r="B45" s="8">
        <f>B6</f>
        <v/>
      </c>
      <c r="C45" s="8">
        <f>C6</f>
        <v/>
      </c>
      <c r="D45" s="14" t="n"/>
      <c r="E45" s="14" t="n"/>
      <c r="F45" s="8">
        <f>D45+E45</f>
        <v/>
      </c>
      <c r="G45" s="14" t="n"/>
      <c r="H45" s="14" t="n"/>
      <c r="I45" s="8">
        <f>G45+H45</f>
        <v/>
      </c>
      <c r="J45" s="8">
        <f>D45+G45</f>
        <v/>
      </c>
      <c r="K45" s="8">
        <f>E45+H45</f>
        <v/>
      </c>
      <c r="L45" s="8">
        <f>J45+K45</f>
        <v/>
      </c>
      <c r="M45" s="9">
        <f>IF(C45=0,0,L45/C45*100)</f>
        <v/>
      </c>
    </row>
    <row r="46">
      <c r="A46" s="7" t="n">
        <v>3</v>
      </c>
      <c r="B46" s="8">
        <f>B7</f>
        <v/>
      </c>
      <c r="C46" s="8">
        <f>C7</f>
        <v/>
      </c>
      <c r="D46" s="14" t="n"/>
      <c r="E46" s="14" t="n"/>
      <c r="F46" s="8">
        <f>D46+E46</f>
        <v/>
      </c>
      <c r="G46" s="14" t="n"/>
      <c r="H46" s="14" t="n"/>
      <c r="I46" s="8">
        <f>G46+H46</f>
        <v/>
      </c>
      <c r="J46" s="8">
        <f>D46+G46</f>
        <v/>
      </c>
      <c r="K46" s="8">
        <f>E46+H46</f>
        <v/>
      </c>
      <c r="L46" s="8">
        <f>J46+K46</f>
        <v/>
      </c>
      <c r="M46" s="9">
        <f>IF(C46=0,0,L46/C46*100)</f>
        <v/>
      </c>
    </row>
    <row r="47">
      <c r="A47" s="7" t="n">
        <v>4</v>
      </c>
      <c r="B47" s="8">
        <f>B8</f>
        <v/>
      </c>
      <c r="C47" s="8">
        <f>C8</f>
        <v/>
      </c>
      <c r="D47" s="14" t="n"/>
      <c r="E47" s="14" t="n"/>
      <c r="F47" s="8">
        <f>D47+E47</f>
        <v/>
      </c>
      <c r="G47" s="14" t="n"/>
      <c r="H47" s="14" t="n"/>
      <c r="I47" s="8">
        <f>G47+H47</f>
        <v/>
      </c>
      <c r="J47" s="8">
        <f>D47+G47</f>
        <v/>
      </c>
      <c r="K47" s="8">
        <f>E47+H47</f>
        <v/>
      </c>
      <c r="L47" s="8">
        <f>J47+K47</f>
        <v/>
      </c>
      <c r="M47" s="9">
        <f>IF(C47=0,0,L47/C47*100)</f>
        <v/>
      </c>
    </row>
    <row r="48">
      <c r="A48" s="7" t="n">
        <v>5</v>
      </c>
      <c r="B48" s="8">
        <f>B9</f>
        <v/>
      </c>
      <c r="C48" s="8">
        <f>C9</f>
        <v/>
      </c>
      <c r="D48" s="14" t="n"/>
      <c r="E48" s="14" t="n"/>
      <c r="F48" s="8">
        <f>D48+E48</f>
        <v/>
      </c>
      <c r="G48" s="14" t="n"/>
      <c r="H48" s="14" t="n"/>
      <c r="I48" s="8">
        <f>G48+H48</f>
        <v/>
      </c>
      <c r="J48" s="8">
        <f>D48+G48</f>
        <v/>
      </c>
      <c r="K48" s="8">
        <f>E48+H48</f>
        <v/>
      </c>
      <c r="L48" s="8">
        <f>J48+K48</f>
        <v/>
      </c>
      <c r="M48" s="9">
        <f>IF(C48=0,0,L48/C48*100)</f>
        <v/>
      </c>
    </row>
    <row r="49">
      <c r="A49" s="7" t="n">
        <v>6</v>
      </c>
      <c r="B49" s="8">
        <f>B10</f>
        <v/>
      </c>
      <c r="C49" s="8">
        <f>C10</f>
        <v/>
      </c>
      <c r="D49" s="14" t="n"/>
      <c r="E49" s="14" t="n"/>
      <c r="F49" s="8">
        <f>D49+E49</f>
        <v/>
      </c>
      <c r="G49" s="14" t="n"/>
      <c r="H49" s="14" t="n"/>
      <c r="I49" s="8">
        <f>G49+H49</f>
        <v/>
      </c>
      <c r="J49" s="8">
        <f>D49+G49</f>
        <v/>
      </c>
      <c r="K49" s="8">
        <f>E49+H49</f>
        <v/>
      </c>
      <c r="L49" s="8">
        <f>J49+K49</f>
        <v/>
      </c>
      <c r="M49" s="9">
        <f>IF(C49=0,0,L49/C49*100)</f>
        <v/>
      </c>
    </row>
    <row r="50">
      <c r="A50" s="7" t="n">
        <v>7</v>
      </c>
      <c r="B50" s="8">
        <f>B11</f>
        <v/>
      </c>
      <c r="C50" s="8">
        <f>C11</f>
        <v/>
      </c>
      <c r="D50" s="14" t="n"/>
      <c r="E50" s="14" t="n"/>
      <c r="F50" s="8">
        <f>D50+E50</f>
        <v/>
      </c>
      <c r="G50" s="14" t="n"/>
      <c r="H50" s="14" t="n"/>
      <c r="I50" s="8">
        <f>G50+H50</f>
        <v/>
      </c>
      <c r="J50" s="8">
        <f>D50+G50</f>
        <v/>
      </c>
      <c r="K50" s="8">
        <f>E50+H50</f>
        <v/>
      </c>
      <c r="L50" s="8">
        <f>J50+K50</f>
        <v/>
      </c>
      <c r="M50" s="9">
        <f>IF(C50=0,0,L50/C50*100)</f>
        <v/>
      </c>
    </row>
    <row r="51">
      <c r="A51" s="10" t="inlineStr">
        <is>
          <t>Total</t>
        </is>
      </c>
      <c r="B51" s="11">
        <f>SUM(B44:B50)</f>
        <v/>
      </c>
      <c r="C51" s="11">
        <f>SUM(C44:C50)</f>
        <v/>
      </c>
      <c r="D51" s="11">
        <f>SUM(D44:D50)</f>
        <v/>
      </c>
      <c r="E51" s="11">
        <f>SUM(E44:E50)</f>
        <v/>
      </c>
      <c r="F51" s="11">
        <f>D51+E51</f>
        <v/>
      </c>
      <c r="G51" s="11">
        <f>SUM(G44:G50)</f>
        <v/>
      </c>
      <c r="H51" s="11">
        <f>SUM(H44:H50)</f>
        <v/>
      </c>
      <c r="I51" s="11">
        <f>G51+H51</f>
        <v/>
      </c>
      <c r="J51" s="11">
        <f>D51+G51</f>
        <v/>
      </c>
      <c r="K51" s="11">
        <f>E51+H51</f>
        <v/>
      </c>
      <c r="L51" s="11">
        <f>J51+K51</f>
        <v/>
      </c>
      <c r="M51" s="12">
        <f>IF(C51=0,0,L51/C51*100)</f>
        <v/>
      </c>
    </row>
    <row r="53">
      <c r="A53" s="13" t="inlineStr">
        <is>
          <t>Day 4 - 2026-10-08 (Thu 22 Aswin 2083)</t>
        </is>
      </c>
    </row>
    <row r="54">
      <c r="A54" s="6" t="inlineStr">
        <is>
          <t>Ward no.</t>
        </is>
      </c>
      <c r="B54" s="6" t="inlineStr">
        <is>
          <t>Total population</t>
        </is>
      </c>
      <c r="C54" s="6" t="inlineStr">
        <is>
          <t>JE target population</t>
        </is>
      </c>
      <c r="D54" s="6" t="inlineStr">
        <is>
          <t>Vaccinated</t>
        </is>
      </c>
      <c r="E54" s="6" t="n"/>
      <c r="F54" s="6" t="n"/>
      <c r="G54" s="6" t="n"/>
      <c r="H54" s="6" t="n"/>
      <c r="I54" s="6" t="n"/>
      <c r="J54" s="6" t="n"/>
      <c r="K54" s="6" t="n"/>
      <c r="L54" s="6" t="n"/>
      <c r="M54" s="6" t="inlineStr">
        <is>
          <t>Progress %</t>
        </is>
      </c>
    </row>
    <row r="55">
      <c r="A55" s="6" t="n"/>
      <c r="B55" s="6" t="n"/>
      <c r="C55" s="6" t="n"/>
      <c r="D55" s="6" t="inlineStr">
        <is>
          <t>Age 30-60 yrs</t>
        </is>
      </c>
      <c r="E55" s="6" t="n"/>
      <c r="F55" s="6" t="n"/>
      <c r="G55" s="6" t="inlineStr">
        <is>
          <t>Age 60 above</t>
        </is>
      </c>
      <c r="H55" s="6" t="n"/>
      <c r="I55" s="6" t="n"/>
      <c r="J55" s="6" t="inlineStr">
        <is>
          <t>Total</t>
        </is>
      </c>
      <c r="K55" s="6" t="n"/>
      <c r="L55" s="6" t="inlineStr">
        <is>
          <t>Grand Total</t>
        </is>
      </c>
      <c r="M55" s="6" t="n"/>
    </row>
    <row r="56">
      <c r="A56" s="6" t="n"/>
      <c r="B56" s="6" t="n"/>
      <c r="C56" s="6" t="n"/>
      <c r="D56" s="6" t="inlineStr">
        <is>
          <t>F</t>
        </is>
      </c>
      <c r="E56" s="6" t="inlineStr">
        <is>
          <t>M</t>
        </is>
      </c>
      <c r="F56" s="6" t="inlineStr">
        <is>
          <t>Total</t>
        </is>
      </c>
      <c r="G56" s="6" t="inlineStr">
        <is>
          <t>F</t>
        </is>
      </c>
      <c r="H56" s="6" t="inlineStr">
        <is>
          <t>M</t>
        </is>
      </c>
      <c r="I56" s="6" t="inlineStr">
        <is>
          <t>Total</t>
        </is>
      </c>
      <c r="J56" s="6" t="inlineStr">
        <is>
          <t>F</t>
        </is>
      </c>
      <c r="K56" s="6" t="inlineStr">
        <is>
          <t>M</t>
        </is>
      </c>
      <c r="L56" s="6" t="n"/>
      <c r="M56" s="6" t="n"/>
    </row>
    <row r="57">
      <c r="A57" s="7" t="n">
        <v>1</v>
      </c>
      <c r="B57" s="8">
        <f>B5</f>
        <v/>
      </c>
      <c r="C57" s="8">
        <f>C5</f>
        <v/>
      </c>
      <c r="D57" s="14" t="n"/>
      <c r="E57" s="14" t="n"/>
      <c r="F57" s="8">
        <f>D57+E57</f>
        <v/>
      </c>
      <c r="G57" s="14" t="n"/>
      <c r="H57" s="14" t="n"/>
      <c r="I57" s="8">
        <f>G57+H57</f>
        <v/>
      </c>
      <c r="J57" s="8">
        <f>D57+G57</f>
        <v/>
      </c>
      <c r="K57" s="8">
        <f>E57+H57</f>
        <v/>
      </c>
      <c r="L57" s="8">
        <f>J57+K57</f>
        <v/>
      </c>
      <c r="M57" s="9">
        <f>IF(C57=0,0,L57/C57*100)</f>
        <v/>
      </c>
    </row>
    <row r="58">
      <c r="A58" s="7" t="n">
        <v>2</v>
      </c>
      <c r="B58" s="8">
        <f>B6</f>
        <v/>
      </c>
      <c r="C58" s="8">
        <f>C6</f>
        <v/>
      </c>
      <c r="D58" s="14" t="n"/>
      <c r="E58" s="14" t="n"/>
      <c r="F58" s="8">
        <f>D58+E58</f>
        <v/>
      </c>
      <c r="G58" s="14" t="n"/>
      <c r="H58" s="14" t="n"/>
      <c r="I58" s="8">
        <f>G58+H58</f>
        <v/>
      </c>
      <c r="J58" s="8">
        <f>D58+G58</f>
        <v/>
      </c>
      <c r="K58" s="8">
        <f>E58+H58</f>
        <v/>
      </c>
      <c r="L58" s="8">
        <f>J58+K58</f>
        <v/>
      </c>
      <c r="M58" s="9">
        <f>IF(C58=0,0,L58/C58*100)</f>
        <v/>
      </c>
    </row>
    <row r="59">
      <c r="A59" s="7" t="n">
        <v>3</v>
      </c>
      <c r="B59" s="8">
        <f>B7</f>
        <v/>
      </c>
      <c r="C59" s="8">
        <f>C7</f>
        <v/>
      </c>
      <c r="D59" s="14" t="n"/>
      <c r="E59" s="14" t="n"/>
      <c r="F59" s="8">
        <f>D59+E59</f>
        <v/>
      </c>
      <c r="G59" s="14" t="n"/>
      <c r="H59" s="14" t="n"/>
      <c r="I59" s="8">
        <f>G59+H59</f>
        <v/>
      </c>
      <c r="J59" s="8">
        <f>D59+G59</f>
        <v/>
      </c>
      <c r="K59" s="8">
        <f>E59+H59</f>
        <v/>
      </c>
      <c r="L59" s="8">
        <f>J59+K59</f>
        <v/>
      </c>
      <c r="M59" s="9">
        <f>IF(C59=0,0,L59/C59*100)</f>
        <v/>
      </c>
    </row>
    <row r="60">
      <c r="A60" s="7" t="n">
        <v>4</v>
      </c>
      <c r="B60" s="8">
        <f>B8</f>
        <v/>
      </c>
      <c r="C60" s="8">
        <f>C8</f>
        <v/>
      </c>
      <c r="D60" s="14" t="n"/>
      <c r="E60" s="14" t="n"/>
      <c r="F60" s="8">
        <f>D60+E60</f>
        <v/>
      </c>
      <c r="G60" s="14" t="n"/>
      <c r="H60" s="14" t="n"/>
      <c r="I60" s="8">
        <f>G60+H60</f>
        <v/>
      </c>
      <c r="J60" s="8">
        <f>D60+G60</f>
        <v/>
      </c>
      <c r="K60" s="8">
        <f>E60+H60</f>
        <v/>
      </c>
      <c r="L60" s="8">
        <f>J60+K60</f>
        <v/>
      </c>
      <c r="M60" s="9">
        <f>IF(C60=0,0,L60/C60*100)</f>
        <v/>
      </c>
    </row>
    <row r="61">
      <c r="A61" s="7" t="n">
        <v>5</v>
      </c>
      <c r="B61" s="8">
        <f>B9</f>
        <v/>
      </c>
      <c r="C61" s="8">
        <f>C9</f>
        <v/>
      </c>
      <c r="D61" s="14" t="n"/>
      <c r="E61" s="14" t="n"/>
      <c r="F61" s="8">
        <f>D61+E61</f>
        <v/>
      </c>
      <c r="G61" s="14" t="n"/>
      <c r="H61" s="14" t="n"/>
      <c r="I61" s="8">
        <f>G61+H61</f>
        <v/>
      </c>
      <c r="J61" s="8">
        <f>D61+G61</f>
        <v/>
      </c>
      <c r="K61" s="8">
        <f>E61+H61</f>
        <v/>
      </c>
      <c r="L61" s="8">
        <f>J61+K61</f>
        <v/>
      </c>
      <c r="M61" s="9">
        <f>IF(C61=0,0,L61/C61*100)</f>
        <v/>
      </c>
    </row>
    <row r="62">
      <c r="A62" s="7" t="n">
        <v>6</v>
      </c>
      <c r="B62" s="8">
        <f>B10</f>
        <v/>
      </c>
      <c r="C62" s="8">
        <f>C10</f>
        <v/>
      </c>
      <c r="D62" s="14" t="n"/>
      <c r="E62" s="14" t="n"/>
      <c r="F62" s="8">
        <f>D62+E62</f>
        <v/>
      </c>
      <c r="G62" s="14" t="n"/>
      <c r="H62" s="14" t="n"/>
      <c r="I62" s="8">
        <f>G62+H62</f>
        <v/>
      </c>
      <c r="J62" s="8">
        <f>D62+G62</f>
        <v/>
      </c>
      <c r="K62" s="8">
        <f>E62+H62</f>
        <v/>
      </c>
      <c r="L62" s="8">
        <f>J62+K62</f>
        <v/>
      </c>
      <c r="M62" s="9">
        <f>IF(C62=0,0,L62/C62*100)</f>
        <v/>
      </c>
    </row>
    <row r="63">
      <c r="A63" s="7" t="n">
        <v>7</v>
      </c>
      <c r="B63" s="8">
        <f>B11</f>
        <v/>
      </c>
      <c r="C63" s="8">
        <f>C11</f>
        <v/>
      </c>
      <c r="D63" s="14" t="n"/>
      <c r="E63" s="14" t="n"/>
      <c r="F63" s="8">
        <f>D63+E63</f>
        <v/>
      </c>
      <c r="G63" s="14" t="n"/>
      <c r="H63" s="14" t="n"/>
      <c r="I63" s="8">
        <f>G63+H63</f>
        <v/>
      </c>
      <c r="J63" s="8">
        <f>D63+G63</f>
        <v/>
      </c>
      <c r="K63" s="8">
        <f>E63+H63</f>
        <v/>
      </c>
      <c r="L63" s="8">
        <f>J63+K63</f>
        <v/>
      </c>
      <c r="M63" s="9">
        <f>IF(C63=0,0,L63/C63*100)</f>
        <v/>
      </c>
    </row>
    <row r="64">
      <c r="A64" s="10" t="inlineStr">
        <is>
          <t>Total</t>
        </is>
      </c>
      <c r="B64" s="11">
        <f>SUM(B57:B63)</f>
        <v/>
      </c>
      <c r="C64" s="11">
        <f>SUM(C57:C63)</f>
        <v/>
      </c>
      <c r="D64" s="11">
        <f>SUM(D57:D63)</f>
        <v/>
      </c>
      <c r="E64" s="11">
        <f>SUM(E57:E63)</f>
        <v/>
      </c>
      <c r="F64" s="11">
        <f>D64+E64</f>
        <v/>
      </c>
      <c r="G64" s="11">
        <f>SUM(G57:G63)</f>
        <v/>
      </c>
      <c r="H64" s="11">
        <f>SUM(H57:H63)</f>
        <v/>
      </c>
      <c r="I64" s="11">
        <f>G64+H64</f>
        <v/>
      </c>
      <c r="J64" s="11">
        <f>D64+G64</f>
        <v/>
      </c>
      <c r="K64" s="11">
        <f>E64+H64</f>
        <v/>
      </c>
      <c r="L64" s="11">
        <f>J64+K64</f>
        <v/>
      </c>
      <c r="M64" s="12">
        <f>IF(C64=0,0,L64/C64*100)</f>
        <v/>
      </c>
    </row>
    <row r="66">
      <c r="A66" s="13" t="inlineStr">
        <is>
          <t>Day 5 - 2026-10-09 (Fri 23 Aswin 2083)</t>
        </is>
      </c>
    </row>
    <row r="67">
      <c r="A67" s="6" t="inlineStr">
        <is>
          <t>Ward no.</t>
        </is>
      </c>
      <c r="B67" s="6" t="inlineStr">
        <is>
          <t>Total population</t>
        </is>
      </c>
      <c r="C67" s="6" t="inlineStr">
        <is>
          <t>JE target population</t>
        </is>
      </c>
      <c r="D67" s="6" t="inlineStr">
        <is>
          <t>Vaccinated</t>
        </is>
      </c>
      <c r="E67" s="6" t="n"/>
      <c r="F67" s="6" t="n"/>
      <c r="G67" s="6" t="n"/>
      <c r="H67" s="6" t="n"/>
      <c r="I67" s="6" t="n"/>
      <c r="J67" s="6" t="n"/>
      <c r="K67" s="6" t="n"/>
      <c r="L67" s="6" t="n"/>
      <c r="M67" s="6" t="inlineStr">
        <is>
          <t>Progress %</t>
        </is>
      </c>
    </row>
    <row r="68">
      <c r="A68" s="6" t="n"/>
      <c r="B68" s="6" t="n"/>
      <c r="C68" s="6" t="n"/>
      <c r="D68" s="6" t="inlineStr">
        <is>
          <t>Age 30-60 yrs</t>
        </is>
      </c>
      <c r="E68" s="6" t="n"/>
      <c r="F68" s="6" t="n"/>
      <c r="G68" s="6" t="inlineStr">
        <is>
          <t>Age 60 above</t>
        </is>
      </c>
      <c r="H68" s="6" t="n"/>
      <c r="I68" s="6" t="n"/>
      <c r="J68" s="6" t="inlineStr">
        <is>
          <t>Total</t>
        </is>
      </c>
      <c r="K68" s="6" t="n"/>
      <c r="L68" s="6" t="inlineStr">
        <is>
          <t>Grand Total</t>
        </is>
      </c>
      <c r="M68" s="6" t="n"/>
    </row>
    <row r="69">
      <c r="A69" s="6" t="n"/>
      <c r="B69" s="6" t="n"/>
      <c r="C69" s="6" t="n"/>
      <c r="D69" s="6" t="inlineStr">
        <is>
          <t>F</t>
        </is>
      </c>
      <c r="E69" s="6" t="inlineStr">
        <is>
          <t>M</t>
        </is>
      </c>
      <c r="F69" s="6" t="inlineStr">
        <is>
          <t>Total</t>
        </is>
      </c>
      <c r="G69" s="6" t="inlineStr">
        <is>
          <t>F</t>
        </is>
      </c>
      <c r="H69" s="6" t="inlineStr">
        <is>
          <t>M</t>
        </is>
      </c>
      <c r="I69" s="6" t="inlineStr">
        <is>
          <t>Total</t>
        </is>
      </c>
      <c r="J69" s="6" t="inlineStr">
        <is>
          <t>F</t>
        </is>
      </c>
      <c r="K69" s="6" t="inlineStr">
        <is>
          <t>M</t>
        </is>
      </c>
      <c r="L69" s="6" t="n"/>
      <c r="M69" s="6" t="n"/>
    </row>
    <row r="70">
      <c r="A70" s="7" t="n">
        <v>1</v>
      </c>
      <c r="B70" s="8">
        <f>B5</f>
        <v/>
      </c>
      <c r="C70" s="8">
        <f>C5</f>
        <v/>
      </c>
      <c r="D70" s="14" t="n"/>
      <c r="E70" s="14" t="n"/>
      <c r="F70" s="8">
        <f>D70+E70</f>
        <v/>
      </c>
      <c r="G70" s="14" t="n"/>
      <c r="H70" s="14" t="n"/>
      <c r="I70" s="8">
        <f>G70+H70</f>
        <v/>
      </c>
      <c r="J70" s="8">
        <f>D70+G70</f>
        <v/>
      </c>
      <c r="K70" s="8">
        <f>E70+H70</f>
        <v/>
      </c>
      <c r="L70" s="8">
        <f>J70+K70</f>
        <v/>
      </c>
      <c r="M70" s="9">
        <f>IF(C70=0,0,L70/C70*100)</f>
        <v/>
      </c>
    </row>
    <row r="71">
      <c r="A71" s="7" t="n">
        <v>2</v>
      </c>
      <c r="B71" s="8">
        <f>B6</f>
        <v/>
      </c>
      <c r="C71" s="8">
        <f>C6</f>
        <v/>
      </c>
      <c r="D71" s="14" t="n"/>
      <c r="E71" s="14" t="n"/>
      <c r="F71" s="8">
        <f>D71+E71</f>
        <v/>
      </c>
      <c r="G71" s="14" t="n"/>
      <c r="H71" s="14" t="n"/>
      <c r="I71" s="8">
        <f>G71+H71</f>
        <v/>
      </c>
      <c r="J71" s="8">
        <f>D71+G71</f>
        <v/>
      </c>
      <c r="K71" s="8">
        <f>E71+H71</f>
        <v/>
      </c>
      <c r="L71" s="8">
        <f>J71+K71</f>
        <v/>
      </c>
      <c r="M71" s="9">
        <f>IF(C71=0,0,L71/C71*100)</f>
        <v/>
      </c>
    </row>
    <row r="72">
      <c r="A72" s="7" t="n">
        <v>3</v>
      </c>
      <c r="B72" s="8">
        <f>B7</f>
        <v/>
      </c>
      <c r="C72" s="8">
        <f>C7</f>
        <v/>
      </c>
      <c r="D72" s="14" t="n"/>
      <c r="E72" s="14" t="n"/>
      <c r="F72" s="8">
        <f>D72+E72</f>
        <v/>
      </c>
      <c r="G72" s="14" t="n"/>
      <c r="H72" s="14" t="n"/>
      <c r="I72" s="8">
        <f>G72+H72</f>
        <v/>
      </c>
      <c r="J72" s="8">
        <f>D72+G72</f>
        <v/>
      </c>
      <c r="K72" s="8">
        <f>E72+H72</f>
        <v/>
      </c>
      <c r="L72" s="8">
        <f>J72+K72</f>
        <v/>
      </c>
      <c r="M72" s="9">
        <f>IF(C72=0,0,L72/C72*100)</f>
        <v/>
      </c>
    </row>
    <row r="73">
      <c r="A73" s="7" t="n">
        <v>4</v>
      </c>
      <c r="B73" s="8">
        <f>B8</f>
        <v/>
      </c>
      <c r="C73" s="8">
        <f>C8</f>
        <v/>
      </c>
      <c r="D73" s="14" t="n"/>
      <c r="E73" s="14" t="n"/>
      <c r="F73" s="8">
        <f>D73+E73</f>
        <v/>
      </c>
      <c r="G73" s="14" t="n"/>
      <c r="H73" s="14" t="n"/>
      <c r="I73" s="8">
        <f>G73+H73</f>
        <v/>
      </c>
      <c r="J73" s="8">
        <f>D73+G73</f>
        <v/>
      </c>
      <c r="K73" s="8">
        <f>E73+H73</f>
        <v/>
      </c>
      <c r="L73" s="8">
        <f>J73+K73</f>
        <v/>
      </c>
      <c r="M73" s="9">
        <f>IF(C73=0,0,L73/C73*100)</f>
        <v/>
      </c>
    </row>
    <row r="74">
      <c r="A74" s="7" t="n">
        <v>5</v>
      </c>
      <c r="B74" s="8">
        <f>B9</f>
        <v/>
      </c>
      <c r="C74" s="8">
        <f>C9</f>
        <v/>
      </c>
      <c r="D74" s="14" t="n"/>
      <c r="E74" s="14" t="n"/>
      <c r="F74" s="8">
        <f>D74+E74</f>
        <v/>
      </c>
      <c r="G74" s="14" t="n"/>
      <c r="H74" s="14" t="n"/>
      <c r="I74" s="8">
        <f>G74+H74</f>
        <v/>
      </c>
      <c r="J74" s="8">
        <f>D74+G74</f>
        <v/>
      </c>
      <c r="K74" s="8">
        <f>E74+H74</f>
        <v/>
      </c>
      <c r="L74" s="8">
        <f>J74+K74</f>
        <v/>
      </c>
      <c r="M74" s="9">
        <f>IF(C74=0,0,L74/C74*100)</f>
        <v/>
      </c>
    </row>
    <row r="75">
      <c r="A75" s="7" t="n">
        <v>6</v>
      </c>
      <c r="B75" s="8">
        <f>B10</f>
        <v/>
      </c>
      <c r="C75" s="8">
        <f>C10</f>
        <v/>
      </c>
      <c r="D75" s="14" t="n"/>
      <c r="E75" s="14" t="n"/>
      <c r="F75" s="8">
        <f>D75+E75</f>
        <v/>
      </c>
      <c r="G75" s="14" t="n"/>
      <c r="H75" s="14" t="n"/>
      <c r="I75" s="8">
        <f>G75+H75</f>
        <v/>
      </c>
      <c r="J75" s="8">
        <f>D75+G75</f>
        <v/>
      </c>
      <c r="K75" s="8">
        <f>E75+H75</f>
        <v/>
      </c>
      <c r="L75" s="8">
        <f>J75+K75</f>
        <v/>
      </c>
      <c r="M75" s="9">
        <f>IF(C75=0,0,L75/C75*100)</f>
        <v/>
      </c>
    </row>
    <row r="76">
      <c r="A76" s="7" t="n">
        <v>7</v>
      </c>
      <c r="B76" s="8">
        <f>B11</f>
        <v/>
      </c>
      <c r="C76" s="8">
        <f>C11</f>
        <v/>
      </c>
      <c r="D76" s="14" t="n"/>
      <c r="E76" s="14" t="n"/>
      <c r="F76" s="8">
        <f>D76+E76</f>
        <v/>
      </c>
      <c r="G76" s="14" t="n"/>
      <c r="H76" s="14" t="n"/>
      <c r="I76" s="8">
        <f>G76+H76</f>
        <v/>
      </c>
      <c r="J76" s="8">
        <f>D76+G76</f>
        <v/>
      </c>
      <c r="K76" s="8">
        <f>E76+H76</f>
        <v/>
      </c>
      <c r="L76" s="8">
        <f>J76+K76</f>
        <v/>
      </c>
      <c r="M76" s="9">
        <f>IF(C76=0,0,L76/C76*100)</f>
        <v/>
      </c>
    </row>
    <row r="77">
      <c r="A77" s="10" t="inlineStr">
        <is>
          <t>Total</t>
        </is>
      </c>
      <c r="B77" s="11">
        <f>SUM(B70:B76)</f>
        <v/>
      </c>
      <c r="C77" s="11">
        <f>SUM(C70:C76)</f>
        <v/>
      </c>
      <c r="D77" s="11">
        <f>SUM(D70:D76)</f>
        <v/>
      </c>
      <c r="E77" s="11">
        <f>SUM(E70:E76)</f>
        <v/>
      </c>
      <c r="F77" s="11">
        <f>D77+E77</f>
        <v/>
      </c>
      <c r="G77" s="11">
        <f>SUM(G70:G76)</f>
        <v/>
      </c>
      <c r="H77" s="11">
        <f>SUM(H70:H76)</f>
        <v/>
      </c>
      <c r="I77" s="11">
        <f>G77+H77</f>
        <v/>
      </c>
      <c r="J77" s="11">
        <f>D77+G77</f>
        <v/>
      </c>
      <c r="K77" s="11">
        <f>E77+H77</f>
        <v/>
      </c>
      <c r="L77" s="11">
        <f>J77+K77</f>
        <v/>
      </c>
      <c r="M77" s="12">
        <f>IF(C77=0,0,L77/C77*100)</f>
        <v/>
      </c>
    </row>
    <row r="79">
      <c r="A79" s="13" t="inlineStr">
        <is>
          <t>Day 6 - 2026-10-10 (Sat 24 Aswin 2083)</t>
        </is>
      </c>
    </row>
    <row r="80">
      <c r="A80" s="6" t="inlineStr">
        <is>
          <t>Ward no.</t>
        </is>
      </c>
      <c r="B80" s="6" t="inlineStr">
        <is>
          <t>Total population</t>
        </is>
      </c>
      <c r="C80" s="6" t="inlineStr">
        <is>
          <t>JE target population</t>
        </is>
      </c>
      <c r="D80" s="6" t="inlineStr">
        <is>
          <t>Vaccinated</t>
        </is>
      </c>
      <c r="E80" s="6" t="n"/>
      <c r="F80" s="6" t="n"/>
      <c r="G80" s="6" t="n"/>
      <c r="H80" s="6" t="n"/>
      <c r="I80" s="6" t="n"/>
      <c r="J80" s="6" t="n"/>
      <c r="K80" s="6" t="n"/>
      <c r="L80" s="6" t="n"/>
      <c r="M80" s="6" t="inlineStr">
        <is>
          <t>Progress %</t>
        </is>
      </c>
    </row>
    <row r="81">
      <c r="A81" s="6" t="n"/>
      <c r="B81" s="6" t="n"/>
      <c r="C81" s="6" t="n"/>
      <c r="D81" s="6" t="inlineStr">
        <is>
          <t>Age 30-60 yrs</t>
        </is>
      </c>
      <c r="E81" s="6" t="n"/>
      <c r="F81" s="6" t="n"/>
      <c r="G81" s="6" t="inlineStr">
        <is>
          <t>Age 60 above</t>
        </is>
      </c>
      <c r="H81" s="6" t="n"/>
      <c r="I81" s="6" t="n"/>
      <c r="J81" s="6" t="inlineStr">
        <is>
          <t>Total</t>
        </is>
      </c>
      <c r="K81" s="6" t="n"/>
      <c r="L81" s="6" t="inlineStr">
        <is>
          <t>Grand Total</t>
        </is>
      </c>
      <c r="M81" s="6" t="n"/>
    </row>
    <row r="82">
      <c r="A82" s="6" t="n"/>
      <c r="B82" s="6" t="n"/>
      <c r="C82" s="6" t="n"/>
      <c r="D82" s="6" t="inlineStr">
        <is>
          <t>F</t>
        </is>
      </c>
      <c r="E82" s="6" t="inlineStr">
        <is>
          <t>M</t>
        </is>
      </c>
      <c r="F82" s="6" t="inlineStr">
        <is>
          <t>Total</t>
        </is>
      </c>
      <c r="G82" s="6" t="inlineStr">
        <is>
          <t>F</t>
        </is>
      </c>
      <c r="H82" s="6" t="inlineStr">
        <is>
          <t>M</t>
        </is>
      </c>
      <c r="I82" s="6" t="inlineStr">
        <is>
          <t>Total</t>
        </is>
      </c>
      <c r="J82" s="6" t="inlineStr">
        <is>
          <t>F</t>
        </is>
      </c>
      <c r="K82" s="6" t="inlineStr">
        <is>
          <t>M</t>
        </is>
      </c>
      <c r="L82" s="6" t="n"/>
      <c r="M82" s="6" t="n"/>
    </row>
    <row r="83">
      <c r="A83" s="7" t="n">
        <v>1</v>
      </c>
      <c r="B83" s="8">
        <f>B5</f>
        <v/>
      </c>
      <c r="C83" s="8">
        <f>C5</f>
        <v/>
      </c>
      <c r="D83" s="14" t="n"/>
      <c r="E83" s="14" t="n"/>
      <c r="F83" s="8">
        <f>D83+E83</f>
        <v/>
      </c>
      <c r="G83" s="14" t="n"/>
      <c r="H83" s="14" t="n"/>
      <c r="I83" s="8">
        <f>G83+H83</f>
        <v/>
      </c>
      <c r="J83" s="8">
        <f>D83+G83</f>
        <v/>
      </c>
      <c r="K83" s="8">
        <f>E83+H83</f>
        <v/>
      </c>
      <c r="L83" s="8">
        <f>J83+K83</f>
        <v/>
      </c>
      <c r="M83" s="9">
        <f>IF(C83=0,0,L83/C83*100)</f>
        <v/>
      </c>
    </row>
    <row r="84">
      <c r="A84" s="7" t="n">
        <v>2</v>
      </c>
      <c r="B84" s="8">
        <f>B6</f>
        <v/>
      </c>
      <c r="C84" s="8">
        <f>C6</f>
        <v/>
      </c>
      <c r="D84" s="14" t="n"/>
      <c r="E84" s="14" t="n"/>
      <c r="F84" s="8">
        <f>D84+E84</f>
        <v/>
      </c>
      <c r="G84" s="14" t="n"/>
      <c r="H84" s="14" t="n"/>
      <c r="I84" s="8">
        <f>G84+H84</f>
        <v/>
      </c>
      <c r="J84" s="8">
        <f>D84+G84</f>
        <v/>
      </c>
      <c r="K84" s="8">
        <f>E84+H84</f>
        <v/>
      </c>
      <c r="L84" s="8">
        <f>J84+K84</f>
        <v/>
      </c>
      <c r="M84" s="9">
        <f>IF(C84=0,0,L84/C84*100)</f>
        <v/>
      </c>
    </row>
    <row r="85">
      <c r="A85" s="7" t="n">
        <v>3</v>
      </c>
      <c r="B85" s="8">
        <f>B7</f>
        <v/>
      </c>
      <c r="C85" s="8">
        <f>C7</f>
        <v/>
      </c>
      <c r="D85" s="14" t="n"/>
      <c r="E85" s="14" t="n"/>
      <c r="F85" s="8">
        <f>D85+E85</f>
        <v/>
      </c>
      <c r="G85" s="14" t="n"/>
      <c r="H85" s="14" t="n"/>
      <c r="I85" s="8">
        <f>G85+H85</f>
        <v/>
      </c>
      <c r="J85" s="8">
        <f>D85+G85</f>
        <v/>
      </c>
      <c r="K85" s="8">
        <f>E85+H85</f>
        <v/>
      </c>
      <c r="L85" s="8">
        <f>J85+K85</f>
        <v/>
      </c>
      <c r="M85" s="9">
        <f>IF(C85=0,0,L85/C85*100)</f>
        <v/>
      </c>
    </row>
    <row r="86">
      <c r="A86" s="7" t="n">
        <v>4</v>
      </c>
      <c r="B86" s="8">
        <f>B8</f>
        <v/>
      </c>
      <c r="C86" s="8">
        <f>C8</f>
        <v/>
      </c>
      <c r="D86" s="14" t="n"/>
      <c r="E86" s="14" t="n"/>
      <c r="F86" s="8">
        <f>D86+E86</f>
        <v/>
      </c>
      <c r="G86" s="14" t="n"/>
      <c r="H86" s="14" t="n"/>
      <c r="I86" s="8">
        <f>G86+H86</f>
        <v/>
      </c>
      <c r="J86" s="8">
        <f>D86+G86</f>
        <v/>
      </c>
      <c r="K86" s="8">
        <f>E86+H86</f>
        <v/>
      </c>
      <c r="L86" s="8">
        <f>J86+K86</f>
        <v/>
      </c>
      <c r="M86" s="9">
        <f>IF(C86=0,0,L86/C86*100)</f>
        <v/>
      </c>
    </row>
    <row r="87">
      <c r="A87" s="7" t="n">
        <v>5</v>
      </c>
      <c r="B87" s="8">
        <f>B9</f>
        <v/>
      </c>
      <c r="C87" s="8">
        <f>C9</f>
        <v/>
      </c>
      <c r="D87" s="14" t="n"/>
      <c r="E87" s="14" t="n"/>
      <c r="F87" s="8">
        <f>D87+E87</f>
        <v/>
      </c>
      <c r="G87" s="14" t="n"/>
      <c r="H87" s="14" t="n"/>
      <c r="I87" s="8">
        <f>G87+H87</f>
        <v/>
      </c>
      <c r="J87" s="8">
        <f>D87+G87</f>
        <v/>
      </c>
      <c r="K87" s="8">
        <f>E87+H87</f>
        <v/>
      </c>
      <c r="L87" s="8">
        <f>J87+K87</f>
        <v/>
      </c>
      <c r="M87" s="9">
        <f>IF(C87=0,0,L87/C87*100)</f>
        <v/>
      </c>
    </row>
    <row r="88">
      <c r="A88" s="7" t="n">
        <v>6</v>
      </c>
      <c r="B88" s="8">
        <f>B10</f>
        <v/>
      </c>
      <c r="C88" s="8">
        <f>C10</f>
        <v/>
      </c>
      <c r="D88" s="14" t="n"/>
      <c r="E88" s="14" t="n"/>
      <c r="F88" s="8">
        <f>D88+E88</f>
        <v/>
      </c>
      <c r="G88" s="14" t="n"/>
      <c r="H88" s="14" t="n"/>
      <c r="I88" s="8">
        <f>G88+H88</f>
        <v/>
      </c>
      <c r="J88" s="8">
        <f>D88+G88</f>
        <v/>
      </c>
      <c r="K88" s="8">
        <f>E88+H88</f>
        <v/>
      </c>
      <c r="L88" s="8">
        <f>J88+K88</f>
        <v/>
      </c>
      <c r="M88" s="9">
        <f>IF(C88=0,0,L88/C88*100)</f>
        <v/>
      </c>
    </row>
    <row r="89">
      <c r="A89" s="7" t="n">
        <v>7</v>
      </c>
      <c r="B89" s="8">
        <f>B11</f>
        <v/>
      </c>
      <c r="C89" s="8">
        <f>C11</f>
        <v/>
      </c>
      <c r="D89" s="14" t="n"/>
      <c r="E89" s="14" t="n"/>
      <c r="F89" s="8">
        <f>D89+E89</f>
        <v/>
      </c>
      <c r="G89" s="14" t="n"/>
      <c r="H89" s="14" t="n"/>
      <c r="I89" s="8">
        <f>G89+H89</f>
        <v/>
      </c>
      <c r="J89" s="8">
        <f>D89+G89</f>
        <v/>
      </c>
      <c r="K89" s="8">
        <f>E89+H89</f>
        <v/>
      </c>
      <c r="L89" s="8">
        <f>J89+K89</f>
        <v/>
      </c>
      <c r="M89" s="9">
        <f>IF(C89=0,0,L89/C89*100)</f>
        <v/>
      </c>
    </row>
    <row r="90">
      <c r="A90" s="10" t="inlineStr">
        <is>
          <t>Total</t>
        </is>
      </c>
      <c r="B90" s="11">
        <f>SUM(B83:B89)</f>
        <v/>
      </c>
      <c r="C90" s="11">
        <f>SUM(C83:C89)</f>
        <v/>
      </c>
      <c r="D90" s="11">
        <f>SUM(D83:D89)</f>
        <v/>
      </c>
      <c r="E90" s="11">
        <f>SUM(E83:E89)</f>
        <v/>
      </c>
      <c r="F90" s="11">
        <f>D90+E90</f>
        <v/>
      </c>
      <c r="G90" s="11">
        <f>SUM(G83:G89)</f>
        <v/>
      </c>
      <c r="H90" s="11">
        <f>SUM(H83:H89)</f>
        <v/>
      </c>
      <c r="I90" s="11">
        <f>G90+H90</f>
        <v/>
      </c>
      <c r="J90" s="11">
        <f>D90+G90</f>
        <v/>
      </c>
      <c r="K90" s="11">
        <f>E90+H90</f>
        <v/>
      </c>
      <c r="L90" s="11">
        <f>J90+K90</f>
        <v/>
      </c>
      <c r="M90" s="12">
        <f>IF(C90=0,0,L90/C90*100)</f>
        <v/>
      </c>
    </row>
    <row r="92">
      <c r="A92" s="13" t="inlineStr">
        <is>
          <t>Day 7 - 2026-10-11 (Sun 25 Aswin 2083)</t>
        </is>
      </c>
    </row>
    <row r="93">
      <c r="A93" s="6" t="inlineStr">
        <is>
          <t>Ward no.</t>
        </is>
      </c>
      <c r="B93" s="6" t="inlineStr">
        <is>
          <t>Total population</t>
        </is>
      </c>
      <c r="C93" s="6" t="inlineStr">
        <is>
          <t>JE target population</t>
        </is>
      </c>
      <c r="D93" s="6" t="inlineStr">
        <is>
          <t>Vaccinated</t>
        </is>
      </c>
      <c r="E93" s="6" t="n"/>
      <c r="F93" s="6" t="n"/>
      <c r="G93" s="6" t="n"/>
      <c r="H93" s="6" t="n"/>
      <c r="I93" s="6" t="n"/>
      <c r="J93" s="6" t="n"/>
      <c r="K93" s="6" t="n"/>
      <c r="L93" s="6" t="n"/>
      <c r="M93" s="6" t="inlineStr">
        <is>
          <t>Progress %</t>
        </is>
      </c>
    </row>
    <row r="94">
      <c r="A94" s="6" t="n"/>
      <c r="B94" s="6" t="n"/>
      <c r="C94" s="6" t="n"/>
      <c r="D94" s="6" t="inlineStr">
        <is>
          <t>Age 30-60 yrs</t>
        </is>
      </c>
      <c r="E94" s="6" t="n"/>
      <c r="F94" s="6" t="n"/>
      <c r="G94" s="6" t="inlineStr">
        <is>
          <t>Age 60 above</t>
        </is>
      </c>
      <c r="H94" s="6" t="n"/>
      <c r="I94" s="6" t="n"/>
      <c r="J94" s="6" t="inlineStr">
        <is>
          <t>Total</t>
        </is>
      </c>
      <c r="K94" s="6" t="n"/>
      <c r="L94" s="6" t="inlineStr">
        <is>
          <t>Grand Total</t>
        </is>
      </c>
      <c r="M94" s="6" t="n"/>
    </row>
    <row r="95">
      <c r="A95" s="6" t="n"/>
      <c r="B95" s="6" t="n"/>
      <c r="C95" s="6" t="n"/>
      <c r="D95" s="6" t="inlineStr">
        <is>
          <t>F</t>
        </is>
      </c>
      <c r="E95" s="6" t="inlineStr">
        <is>
          <t>M</t>
        </is>
      </c>
      <c r="F95" s="6" t="inlineStr">
        <is>
          <t>Total</t>
        </is>
      </c>
      <c r="G95" s="6" t="inlineStr">
        <is>
          <t>F</t>
        </is>
      </c>
      <c r="H95" s="6" t="inlineStr">
        <is>
          <t>M</t>
        </is>
      </c>
      <c r="I95" s="6" t="inlineStr">
        <is>
          <t>Total</t>
        </is>
      </c>
      <c r="J95" s="6" t="inlineStr">
        <is>
          <t>F</t>
        </is>
      </c>
      <c r="K95" s="6" t="inlineStr">
        <is>
          <t>M</t>
        </is>
      </c>
      <c r="L95" s="6" t="n"/>
      <c r="M95" s="6" t="n"/>
    </row>
    <row r="96">
      <c r="A96" s="7" t="n">
        <v>1</v>
      </c>
      <c r="B96" s="8">
        <f>B5</f>
        <v/>
      </c>
      <c r="C96" s="8">
        <f>C5</f>
        <v/>
      </c>
      <c r="D96" s="14" t="n"/>
      <c r="E96" s="14" t="n"/>
      <c r="F96" s="8">
        <f>D96+E96</f>
        <v/>
      </c>
      <c r="G96" s="14" t="n"/>
      <c r="H96" s="14" t="n"/>
      <c r="I96" s="8">
        <f>G96+H96</f>
        <v/>
      </c>
      <c r="J96" s="8">
        <f>D96+G96</f>
        <v/>
      </c>
      <c r="K96" s="8">
        <f>E96+H96</f>
        <v/>
      </c>
      <c r="L96" s="8">
        <f>J96+K96</f>
        <v/>
      </c>
      <c r="M96" s="9">
        <f>IF(C96=0,0,L96/C96*100)</f>
        <v/>
      </c>
    </row>
    <row r="97">
      <c r="A97" s="7" t="n">
        <v>2</v>
      </c>
      <c r="B97" s="8">
        <f>B6</f>
        <v/>
      </c>
      <c r="C97" s="8">
        <f>C6</f>
        <v/>
      </c>
      <c r="D97" s="14" t="n"/>
      <c r="E97" s="14" t="n"/>
      <c r="F97" s="8">
        <f>D97+E97</f>
        <v/>
      </c>
      <c r="G97" s="14" t="n"/>
      <c r="H97" s="14" t="n"/>
      <c r="I97" s="8">
        <f>G97+H97</f>
        <v/>
      </c>
      <c r="J97" s="8">
        <f>D97+G97</f>
        <v/>
      </c>
      <c r="K97" s="8">
        <f>E97+H97</f>
        <v/>
      </c>
      <c r="L97" s="8">
        <f>J97+K97</f>
        <v/>
      </c>
      <c r="M97" s="9">
        <f>IF(C97=0,0,L97/C97*100)</f>
        <v/>
      </c>
    </row>
    <row r="98">
      <c r="A98" s="7" t="n">
        <v>3</v>
      </c>
      <c r="B98" s="8">
        <f>B7</f>
        <v/>
      </c>
      <c r="C98" s="8">
        <f>C7</f>
        <v/>
      </c>
      <c r="D98" s="14" t="n"/>
      <c r="E98" s="14" t="n"/>
      <c r="F98" s="8">
        <f>D98+E98</f>
        <v/>
      </c>
      <c r="G98" s="14" t="n"/>
      <c r="H98" s="14" t="n"/>
      <c r="I98" s="8">
        <f>G98+H98</f>
        <v/>
      </c>
      <c r="J98" s="8">
        <f>D98+G98</f>
        <v/>
      </c>
      <c r="K98" s="8">
        <f>E98+H98</f>
        <v/>
      </c>
      <c r="L98" s="8">
        <f>J98+K98</f>
        <v/>
      </c>
      <c r="M98" s="9">
        <f>IF(C98=0,0,L98/C98*100)</f>
        <v/>
      </c>
    </row>
    <row r="99">
      <c r="A99" s="7" t="n">
        <v>4</v>
      </c>
      <c r="B99" s="8">
        <f>B8</f>
        <v/>
      </c>
      <c r="C99" s="8">
        <f>C8</f>
        <v/>
      </c>
      <c r="D99" s="14" t="n"/>
      <c r="E99" s="14" t="n"/>
      <c r="F99" s="8">
        <f>D99+E99</f>
        <v/>
      </c>
      <c r="G99" s="14" t="n"/>
      <c r="H99" s="14" t="n"/>
      <c r="I99" s="8">
        <f>G99+H99</f>
        <v/>
      </c>
      <c r="J99" s="8">
        <f>D99+G99</f>
        <v/>
      </c>
      <c r="K99" s="8">
        <f>E99+H99</f>
        <v/>
      </c>
      <c r="L99" s="8">
        <f>J99+K99</f>
        <v/>
      </c>
      <c r="M99" s="9">
        <f>IF(C99=0,0,L99/C99*100)</f>
        <v/>
      </c>
    </row>
    <row r="100">
      <c r="A100" s="7" t="n">
        <v>5</v>
      </c>
      <c r="B100" s="8">
        <f>B9</f>
        <v/>
      </c>
      <c r="C100" s="8">
        <f>C9</f>
        <v/>
      </c>
      <c r="D100" s="14" t="n"/>
      <c r="E100" s="14" t="n"/>
      <c r="F100" s="8">
        <f>D100+E100</f>
        <v/>
      </c>
      <c r="G100" s="14" t="n"/>
      <c r="H100" s="14" t="n"/>
      <c r="I100" s="8">
        <f>G100+H100</f>
        <v/>
      </c>
      <c r="J100" s="8">
        <f>D100+G100</f>
        <v/>
      </c>
      <c r="K100" s="8">
        <f>E100+H100</f>
        <v/>
      </c>
      <c r="L100" s="8">
        <f>J100+K100</f>
        <v/>
      </c>
      <c r="M100" s="9">
        <f>IF(C100=0,0,L100/C100*100)</f>
        <v/>
      </c>
    </row>
    <row r="101">
      <c r="A101" s="7" t="n">
        <v>6</v>
      </c>
      <c r="B101" s="8">
        <f>B10</f>
        <v/>
      </c>
      <c r="C101" s="8">
        <f>C10</f>
        <v/>
      </c>
      <c r="D101" s="14" t="n"/>
      <c r="E101" s="14" t="n"/>
      <c r="F101" s="8">
        <f>D101+E101</f>
        <v/>
      </c>
      <c r="G101" s="14" t="n"/>
      <c r="H101" s="14" t="n"/>
      <c r="I101" s="8">
        <f>G101+H101</f>
        <v/>
      </c>
      <c r="J101" s="8">
        <f>D101+G101</f>
        <v/>
      </c>
      <c r="K101" s="8">
        <f>E101+H101</f>
        <v/>
      </c>
      <c r="L101" s="8">
        <f>J101+K101</f>
        <v/>
      </c>
      <c r="M101" s="9">
        <f>IF(C101=0,0,L101/C101*100)</f>
        <v/>
      </c>
    </row>
    <row r="102">
      <c r="A102" s="7" t="n">
        <v>7</v>
      </c>
      <c r="B102" s="8">
        <f>B11</f>
        <v/>
      </c>
      <c r="C102" s="8">
        <f>C11</f>
        <v/>
      </c>
      <c r="D102" s="14" t="n"/>
      <c r="E102" s="14" t="n"/>
      <c r="F102" s="8">
        <f>D102+E102</f>
        <v/>
      </c>
      <c r="G102" s="14" t="n"/>
      <c r="H102" s="14" t="n"/>
      <c r="I102" s="8">
        <f>G102+H102</f>
        <v/>
      </c>
      <c r="J102" s="8">
        <f>D102+G102</f>
        <v/>
      </c>
      <c r="K102" s="8">
        <f>E102+H102</f>
        <v/>
      </c>
      <c r="L102" s="8">
        <f>J102+K102</f>
        <v/>
      </c>
      <c r="M102" s="9">
        <f>IF(C102=0,0,L102/C102*100)</f>
        <v/>
      </c>
    </row>
    <row r="103">
      <c r="A103" s="10" t="inlineStr">
        <is>
          <t>Total</t>
        </is>
      </c>
      <c r="B103" s="11">
        <f>SUM(B96:B102)</f>
        <v/>
      </c>
      <c r="C103" s="11">
        <f>SUM(C96:C102)</f>
        <v/>
      </c>
      <c r="D103" s="11">
        <f>SUM(D96:D102)</f>
        <v/>
      </c>
      <c r="E103" s="11">
        <f>SUM(E96:E102)</f>
        <v/>
      </c>
      <c r="F103" s="11">
        <f>D103+E103</f>
        <v/>
      </c>
      <c r="G103" s="11">
        <f>SUM(G96:G102)</f>
        <v/>
      </c>
      <c r="H103" s="11">
        <f>SUM(H96:H102)</f>
        <v/>
      </c>
      <c r="I103" s="11">
        <f>G103+H103</f>
        <v/>
      </c>
      <c r="J103" s="11">
        <f>D103+G103</f>
        <v/>
      </c>
      <c r="K103" s="11">
        <f>E103+H103</f>
        <v/>
      </c>
      <c r="L103" s="11">
        <f>J103+K103</f>
        <v/>
      </c>
      <c r="M103" s="12">
        <f>IF(C103=0,0,L103/C103*100)</f>
        <v/>
      </c>
    </row>
    <row r="105">
      <c r="A105" s="13" t="inlineStr">
        <is>
          <t>Day 8 - 2026-10-12 (Mon 26 Aswin 2083)</t>
        </is>
      </c>
    </row>
    <row r="106">
      <c r="A106" s="6" t="inlineStr">
        <is>
          <t>Ward no.</t>
        </is>
      </c>
      <c r="B106" s="6" t="inlineStr">
        <is>
          <t>Total population</t>
        </is>
      </c>
      <c r="C106" s="6" t="inlineStr">
        <is>
          <t>JE target population</t>
        </is>
      </c>
      <c r="D106" s="6" t="inlineStr">
        <is>
          <t>Vaccinated</t>
        </is>
      </c>
      <c r="E106" s="6" t="n"/>
      <c r="F106" s="6" t="n"/>
      <c r="G106" s="6" t="n"/>
      <c r="H106" s="6" t="n"/>
      <c r="I106" s="6" t="n"/>
      <c r="J106" s="6" t="n"/>
      <c r="K106" s="6" t="n"/>
      <c r="L106" s="6" t="n"/>
      <c r="M106" s="6" t="inlineStr">
        <is>
          <t>Progress %</t>
        </is>
      </c>
    </row>
    <row r="107">
      <c r="A107" s="6" t="n"/>
      <c r="B107" s="6" t="n"/>
      <c r="C107" s="6" t="n"/>
      <c r="D107" s="6" t="inlineStr">
        <is>
          <t>Age 30-60 yrs</t>
        </is>
      </c>
      <c r="E107" s="6" t="n"/>
      <c r="F107" s="6" t="n"/>
      <c r="G107" s="6" t="inlineStr">
        <is>
          <t>Age 60 above</t>
        </is>
      </c>
      <c r="H107" s="6" t="n"/>
      <c r="I107" s="6" t="n"/>
      <c r="J107" s="6" t="inlineStr">
        <is>
          <t>Total</t>
        </is>
      </c>
      <c r="K107" s="6" t="n"/>
      <c r="L107" s="6" t="inlineStr">
        <is>
          <t>Grand Total</t>
        </is>
      </c>
      <c r="M107" s="6" t="n"/>
    </row>
    <row r="108">
      <c r="A108" s="6" t="n"/>
      <c r="B108" s="6" t="n"/>
      <c r="C108" s="6" t="n"/>
      <c r="D108" s="6" t="inlineStr">
        <is>
          <t>F</t>
        </is>
      </c>
      <c r="E108" s="6" t="inlineStr">
        <is>
          <t>M</t>
        </is>
      </c>
      <c r="F108" s="6" t="inlineStr">
        <is>
          <t>Total</t>
        </is>
      </c>
      <c r="G108" s="6" t="inlineStr">
        <is>
          <t>F</t>
        </is>
      </c>
      <c r="H108" s="6" t="inlineStr">
        <is>
          <t>M</t>
        </is>
      </c>
      <c r="I108" s="6" t="inlineStr">
        <is>
          <t>Total</t>
        </is>
      </c>
      <c r="J108" s="6" t="inlineStr">
        <is>
          <t>F</t>
        </is>
      </c>
      <c r="K108" s="6" t="inlineStr">
        <is>
          <t>M</t>
        </is>
      </c>
      <c r="L108" s="6" t="n"/>
      <c r="M108" s="6" t="n"/>
    </row>
    <row r="109">
      <c r="A109" s="7" t="n">
        <v>1</v>
      </c>
      <c r="B109" s="8">
        <f>B5</f>
        <v/>
      </c>
      <c r="C109" s="8">
        <f>C5</f>
        <v/>
      </c>
      <c r="D109" s="14" t="n"/>
      <c r="E109" s="14" t="n"/>
      <c r="F109" s="8">
        <f>D109+E109</f>
        <v/>
      </c>
      <c r="G109" s="14" t="n"/>
      <c r="H109" s="14" t="n"/>
      <c r="I109" s="8">
        <f>G109+H109</f>
        <v/>
      </c>
      <c r="J109" s="8">
        <f>D109+G109</f>
        <v/>
      </c>
      <c r="K109" s="8">
        <f>E109+H109</f>
        <v/>
      </c>
      <c r="L109" s="8">
        <f>J109+K109</f>
        <v/>
      </c>
      <c r="M109" s="9">
        <f>IF(C109=0,0,L109/C109*100)</f>
        <v/>
      </c>
    </row>
    <row r="110">
      <c r="A110" s="7" t="n">
        <v>2</v>
      </c>
      <c r="B110" s="8">
        <f>B6</f>
        <v/>
      </c>
      <c r="C110" s="8">
        <f>C6</f>
        <v/>
      </c>
      <c r="D110" s="14" t="n"/>
      <c r="E110" s="14" t="n"/>
      <c r="F110" s="8">
        <f>D110+E110</f>
        <v/>
      </c>
      <c r="G110" s="14" t="n"/>
      <c r="H110" s="14" t="n"/>
      <c r="I110" s="8">
        <f>G110+H110</f>
        <v/>
      </c>
      <c r="J110" s="8">
        <f>D110+G110</f>
        <v/>
      </c>
      <c r="K110" s="8">
        <f>E110+H110</f>
        <v/>
      </c>
      <c r="L110" s="8">
        <f>J110+K110</f>
        <v/>
      </c>
      <c r="M110" s="9">
        <f>IF(C110=0,0,L110/C110*100)</f>
        <v/>
      </c>
    </row>
    <row r="111">
      <c r="A111" s="7" t="n">
        <v>3</v>
      </c>
      <c r="B111" s="8">
        <f>B7</f>
        <v/>
      </c>
      <c r="C111" s="8">
        <f>C7</f>
        <v/>
      </c>
      <c r="D111" s="14" t="n"/>
      <c r="E111" s="14" t="n"/>
      <c r="F111" s="8">
        <f>D111+E111</f>
        <v/>
      </c>
      <c r="G111" s="14" t="n"/>
      <c r="H111" s="14" t="n"/>
      <c r="I111" s="8">
        <f>G111+H111</f>
        <v/>
      </c>
      <c r="J111" s="8">
        <f>D111+G111</f>
        <v/>
      </c>
      <c r="K111" s="8">
        <f>E111+H111</f>
        <v/>
      </c>
      <c r="L111" s="8">
        <f>J111+K111</f>
        <v/>
      </c>
      <c r="M111" s="9">
        <f>IF(C111=0,0,L111/C111*100)</f>
        <v/>
      </c>
    </row>
    <row r="112">
      <c r="A112" s="7" t="n">
        <v>4</v>
      </c>
      <c r="B112" s="8">
        <f>B8</f>
        <v/>
      </c>
      <c r="C112" s="8">
        <f>C8</f>
        <v/>
      </c>
      <c r="D112" s="14" t="n"/>
      <c r="E112" s="14" t="n"/>
      <c r="F112" s="8">
        <f>D112+E112</f>
        <v/>
      </c>
      <c r="G112" s="14" t="n"/>
      <c r="H112" s="14" t="n"/>
      <c r="I112" s="8">
        <f>G112+H112</f>
        <v/>
      </c>
      <c r="J112" s="8">
        <f>D112+G112</f>
        <v/>
      </c>
      <c r="K112" s="8">
        <f>E112+H112</f>
        <v/>
      </c>
      <c r="L112" s="8">
        <f>J112+K112</f>
        <v/>
      </c>
      <c r="M112" s="9">
        <f>IF(C112=0,0,L112/C112*100)</f>
        <v/>
      </c>
    </row>
    <row r="113">
      <c r="A113" s="7" t="n">
        <v>5</v>
      </c>
      <c r="B113" s="8">
        <f>B9</f>
        <v/>
      </c>
      <c r="C113" s="8">
        <f>C9</f>
        <v/>
      </c>
      <c r="D113" s="14" t="n"/>
      <c r="E113" s="14" t="n"/>
      <c r="F113" s="8">
        <f>D113+E113</f>
        <v/>
      </c>
      <c r="G113" s="14" t="n"/>
      <c r="H113" s="14" t="n"/>
      <c r="I113" s="8">
        <f>G113+H113</f>
        <v/>
      </c>
      <c r="J113" s="8">
        <f>D113+G113</f>
        <v/>
      </c>
      <c r="K113" s="8">
        <f>E113+H113</f>
        <v/>
      </c>
      <c r="L113" s="8">
        <f>J113+K113</f>
        <v/>
      </c>
      <c r="M113" s="9">
        <f>IF(C113=0,0,L113/C113*100)</f>
        <v/>
      </c>
    </row>
    <row r="114">
      <c r="A114" s="7" t="n">
        <v>6</v>
      </c>
      <c r="B114" s="8">
        <f>B10</f>
        <v/>
      </c>
      <c r="C114" s="8">
        <f>C10</f>
        <v/>
      </c>
      <c r="D114" s="14" t="n"/>
      <c r="E114" s="14" t="n"/>
      <c r="F114" s="8">
        <f>D114+E114</f>
        <v/>
      </c>
      <c r="G114" s="14" t="n"/>
      <c r="H114" s="14" t="n"/>
      <c r="I114" s="8">
        <f>G114+H114</f>
        <v/>
      </c>
      <c r="J114" s="8">
        <f>D114+G114</f>
        <v/>
      </c>
      <c r="K114" s="8">
        <f>E114+H114</f>
        <v/>
      </c>
      <c r="L114" s="8">
        <f>J114+K114</f>
        <v/>
      </c>
      <c r="M114" s="9">
        <f>IF(C114=0,0,L114/C114*100)</f>
        <v/>
      </c>
    </row>
    <row r="115">
      <c r="A115" s="7" t="n">
        <v>7</v>
      </c>
      <c r="B115" s="8">
        <f>B11</f>
        <v/>
      </c>
      <c r="C115" s="8">
        <f>C11</f>
        <v/>
      </c>
      <c r="D115" s="14" t="n"/>
      <c r="E115" s="14" t="n"/>
      <c r="F115" s="8">
        <f>D115+E115</f>
        <v/>
      </c>
      <c r="G115" s="14" t="n"/>
      <c r="H115" s="14" t="n"/>
      <c r="I115" s="8">
        <f>G115+H115</f>
        <v/>
      </c>
      <c r="J115" s="8">
        <f>D115+G115</f>
        <v/>
      </c>
      <c r="K115" s="8">
        <f>E115+H115</f>
        <v/>
      </c>
      <c r="L115" s="8">
        <f>J115+K115</f>
        <v/>
      </c>
      <c r="M115" s="9">
        <f>IF(C115=0,0,L115/C115*100)</f>
        <v/>
      </c>
    </row>
    <row r="116">
      <c r="A116" s="10" t="inlineStr">
        <is>
          <t>Total</t>
        </is>
      </c>
      <c r="B116" s="11">
        <f>SUM(B109:B115)</f>
        <v/>
      </c>
      <c r="C116" s="11">
        <f>SUM(C109:C115)</f>
        <v/>
      </c>
      <c r="D116" s="11">
        <f>SUM(D109:D115)</f>
        <v/>
      </c>
      <c r="E116" s="11">
        <f>SUM(E109:E115)</f>
        <v/>
      </c>
      <c r="F116" s="11">
        <f>D116+E116</f>
        <v/>
      </c>
      <c r="G116" s="11">
        <f>SUM(G109:G115)</f>
        <v/>
      </c>
      <c r="H116" s="11">
        <f>SUM(H109:H115)</f>
        <v/>
      </c>
      <c r="I116" s="11">
        <f>G116+H116</f>
        <v/>
      </c>
      <c r="J116" s="11">
        <f>D116+G116</f>
        <v/>
      </c>
      <c r="K116" s="11">
        <f>E116+H116</f>
        <v/>
      </c>
      <c r="L116" s="11">
        <f>J116+K116</f>
        <v/>
      </c>
      <c r="M116" s="12">
        <f>IF(C116=0,0,L116/C116*100)</f>
        <v/>
      </c>
    </row>
    <row r="118">
      <c r="A118" s="13" t="inlineStr">
        <is>
          <t>Day 9 - 2026-10-13 (Tue 27 Aswin 2083)</t>
        </is>
      </c>
    </row>
    <row r="119">
      <c r="A119" s="6" t="inlineStr">
        <is>
          <t>Ward no.</t>
        </is>
      </c>
      <c r="B119" s="6" t="inlineStr">
        <is>
          <t>Total population</t>
        </is>
      </c>
      <c r="C119" s="6" t="inlineStr">
        <is>
          <t>JE target population</t>
        </is>
      </c>
      <c r="D119" s="6" t="inlineStr">
        <is>
          <t>Vaccinated</t>
        </is>
      </c>
      <c r="E119" s="6" t="n"/>
      <c r="F119" s="6" t="n"/>
      <c r="G119" s="6" t="n"/>
      <c r="H119" s="6" t="n"/>
      <c r="I119" s="6" t="n"/>
      <c r="J119" s="6" t="n"/>
      <c r="K119" s="6" t="n"/>
      <c r="L119" s="6" t="n"/>
      <c r="M119" s="6" t="inlineStr">
        <is>
          <t>Progress %</t>
        </is>
      </c>
    </row>
    <row r="120">
      <c r="A120" s="6" t="n"/>
      <c r="B120" s="6" t="n"/>
      <c r="C120" s="6" t="n"/>
      <c r="D120" s="6" t="inlineStr">
        <is>
          <t>Age 30-60 yrs</t>
        </is>
      </c>
      <c r="E120" s="6" t="n"/>
      <c r="F120" s="6" t="n"/>
      <c r="G120" s="6" t="inlineStr">
        <is>
          <t>Age 60 above</t>
        </is>
      </c>
      <c r="H120" s="6" t="n"/>
      <c r="I120" s="6" t="n"/>
      <c r="J120" s="6" t="inlineStr">
        <is>
          <t>Total</t>
        </is>
      </c>
      <c r="K120" s="6" t="n"/>
      <c r="L120" s="6" t="inlineStr">
        <is>
          <t>Grand Total</t>
        </is>
      </c>
      <c r="M120" s="6" t="n"/>
    </row>
    <row r="121">
      <c r="A121" s="6" t="n"/>
      <c r="B121" s="6" t="n"/>
      <c r="C121" s="6" t="n"/>
      <c r="D121" s="6" t="inlineStr">
        <is>
          <t>F</t>
        </is>
      </c>
      <c r="E121" s="6" t="inlineStr">
        <is>
          <t>M</t>
        </is>
      </c>
      <c r="F121" s="6" t="inlineStr">
        <is>
          <t>Total</t>
        </is>
      </c>
      <c r="G121" s="6" t="inlineStr">
        <is>
          <t>F</t>
        </is>
      </c>
      <c r="H121" s="6" t="inlineStr">
        <is>
          <t>M</t>
        </is>
      </c>
      <c r="I121" s="6" t="inlineStr">
        <is>
          <t>Total</t>
        </is>
      </c>
      <c r="J121" s="6" t="inlineStr">
        <is>
          <t>F</t>
        </is>
      </c>
      <c r="K121" s="6" t="inlineStr">
        <is>
          <t>M</t>
        </is>
      </c>
      <c r="L121" s="6" t="n"/>
      <c r="M121" s="6" t="n"/>
    </row>
    <row r="122">
      <c r="A122" s="7" t="n">
        <v>1</v>
      </c>
      <c r="B122" s="8">
        <f>B5</f>
        <v/>
      </c>
      <c r="C122" s="8">
        <f>C5</f>
        <v/>
      </c>
      <c r="D122" s="14" t="n"/>
      <c r="E122" s="14" t="n"/>
      <c r="F122" s="8">
        <f>D122+E122</f>
        <v/>
      </c>
      <c r="G122" s="14" t="n"/>
      <c r="H122" s="14" t="n"/>
      <c r="I122" s="8">
        <f>G122+H122</f>
        <v/>
      </c>
      <c r="J122" s="8">
        <f>D122+G122</f>
        <v/>
      </c>
      <c r="K122" s="8">
        <f>E122+H122</f>
        <v/>
      </c>
      <c r="L122" s="8">
        <f>J122+K122</f>
        <v/>
      </c>
      <c r="M122" s="9">
        <f>IF(C122=0,0,L122/C122*100)</f>
        <v/>
      </c>
    </row>
    <row r="123">
      <c r="A123" s="7" t="n">
        <v>2</v>
      </c>
      <c r="B123" s="8">
        <f>B6</f>
        <v/>
      </c>
      <c r="C123" s="8">
        <f>C6</f>
        <v/>
      </c>
      <c r="D123" s="14" t="n"/>
      <c r="E123" s="14" t="n"/>
      <c r="F123" s="8">
        <f>D123+E123</f>
        <v/>
      </c>
      <c r="G123" s="14" t="n"/>
      <c r="H123" s="14" t="n"/>
      <c r="I123" s="8">
        <f>G123+H123</f>
        <v/>
      </c>
      <c r="J123" s="8">
        <f>D123+G123</f>
        <v/>
      </c>
      <c r="K123" s="8">
        <f>E123+H123</f>
        <v/>
      </c>
      <c r="L123" s="8">
        <f>J123+K123</f>
        <v/>
      </c>
      <c r="M123" s="9">
        <f>IF(C123=0,0,L123/C123*100)</f>
        <v/>
      </c>
    </row>
    <row r="124">
      <c r="A124" s="7" t="n">
        <v>3</v>
      </c>
      <c r="B124" s="8">
        <f>B7</f>
        <v/>
      </c>
      <c r="C124" s="8">
        <f>C7</f>
        <v/>
      </c>
      <c r="D124" s="14" t="n"/>
      <c r="E124" s="14" t="n"/>
      <c r="F124" s="8">
        <f>D124+E124</f>
        <v/>
      </c>
      <c r="G124" s="14" t="n"/>
      <c r="H124" s="14" t="n"/>
      <c r="I124" s="8">
        <f>G124+H124</f>
        <v/>
      </c>
      <c r="J124" s="8">
        <f>D124+G124</f>
        <v/>
      </c>
      <c r="K124" s="8">
        <f>E124+H124</f>
        <v/>
      </c>
      <c r="L124" s="8">
        <f>J124+K124</f>
        <v/>
      </c>
      <c r="M124" s="9">
        <f>IF(C124=0,0,L124/C124*100)</f>
        <v/>
      </c>
    </row>
    <row r="125">
      <c r="A125" s="7" t="n">
        <v>4</v>
      </c>
      <c r="B125" s="8">
        <f>B8</f>
        <v/>
      </c>
      <c r="C125" s="8">
        <f>C8</f>
        <v/>
      </c>
      <c r="D125" s="14" t="n"/>
      <c r="E125" s="14" t="n"/>
      <c r="F125" s="8">
        <f>D125+E125</f>
        <v/>
      </c>
      <c r="G125" s="14" t="n"/>
      <c r="H125" s="14" t="n"/>
      <c r="I125" s="8">
        <f>G125+H125</f>
        <v/>
      </c>
      <c r="J125" s="8">
        <f>D125+G125</f>
        <v/>
      </c>
      <c r="K125" s="8">
        <f>E125+H125</f>
        <v/>
      </c>
      <c r="L125" s="8">
        <f>J125+K125</f>
        <v/>
      </c>
      <c r="M125" s="9">
        <f>IF(C125=0,0,L125/C125*100)</f>
        <v/>
      </c>
    </row>
    <row r="126">
      <c r="A126" s="7" t="n">
        <v>5</v>
      </c>
      <c r="B126" s="8">
        <f>B9</f>
        <v/>
      </c>
      <c r="C126" s="8">
        <f>C9</f>
        <v/>
      </c>
      <c r="D126" s="14" t="n"/>
      <c r="E126" s="14" t="n"/>
      <c r="F126" s="8">
        <f>D126+E126</f>
        <v/>
      </c>
      <c r="G126" s="14" t="n"/>
      <c r="H126" s="14" t="n"/>
      <c r="I126" s="8">
        <f>G126+H126</f>
        <v/>
      </c>
      <c r="J126" s="8">
        <f>D126+G126</f>
        <v/>
      </c>
      <c r="K126" s="8">
        <f>E126+H126</f>
        <v/>
      </c>
      <c r="L126" s="8">
        <f>J126+K126</f>
        <v/>
      </c>
      <c r="M126" s="9">
        <f>IF(C126=0,0,L126/C126*100)</f>
        <v/>
      </c>
    </row>
    <row r="127">
      <c r="A127" s="7" t="n">
        <v>6</v>
      </c>
      <c r="B127" s="8">
        <f>B10</f>
        <v/>
      </c>
      <c r="C127" s="8">
        <f>C10</f>
        <v/>
      </c>
      <c r="D127" s="14" t="n"/>
      <c r="E127" s="14" t="n"/>
      <c r="F127" s="8">
        <f>D127+E127</f>
        <v/>
      </c>
      <c r="G127" s="14" t="n"/>
      <c r="H127" s="14" t="n"/>
      <c r="I127" s="8">
        <f>G127+H127</f>
        <v/>
      </c>
      <c r="J127" s="8">
        <f>D127+G127</f>
        <v/>
      </c>
      <c r="K127" s="8">
        <f>E127+H127</f>
        <v/>
      </c>
      <c r="L127" s="8">
        <f>J127+K127</f>
        <v/>
      </c>
      <c r="M127" s="9">
        <f>IF(C127=0,0,L127/C127*100)</f>
        <v/>
      </c>
    </row>
    <row r="128">
      <c r="A128" s="7" t="n">
        <v>7</v>
      </c>
      <c r="B128" s="8">
        <f>B11</f>
        <v/>
      </c>
      <c r="C128" s="8">
        <f>C11</f>
        <v/>
      </c>
      <c r="D128" s="14" t="n"/>
      <c r="E128" s="14" t="n"/>
      <c r="F128" s="8">
        <f>D128+E128</f>
        <v/>
      </c>
      <c r="G128" s="14" t="n"/>
      <c r="H128" s="14" t="n"/>
      <c r="I128" s="8">
        <f>G128+H128</f>
        <v/>
      </c>
      <c r="J128" s="8">
        <f>D128+G128</f>
        <v/>
      </c>
      <c r="K128" s="8">
        <f>E128+H128</f>
        <v/>
      </c>
      <c r="L128" s="8">
        <f>J128+K128</f>
        <v/>
      </c>
      <c r="M128" s="9">
        <f>IF(C128=0,0,L128/C128*100)</f>
        <v/>
      </c>
    </row>
    <row r="129">
      <c r="A129" s="10" t="inlineStr">
        <is>
          <t>Total</t>
        </is>
      </c>
      <c r="B129" s="11">
        <f>SUM(B122:B128)</f>
        <v/>
      </c>
      <c r="C129" s="11">
        <f>SUM(C122:C128)</f>
        <v/>
      </c>
      <c r="D129" s="11">
        <f>SUM(D122:D128)</f>
        <v/>
      </c>
      <c r="E129" s="11">
        <f>SUM(E122:E128)</f>
        <v/>
      </c>
      <c r="F129" s="11">
        <f>D129+E129</f>
        <v/>
      </c>
      <c r="G129" s="11">
        <f>SUM(G122:G128)</f>
        <v/>
      </c>
      <c r="H129" s="11">
        <f>SUM(H122:H128)</f>
        <v/>
      </c>
      <c r="I129" s="11">
        <f>G129+H129</f>
        <v/>
      </c>
      <c r="J129" s="11">
        <f>D129+G129</f>
        <v/>
      </c>
      <c r="K129" s="11">
        <f>E129+H129</f>
        <v/>
      </c>
      <c r="L129" s="11">
        <f>J129+K129</f>
        <v/>
      </c>
      <c r="M129" s="12">
        <f>IF(C129=0,0,L129/C129*100)</f>
        <v/>
      </c>
    </row>
    <row r="131">
      <c r="A131" s="13" t="inlineStr">
        <is>
          <t>Day 10 - 2026-10-14 (Wed 28 Aswin 2083)</t>
        </is>
      </c>
    </row>
    <row r="132">
      <c r="A132" s="6" t="inlineStr">
        <is>
          <t>Ward no.</t>
        </is>
      </c>
      <c r="B132" s="6" t="inlineStr">
        <is>
          <t>Total population</t>
        </is>
      </c>
      <c r="C132" s="6" t="inlineStr">
        <is>
          <t>JE target population</t>
        </is>
      </c>
      <c r="D132" s="6" t="inlineStr">
        <is>
          <t>Vaccinated</t>
        </is>
      </c>
      <c r="E132" s="6" t="n"/>
      <c r="F132" s="6" t="n"/>
      <c r="G132" s="6" t="n"/>
      <c r="H132" s="6" t="n"/>
      <c r="I132" s="6" t="n"/>
      <c r="J132" s="6" t="n"/>
      <c r="K132" s="6" t="n"/>
      <c r="L132" s="6" t="n"/>
      <c r="M132" s="6" t="inlineStr">
        <is>
          <t>Progress %</t>
        </is>
      </c>
    </row>
    <row r="133">
      <c r="A133" s="6" t="n"/>
      <c r="B133" s="6" t="n"/>
      <c r="C133" s="6" t="n"/>
      <c r="D133" s="6" t="inlineStr">
        <is>
          <t>Age 30-60 yrs</t>
        </is>
      </c>
      <c r="E133" s="6" t="n"/>
      <c r="F133" s="6" t="n"/>
      <c r="G133" s="6" t="inlineStr">
        <is>
          <t>Age 60 above</t>
        </is>
      </c>
      <c r="H133" s="6" t="n"/>
      <c r="I133" s="6" t="n"/>
      <c r="J133" s="6" t="inlineStr">
        <is>
          <t>Total</t>
        </is>
      </c>
      <c r="K133" s="6" t="n"/>
      <c r="L133" s="6" t="inlineStr">
        <is>
          <t>Grand Total</t>
        </is>
      </c>
      <c r="M133" s="6" t="n"/>
    </row>
    <row r="134">
      <c r="A134" s="6" t="n"/>
      <c r="B134" s="6" t="n"/>
      <c r="C134" s="6" t="n"/>
      <c r="D134" s="6" t="inlineStr">
        <is>
          <t>F</t>
        </is>
      </c>
      <c r="E134" s="6" t="inlineStr">
        <is>
          <t>M</t>
        </is>
      </c>
      <c r="F134" s="6" t="inlineStr">
        <is>
          <t>Total</t>
        </is>
      </c>
      <c r="G134" s="6" t="inlineStr">
        <is>
          <t>F</t>
        </is>
      </c>
      <c r="H134" s="6" t="inlineStr">
        <is>
          <t>M</t>
        </is>
      </c>
      <c r="I134" s="6" t="inlineStr">
        <is>
          <t>Total</t>
        </is>
      </c>
      <c r="J134" s="6" t="inlineStr">
        <is>
          <t>F</t>
        </is>
      </c>
      <c r="K134" s="6" t="inlineStr">
        <is>
          <t>M</t>
        </is>
      </c>
      <c r="L134" s="6" t="n"/>
      <c r="M134" s="6" t="n"/>
    </row>
    <row r="135">
      <c r="A135" s="7" t="n">
        <v>1</v>
      </c>
      <c r="B135" s="8">
        <f>B5</f>
        <v/>
      </c>
      <c r="C135" s="8">
        <f>C5</f>
        <v/>
      </c>
      <c r="D135" s="14" t="n"/>
      <c r="E135" s="14" t="n"/>
      <c r="F135" s="8">
        <f>D135+E135</f>
        <v/>
      </c>
      <c r="G135" s="14" t="n"/>
      <c r="H135" s="14" t="n"/>
      <c r="I135" s="8">
        <f>G135+H135</f>
        <v/>
      </c>
      <c r="J135" s="8">
        <f>D135+G135</f>
        <v/>
      </c>
      <c r="K135" s="8">
        <f>E135+H135</f>
        <v/>
      </c>
      <c r="L135" s="8">
        <f>J135+K135</f>
        <v/>
      </c>
      <c r="M135" s="9">
        <f>IF(C135=0,0,L135/C135*100)</f>
        <v/>
      </c>
    </row>
    <row r="136">
      <c r="A136" s="7" t="n">
        <v>2</v>
      </c>
      <c r="B136" s="8">
        <f>B6</f>
        <v/>
      </c>
      <c r="C136" s="8">
        <f>C6</f>
        <v/>
      </c>
      <c r="D136" s="14" t="n"/>
      <c r="E136" s="14" t="n"/>
      <c r="F136" s="8">
        <f>D136+E136</f>
        <v/>
      </c>
      <c r="G136" s="14" t="n"/>
      <c r="H136" s="14" t="n"/>
      <c r="I136" s="8">
        <f>G136+H136</f>
        <v/>
      </c>
      <c r="J136" s="8">
        <f>D136+G136</f>
        <v/>
      </c>
      <c r="K136" s="8">
        <f>E136+H136</f>
        <v/>
      </c>
      <c r="L136" s="8">
        <f>J136+K136</f>
        <v/>
      </c>
      <c r="M136" s="9">
        <f>IF(C136=0,0,L136/C136*100)</f>
        <v/>
      </c>
    </row>
    <row r="137">
      <c r="A137" s="7" t="n">
        <v>3</v>
      </c>
      <c r="B137" s="8">
        <f>B7</f>
        <v/>
      </c>
      <c r="C137" s="8">
        <f>C7</f>
        <v/>
      </c>
      <c r="D137" s="14" t="n"/>
      <c r="E137" s="14" t="n"/>
      <c r="F137" s="8">
        <f>D137+E137</f>
        <v/>
      </c>
      <c r="G137" s="14" t="n"/>
      <c r="H137" s="14" t="n"/>
      <c r="I137" s="8">
        <f>G137+H137</f>
        <v/>
      </c>
      <c r="J137" s="8">
        <f>D137+G137</f>
        <v/>
      </c>
      <c r="K137" s="8">
        <f>E137+H137</f>
        <v/>
      </c>
      <c r="L137" s="8">
        <f>J137+K137</f>
        <v/>
      </c>
      <c r="M137" s="9">
        <f>IF(C137=0,0,L137/C137*100)</f>
        <v/>
      </c>
    </row>
    <row r="138">
      <c r="A138" s="7" t="n">
        <v>4</v>
      </c>
      <c r="B138" s="8">
        <f>B8</f>
        <v/>
      </c>
      <c r="C138" s="8">
        <f>C8</f>
        <v/>
      </c>
      <c r="D138" s="14" t="n"/>
      <c r="E138" s="14" t="n"/>
      <c r="F138" s="8">
        <f>D138+E138</f>
        <v/>
      </c>
      <c r="G138" s="14" t="n"/>
      <c r="H138" s="14" t="n"/>
      <c r="I138" s="8">
        <f>G138+H138</f>
        <v/>
      </c>
      <c r="J138" s="8">
        <f>D138+G138</f>
        <v/>
      </c>
      <c r="K138" s="8">
        <f>E138+H138</f>
        <v/>
      </c>
      <c r="L138" s="8">
        <f>J138+K138</f>
        <v/>
      </c>
      <c r="M138" s="9">
        <f>IF(C138=0,0,L138/C138*100)</f>
        <v/>
      </c>
    </row>
    <row r="139">
      <c r="A139" s="7" t="n">
        <v>5</v>
      </c>
      <c r="B139" s="8">
        <f>B9</f>
        <v/>
      </c>
      <c r="C139" s="8">
        <f>C9</f>
        <v/>
      </c>
      <c r="D139" s="14" t="n"/>
      <c r="E139" s="14" t="n"/>
      <c r="F139" s="8">
        <f>D139+E139</f>
        <v/>
      </c>
      <c r="G139" s="14" t="n"/>
      <c r="H139" s="14" t="n"/>
      <c r="I139" s="8">
        <f>G139+H139</f>
        <v/>
      </c>
      <c r="J139" s="8">
        <f>D139+G139</f>
        <v/>
      </c>
      <c r="K139" s="8">
        <f>E139+H139</f>
        <v/>
      </c>
      <c r="L139" s="8">
        <f>J139+K139</f>
        <v/>
      </c>
      <c r="M139" s="9">
        <f>IF(C139=0,0,L139/C139*100)</f>
        <v/>
      </c>
    </row>
    <row r="140">
      <c r="A140" s="7" t="n">
        <v>6</v>
      </c>
      <c r="B140" s="8">
        <f>B10</f>
        <v/>
      </c>
      <c r="C140" s="8">
        <f>C10</f>
        <v/>
      </c>
      <c r="D140" s="14" t="n"/>
      <c r="E140" s="14" t="n"/>
      <c r="F140" s="8">
        <f>D140+E140</f>
        <v/>
      </c>
      <c r="G140" s="14" t="n"/>
      <c r="H140" s="14" t="n"/>
      <c r="I140" s="8">
        <f>G140+H140</f>
        <v/>
      </c>
      <c r="J140" s="8">
        <f>D140+G140</f>
        <v/>
      </c>
      <c r="K140" s="8">
        <f>E140+H140</f>
        <v/>
      </c>
      <c r="L140" s="8">
        <f>J140+K140</f>
        <v/>
      </c>
      <c r="M140" s="9">
        <f>IF(C140=0,0,L140/C140*100)</f>
        <v/>
      </c>
    </row>
    <row r="141">
      <c r="A141" s="7" t="n">
        <v>7</v>
      </c>
      <c r="B141" s="8">
        <f>B11</f>
        <v/>
      </c>
      <c r="C141" s="8">
        <f>C11</f>
        <v/>
      </c>
      <c r="D141" s="14" t="n"/>
      <c r="E141" s="14" t="n"/>
      <c r="F141" s="8">
        <f>D141+E141</f>
        <v/>
      </c>
      <c r="G141" s="14" t="n"/>
      <c r="H141" s="14" t="n"/>
      <c r="I141" s="8">
        <f>G141+H141</f>
        <v/>
      </c>
      <c r="J141" s="8">
        <f>D141+G141</f>
        <v/>
      </c>
      <c r="K141" s="8">
        <f>E141+H141</f>
        <v/>
      </c>
      <c r="L141" s="8">
        <f>J141+K141</f>
        <v/>
      </c>
      <c r="M141" s="9">
        <f>IF(C141=0,0,L141/C141*100)</f>
        <v/>
      </c>
    </row>
    <row r="142">
      <c r="A142" s="10" t="inlineStr">
        <is>
          <t>Total</t>
        </is>
      </c>
      <c r="B142" s="11">
        <f>SUM(B135:B141)</f>
        <v/>
      </c>
      <c r="C142" s="11">
        <f>SUM(C135:C141)</f>
        <v/>
      </c>
      <c r="D142" s="11">
        <f>SUM(D135:D141)</f>
        <v/>
      </c>
      <c r="E142" s="11">
        <f>SUM(E135:E141)</f>
        <v/>
      </c>
      <c r="F142" s="11">
        <f>D142+E142</f>
        <v/>
      </c>
      <c r="G142" s="11">
        <f>SUM(G135:G141)</f>
        <v/>
      </c>
      <c r="H142" s="11">
        <f>SUM(H135:H141)</f>
        <v/>
      </c>
      <c r="I142" s="11">
        <f>G142+H142</f>
        <v/>
      </c>
      <c r="J142" s="11">
        <f>D142+G142</f>
        <v/>
      </c>
      <c r="K142" s="11">
        <f>E142+H142</f>
        <v/>
      </c>
      <c r="L142" s="11">
        <f>J142+K142</f>
        <v/>
      </c>
      <c r="M142" s="12">
        <f>IF(C142=0,0,L142/C142*100)</f>
        <v/>
      </c>
    </row>
    <row r="144">
      <c r="A144" s="13" t="inlineStr">
        <is>
          <t>Day 11 - 2026-10-15 (Thu 29 Aswin 2083)</t>
        </is>
      </c>
    </row>
    <row r="145">
      <c r="A145" s="6" t="inlineStr">
        <is>
          <t>Ward no.</t>
        </is>
      </c>
      <c r="B145" s="6" t="inlineStr">
        <is>
          <t>Total population</t>
        </is>
      </c>
      <c r="C145" s="6" t="inlineStr">
        <is>
          <t>JE target population</t>
        </is>
      </c>
      <c r="D145" s="6" t="inlineStr">
        <is>
          <t>Vaccinated</t>
        </is>
      </c>
      <c r="E145" s="6" t="n"/>
      <c r="F145" s="6" t="n"/>
      <c r="G145" s="6" t="n"/>
      <c r="H145" s="6" t="n"/>
      <c r="I145" s="6" t="n"/>
      <c r="J145" s="6" t="n"/>
      <c r="K145" s="6" t="n"/>
      <c r="L145" s="6" t="n"/>
      <c r="M145" s="6" t="inlineStr">
        <is>
          <t>Progress %</t>
        </is>
      </c>
    </row>
    <row r="146">
      <c r="A146" s="6" t="n"/>
      <c r="B146" s="6" t="n"/>
      <c r="C146" s="6" t="n"/>
      <c r="D146" s="6" t="inlineStr">
        <is>
          <t>Age 30-60 yrs</t>
        </is>
      </c>
      <c r="E146" s="6" t="n"/>
      <c r="F146" s="6" t="n"/>
      <c r="G146" s="6" t="inlineStr">
        <is>
          <t>Age 60 above</t>
        </is>
      </c>
      <c r="H146" s="6" t="n"/>
      <c r="I146" s="6" t="n"/>
      <c r="J146" s="6" t="inlineStr">
        <is>
          <t>Total</t>
        </is>
      </c>
      <c r="K146" s="6" t="n"/>
      <c r="L146" s="6" t="inlineStr">
        <is>
          <t>Grand Total</t>
        </is>
      </c>
      <c r="M146" s="6" t="n"/>
    </row>
    <row r="147">
      <c r="A147" s="6" t="n"/>
      <c r="B147" s="6" t="n"/>
      <c r="C147" s="6" t="n"/>
      <c r="D147" s="6" t="inlineStr">
        <is>
          <t>F</t>
        </is>
      </c>
      <c r="E147" s="6" t="inlineStr">
        <is>
          <t>M</t>
        </is>
      </c>
      <c r="F147" s="6" t="inlineStr">
        <is>
          <t>Total</t>
        </is>
      </c>
      <c r="G147" s="6" t="inlineStr">
        <is>
          <t>F</t>
        </is>
      </c>
      <c r="H147" s="6" t="inlineStr">
        <is>
          <t>M</t>
        </is>
      </c>
      <c r="I147" s="6" t="inlineStr">
        <is>
          <t>Total</t>
        </is>
      </c>
      <c r="J147" s="6" t="inlineStr">
        <is>
          <t>F</t>
        </is>
      </c>
      <c r="K147" s="6" t="inlineStr">
        <is>
          <t>M</t>
        </is>
      </c>
      <c r="L147" s="6" t="n"/>
      <c r="M147" s="6" t="n"/>
    </row>
    <row r="148">
      <c r="A148" s="7" t="n">
        <v>1</v>
      </c>
      <c r="B148" s="8">
        <f>B5</f>
        <v/>
      </c>
      <c r="C148" s="8">
        <f>C5</f>
        <v/>
      </c>
      <c r="D148" s="14" t="n"/>
      <c r="E148" s="14" t="n"/>
      <c r="F148" s="8">
        <f>D148+E148</f>
        <v/>
      </c>
      <c r="G148" s="14" t="n"/>
      <c r="H148" s="14" t="n"/>
      <c r="I148" s="8">
        <f>G148+H148</f>
        <v/>
      </c>
      <c r="J148" s="8">
        <f>D148+G148</f>
        <v/>
      </c>
      <c r="K148" s="8">
        <f>E148+H148</f>
        <v/>
      </c>
      <c r="L148" s="8">
        <f>J148+K148</f>
        <v/>
      </c>
      <c r="M148" s="9">
        <f>IF(C148=0,0,L148/C148*100)</f>
        <v/>
      </c>
    </row>
    <row r="149">
      <c r="A149" s="7" t="n">
        <v>2</v>
      </c>
      <c r="B149" s="8">
        <f>B6</f>
        <v/>
      </c>
      <c r="C149" s="8">
        <f>C6</f>
        <v/>
      </c>
      <c r="D149" s="14" t="n"/>
      <c r="E149" s="14" t="n"/>
      <c r="F149" s="8">
        <f>D149+E149</f>
        <v/>
      </c>
      <c r="G149" s="14" t="n"/>
      <c r="H149" s="14" t="n"/>
      <c r="I149" s="8">
        <f>G149+H149</f>
        <v/>
      </c>
      <c r="J149" s="8">
        <f>D149+G149</f>
        <v/>
      </c>
      <c r="K149" s="8">
        <f>E149+H149</f>
        <v/>
      </c>
      <c r="L149" s="8">
        <f>J149+K149</f>
        <v/>
      </c>
      <c r="M149" s="9">
        <f>IF(C149=0,0,L149/C149*100)</f>
        <v/>
      </c>
    </row>
    <row r="150">
      <c r="A150" s="7" t="n">
        <v>3</v>
      </c>
      <c r="B150" s="8">
        <f>B7</f>
        <v/>
      </c>
      <c r="C150" s="8">
        <f>C7</f>
        <v/>
      </c>
      <c r="D150" s="14" t="n"/>
      <c r="E150" s="14" t="n"/>
      <c r="F150" s="8">
        <f>D150+E150</f>
        <v/>
      </c>
      <c r="G150" s="14" t="n"/>
      <c r="H150" s="14" t="n"/>
      <c r="I150" s="8">
        <f>G150+H150</f>
        <v/>
      </c>
      <c r="J150" s="8">
        <f>D150+G150</f>
        <v/>
      </c>
      <c r="K150" s="8">
        <f>E150+H150</f>
        <v/>
      </c>
      <c r="L150" s="8">
        <f>J150+K150</f>
        <v/>
      </c>
      <c r="M150" s="9">
        <f>IF(C150=0,0,L150/C150*100)</f>
        <v/>
      </c>
    </row>
    <row r="151">
      <c r="A151" s="7" t="n">
        <v>4</v>
      </c>
      <c r="B151" s="8">
        <f>B8</f>
        <v/>
      </c>
      <c r="C151" s="8">
        <f>C8</f>
        <v/>
      </c>
      <c r="D151" s="14" t="n"/>
      <c r="E151" s="14" t="n"/>
      <c r="F151" s="8">
        <f>D151+E151</f>
        <v/>
      </c>
      <c r="G151" s="14" t="n"/>
      <c r="H151" s="14" t="n"/>
      <c r="I151" s="8">
        <f>G151+H151</f>
        <v/>
      </c>
      <c r="J151" s="8">
        <f>D151+G151</f>
        <v/>
      </c>
      <c r="K151" s="8">
        <f>E151+H151</f>
        <v/>
      </c>
      <c r="L151" s="8">
        <f>J151+K151</f>
        <v/>
      </c>
      <c r="M151" s="9">
        <f>IF(C151=0,0,L151/C151*100)</f>
        <v/>
      </c>
    </row>
    <row r="152">
      <c r="A152" s="7" t="n">
        <v>5</v>
      </c>
      <c r="B152" s="8">
        <f>B9</f>
        <v/>
      </c>
      <c r="C152" s="8">
        <f>C9</f>
        <v/>
      </c>
      <c r="D152" s="14" t="n"/>
      <c r="E152" s="14" t="n"/>
      <c r="F152" s="8">
        <f>D152+E152</f>
        <v/>
      </c>
      <c r="G152" s="14" t="n"/>
      <c r="H152" s="14" t="n"/>
      <c r="I152" s="8">
        <f>G152+H152</f>
        <v/>
      </c>
      <c r="J152" s="8">
        <f>D152+G152</f>
        <v/>
      </c>
      <c r="K152" s="8">
        <f>E152+H152</f>
        <v/>
      </c>
      <c r="L152" s="8">
        <f>J152+K152</f>
        <v/>
      </c>
      <c r="M152" s="9">
        <f>IF(C152=0,0,L152/C152*100)</f>
        <v/>
      </c>
    </row>
    <row r="153">
      <c r="A153" s="7" t="n">
        <v>6</v>
      </c>
      <c r="B153" s="8">
        <f>B10</f>
        <v/>
      </c>
      <c r="C153" s="8">
        <f>C10</f>
        <v/>
      </c>
      <c r="D153" s="14" t="n"/>
      <c r="E153" s="14" t="n"/>
      <c r="F153" s="8">
        <f>D153+E153</f>
        <v/>
      </c>
      <c r="G153" s="14" t="n"/>
      <c r="H153" s="14" t="n"/>
      <c r="I153" s="8">
        <f>G153+H153</f>
        <v/>
      </c>
      <c r="J153" s="8">
        <f>D153+G153</f>
        <v/>
      </c>
      <c r="K153" s="8">
        <f>E153+H153</f>
        <v/>
      </c>
      <c r="L153" s="8">
        <f>J153+K153</f>
        <v/>
      </c>
      <c r="M153" s="9">
        <f>IF(C153=0,0,L153/C153*100)</f>
        <v/>
      </c>
    </row>
    <row r="154">
      <c r="A154" s="7" t="n">
        <v>7</v>
      </c>
      <c r="B154" s="8">
        <f>B11</f>
        <v/>
      </c>
      <c r="C154" s="8">
        <f>C11</f>
        <v/>
      </c>
      <c r="D154" s="14" t="n"/>
      <c r="E154" s="14" t="n"/>
      <c r="F154" s="8">
        <f>D154+E154</f>
        <v/>
      </c>
      <c r="G154" s="14" t="n"/>
      <c r="H154" s="14" t="n"/>
      <c r="I154" s="8">
        <f>G154+H154</f>
        <v/>
      </c>
      <c r="J154" s="8">
        <f>D154+G154</f>
        <v/>
      </c>
      <c r="K154" s="8">
        <f>E154+H154</f>
        <v/>
      </c>
      <c r="L154" s="8">
        <f>J154+K154</f>
        <v/>
      </c>
      <c r="M154" s="9">
        <f>IF(C154=0,0,L154/C154*100)</f>
        <v/>
      </c>
    </row>
    <row r="155">
      <c r="A155" s="10" t="inlineStr">
        <is>
          <t>Total</t>
        </is>
      </c>
      <c r="B155" s="11">
        <f>SUM(B148:B154)</f>
        <v/>
      </c>
      <c r="C155" s="11">
        <f>SUM(C148:C154)</f>
        <v/>
      </c>
      <c r="D155" s="11">
        <f>SUM(D148:D154)</f>
        <v/>
      </c>
      <c r="E155" s="11">
        <f>SUM(E148:E154)</f>
        <v/>
      </c>
      <c r="F155" s="11">
        <f>D155+E155</f>
        <v/>
      </c>
      <c r="G155" s="11">
        <f>SUM(G148:G154)</f>
        <v/>
      </c>
      <c r="H155" s="11">
        <f>SUM(H148:H154)</f>
        <v/>
      </c>
      <c r="I155" s="11">
        <f>G155+H155</f>
        <v/>
      </c>
      <c r="J155" s="11">
        <f>D155+G155</f>
        <v/>
      </c>
      <c r="K155" s="11">
        <f>E155+H155</f>
        <v/>
      </c>
      <c r="L155" s="11">
        <f>J155+K155</f>
        <v/>
      </c>
      <c r="M155" s="12">
        <f>IF(C155=0,0,L155/C155*100)</f>
        <v/>
      </c>
    </row>
    <row r="157">
      <c r="A157" s="13" t="inlineStr">
        <is>
          <t>Day 12 - 2026-10-16 (Fri 30 Aswin 2083)</t>
        </is>
      </c>
    </row>
    <row r="158">
      <c r="A158" s="6" t="inlineStr">
        <is>
          <t>Ward no.</t>
        </is>
      </c>
      <c r="B158" s="6" t="inlineStr">
        <is>
          <t>Total population</t>
        </is>
      </c>
      <c r="C158" s="6" t="inlineStr">
        <is>
          <t>JE target population</t>
        </is>
      </c>
      <c r="D158" s="6" t="inlineStr">
        <is>
          <t>Vaccinated</t>
        </is>
      </c>
      <c r="E158" s="6" t="n"/>
      <c r="F158" s="6" t="n"/>
      <c r="G158" s="6" t="n"/>
      <c r="H158" s="6" t="n"/>
      <c r="I158" s="6" t="n"/>
      <c r="J158" s="6" t="n"/>
      <c r="K158" s="6" t="n"/>
      <c r="L158" s="6" t="n"/>
      <c r="M158" s="6" t="inlineStr">
        <is>
          <t>Progress %</t>
        </is>
      </c>
    </row>
    <row r="159">
      <c r="A159" s="6" t="n"/>
      <c r="B159" s="6" t="n"/>
      <c r="C159" s="6" t="n"/>
      <c r="D159" s="6" t="inlineStr">
        <is>
          <t>Age 30-60 yrs</t>
        </is>
      </c>
      <c r="E159" s="6" t="n"/>
      <c r="F159" s="6" t="n"/>
      <c r="G159" s="6" t="inlineStr">
        <is>
          <t>Age 60 above</t>
        </is>
      </c>
      <c r="H159" s="6" t="n"/>
      <c r="I159" s="6" t="n"/>
      <c r="J159" s="6" t="inlineStr">
        <is>
          <t>Total</t>
        </is>
      </c>
      <c r="K159" s="6" t="n"/>
      <c r="L159" s="6" t="inlineStr">
        <is>
          <t>Grand Total</t>
        </is>
      </c>
      <c r="M159" s="6" t="n"/>
    </row>
    <row r="160">
      <c r="A160" s="6" t="n"/>
      <c r="B160" s="6" t="n"/>
      <c r="C160" s="6" t="n"/>
      <c r="D160" s="6" t="inlineStr">
        <is>
          <t>F</t>
        </is>
      </c>
      <c r="E160" s="6" t="inlineStr">
        <is>
          <t>M</t>
        </is>
      </c>
      <c r="F160" s="6" t="inlineStr">
        <is>
          <t>Total</t>
        </is>
      </c>
      <c r="G160" s="6" t="inlineStr">
        <is>
          <t>F</t>
        </is>
      </c>
      <c r="H160" s="6" t="inlineStr">
        <is>
          <t>M</t>
        </is>
      </c>
      <c r="I160" s="6" t="inlineStr">
        <is>
          <t>Total</t>
        </is>
      </c>
      <c r="J160" s="6" t="inlineStr">
        <is>
          <t>F</t>
        </is>
      </c>
      <c r="K160" s="6" t="inlineStr">
        <is>
          <t>M</t>
        </is>
      </c>
      <c r="L160" s="6" t="n"/>
      <c r="M160" s="6" t="n"/>
    </row>
    <row r="161">
      <c r="A161" s="7" t="n">
        <v>1</v>
      </c>
      <c r="B161" s="8">
        <f>B5</f>
        <v/>
      </c>
      <c r="C161" s="8">
        <f>C5</f>
        <v/>
      </c>
      <c r="D161" s="14" t="n"/>
      <c r="E161" s="14" t="n"/>
      <c r="F161" s="8">
        <f>D161+E161</f>
        <v/>
      </c>
      <c r="G161" s="14" t="n"/>
      <c r="H161" s="14" t="n"/>
      <c r="I161" s="8">
        <f>G161+H161</f>
        <v/>
      </c>
      <c r="J161" s="8">
        <f>D161+G161</f>
        <v/>
      </c>
      <c r="K161" s="8">
        <f>E161+H161</f>
        <v/>
      </c>
      <c r="L161" s="8">
        <f>J161+K161</f>
        <v/>
      </c>
      <c r="M161" s="9">
        <f>IF(C161=0,0,L161/C161*100)</f>
        <v/>
      </c>
    </row>
    <row r="162">
      <c r="A162" s="7" t="n">
        <v>2</v>
      </c>
      <c r="B162" s="8">
        <f>B6</f>
        <v/>
      </c>
      <c r="C162" s="8">
        <f>C6</f>
        <v/>
      </c>
      <c r="D162" s="14" t="n"/>
      <c r="E162" s="14" t="n"/>
      <c r="F162" s="8">
        <f>D162+E162</f>
        <v/>
      </c>
      <c r="G162" s="14" t="n"/>
      <c r="H162" s="14" t="n"/>
      <c r="I162" s="8">
        <f>G162+H162</f>
        <v/>
      </c>
      <c r="J162" s="8">
        <f>D162+G162</f>
        <v/>
      </c>
      <c r="K162" s="8">
        <f>E162+H162</f>
        <v/>
      </c>
      <c r="L162" s="8">
        <f>J162+K162</f>
        <v/>
      </c>
      <c r="M162" s="9">
        <f>IF(C162=0,0,L162/C162*100)</f>
        <v/>
      </c>
    </row>
    <row r="163">
      <c r="A163" s="7" t="n">
        <v>3</v>
      </c>
      <c r="B163" s="8">
        <f>B7</f>
        <v/>
      </c>
      <c r="C163" s="8">
        <f>C7</f>
        <v/>
      </c>
      <c r="D163" s="14" t="n"/>
      <c r="E163" s="14" t="n"/>
      <c r="F163" s="8">
        <f>D163+E163</f>
        <v/>
      </c>
      <c r="G163" s="14" t="n"/>
      <c r="H163" s="14" t="n"/>
      <c r="I163" s="8">
        <f>G163+H163</f>
        <v/>
      </c>
      <c r="J163" s="8">
        <f>D163+G163</f>
        <v/>
      </c>
      <c r="K163" s="8">
        <f>E163+H163</f>
        <v/>
      </c>
      <c r="L163" s="8">
        <f>J163+K163</f>
        <v/>
      </c>
      <c r="M163" s="9">
        <f>IF(C163=0,0,L163/C163*100)</f>
        <v/>
      </c>
    </row>
    <row r="164">
      <c r="A164" s="7" t="n">
        <v>4</v>
      </c>
      <c r="B164" s="8">
        <f>B8</f>
        <v/>
      </c>
      <c r="C164" s="8">
        <f>C8</f>
        <v/>
      </c>
      <c r="D164" s="14" t="n"/>
      <c r="E164" s="14" t="n"/>
      <c r="F164" s="8">
        <f>D164+E164</f>
        <v/>
      </c>
      <c r="G164" s="14" t="n"/>
      <c r="H164" s="14" t="n"/>
      <c r="I164" s="8">
        <f>G164+H164</f>
        <v/>
      </c>
      <c r="J164" s="8">
        <f>D164+G164</f>
        <v/>
      </c>
      <c r="K164" s="8">
        <f>E164+H164</f>
        <v/>
      </c>
      <c r="L164" s="8">
        <f>J164+K164</f>
        <v/>
      </c>
      <c r="M164" s="9">
        <f>IF(C164=0,0,L164/C164*100)</f>
        <v/>
      </c>
    </row>
    <row r="165">
      <c r="A165" s="7" t="n">
        <v>5</v>
      </c>
      <c r="B165" s="8">
        <f>B9</f>
        <v/>
      </c>
      <c r="C165" s="8">
        <f>C9</f>
        <v/>
      </c>
      <c r="D165" s="14" t="n"/>
      <c r="E165" s="14" t="n"/>
      <c r="F165" s="8">
        <f>D165+E165</f>
        <v/>
      </c>
      <c r="G165" s="14" t="n"/>
      <c r="H165" s="14" t="n"/>
      <c r="I165" s="8">
        <f>G165+H165</f>
        <v/>
      </c>
      <c r="J165" s="8">
        <f>D165+G165</f>
        <v/>
      </c>
      <c r="K165" s="8">
        <f>E165+H165</f>
        <v/>
      </c>
      <c r="L165" s="8">
        <f>J165+K165</f>
        <v/>
      </c>
      <c r="M165" s="9">
        <f>IF(C165=0,0,L165/C165*100)</f>
        <v/>
      </c>
    </row>
    <row r="166">
      <c r="A166" s="7" t="n">
        <v>6</v>
      </c>
      <c r="B166" s="8">
        <f>B10</f>
        <v/>
      </c>
      <c r="C166" s="8">
        <f>C10</f>
        <v/>
      </c>
      <c r="D166" s="14" t="n"/>
      <c r="E166" s="14" t="n"/>
      <c r="F166" s="8">
        <f>D166+E166</f>
        <v/>
      </c>
      <c r="G166" s="14" t="n"/>
      <c r="H166" s="14" t="n"/>
      <c r="I166" s="8">
        <f>G166+H166</f>
        <v/>
      </c>
      <c r="J166" s="8">
        <f>D166+G166</f>
        <v/>
      </c>
      <c r="K166" s="8">
        <f>E166+H166</f>
        <v/>
      </c>
      <c r="L166" s="8">
        <f>J166+K166</f>
        <v/>
      </c>
      <c r="M166" s="9">
        <f>IF(C166=0,0,L166/C166*100)</f>
        <v/>
      </c>
    </row>
    <row r="167">
      <c r="A167" s="7" t="n">
        <v>7</v>
      </c>
      <c r="B167" s="8">
        <f>B11</f>
        <v/>
      </c>
      <c r="C167" s="8">
        <f>C11</f>
        <v/>
      </c>
      <c r="D167" s="14" t="n"/>
      <c r="E167" s="14" t="n"/>
      <c r="F167" s="8">
        <f>D167+E167</f>
        <v/>
      </c>
      <c r="G167" s="14" t="n"/>
      <c r="H167" s="14" t="n"/>
      <c r="I167" s="8">
        <f>G167+H167</f>
        <v/>
      </c>
      <c r="J167" s="8">
        <f>D167+G167</f>
        <v/>
      </c>
      <c r="K167" s="8">
        <f>E167+H167</f>
        <v/>
      </c>
      <c r="L167" s="8">
        <f>J167+K167</f>
        <v/>
      </c>
      <c r="M167" s="9">
        <f>IF(C167=0,0,L167/C167*100)</f>
        <v/>
      </c>
    </row>
    <row r="168">
      <c r="A168" s="10" t="inlineStr">
        <is>
          <t>Total</t>
        </is>
      </c>
      <c r="B168" s="11">
        <f>SUM(B161:B167)</f>
        <v/>
      </c>
      <c r="C168" s="11">
        <f>SUM(C161:C167)</f>
        <v/>
      </c>
      <c r="D168" s="11">
        <f>SUM(D161:D167)</f>
        <v/>
      </c>
      <c r="E168" s="11">
        <f>SUM(E161:E167)</f>
        <v/>
      </c>
      <c r="F168" s="11">
        <f>D168+E168</f>
        <v/>
      </c>
      <c r="G168" s="11">
        <f>SUM(G161:G167)</f>
        <v/>
      </c>
      <c r="H168" s="11">
        <f>SUM(H161:H167)</f>
        <v/>
      </c>
      <c r="I168" s="11">
        <f>G168+H168</f>
        <v/>
      </c>
      <c r="J168" s="11">
        <f>D168+G168</f>
        <v/>
      </c>
      <c r="K168" s="11">
        <f>E168+H168</f>
        <v/>
      </c>
      <c r="L168" s="11">
        <f>J168+K168</f>
        <v/>
      </c>
      <c r="M168" s="12">
        <f>IF(C168=0,0,L168/C168*100)</f>
        <v/>
      </c>
    </row>
    <row r="170">
      <c r="A170" s="13" t="inlineStr">
        <is>
          <t>Day 13 - 2026-10-17 (Sat 31 Aswin 2083)</t>
        </is>
      </c>
    </row>
    <row r="171">
      <c r="A171" s="6" t="inlineStr">
        <is>
          <t>Ward no.</t>
        </is>
      </c>
      <c r="B171" s="6" t="inlineStr">
        <is>
          <t>Total population</t>
        </is>
      </c>
      <c r="C171" s="6" t="inlineStr">
        <is>
          <t>JE target population</t>
        </is>
      </c>
      <c r="D171" s="6" t="inlineStr">
        <is>
          <t>Vaccinated</t>
        </is>
      </c>
      <c r="E171" s="6" t="n"/>
      <c r="F171" s="6" t="n"/>
      <c r="G171" s="6" t="n"/>
      <c r="H171" s="6" t="n"/>
      <c r="I171" s="6" t="n"/>
      <c r="J171" s="6" t="n"/>
      <c r="K171" s="6" t="n"/>
      <c r="L171" s="6" t="n"/>
      <c r="M171" s="6" t="inlineStr">
        <is>
          <t>Progress %</t>
        </is>
      </c>
    </row>
    <row r="172">
      <c r="A172" s="6" t="n"/>
      <c r="B172" s="6" t="n"/>
      <c r="C172" s="6" t="n"/>
      <c r="D172" s="6" t="inlineStr">
        <is>
          <t>Age 30-60 yrs</t>
        </is>
      </c>
      <c r="E172" s="6" t="n"/>
      <c r="F172" s="6" t="n"/>
      <c r="G172" s="6" t="inlineStr">
        <is>
          <t>Age 60 above</t>
        </is>
      </c>
      <c r="H172" s="6" t="n"/>
      <c r="I172" s="6" t="n"/>
      <c r="J172" s="6" t="inlineStr">
        <is>
          <t>Total</t>
        </is>
      </c>
      <c r="K172" s="6" t="n"/>
      <c r="L172" s="6" t="inlineStr">
        <is>
          <t>Grand Total</t>
        </is>
      </c>
      <c r="M172" s="6" t="n"/>
    </row>
    <row r="173">
      <c r="A173" s="6" t="n"/>
      <c r="B173" s="6" t="n"/>
      <c r="C173" s="6" t="n"/>
      <c r="D173" s="6" t="inlineStr">
        <is>
          <t>F</t>
        </is>
      </c>
      <c r="E173" s="6" t="inlineStr">
        <is>
          <t>M</t>
        </is>
      </c>
      <c r="F173" s="6" t="inlineStr">
        <is>
          <t>Total</t>
        </is>
      </c>
      <c r="G173" s="6" t="inlineStr">
        <is>
          <t>F</t>
        </is>
      </c>
      <c r="H173" s="6" t="inlineStr">
        <is>
          <t>M</t>
        </is>
      </c>
      <c r="I173" s="6" t="inlineStr">
        <is>
          <t>Total</t>
        </is>
      </c>
      <c r="J173" s="6" t="inlineStr">
        <is>
          <t>F</t>
        </is>
      </c>
      <c r="K173" s="6" t="inlineStr">
        <is>
          <t>M</t>
        </is>
      </c>
      <c r="L173" s="6" t="n"/>
      <c r="M173" s="6" t="n"/>
    </row>
    <row r="174">
      <c r="A174" s="7" t="n">
        <v>1</v>
      </c>
      <c r="B174" s="8">
        <f>B5</f>
        <v/>
      </c>
      <c r="C174" s="8">
        <f>C5</f>
        <v/>
      </c>
      <c r="D174" s="14" t="n"/>
      <c r="E174" s="14" t="n"/>
      <c r="F174" s="8">
        <f>D174+E174</f>
        <v/>
      </c>
      <c r="G174" s="14" t="n"/>
      <c r="H174" s="14" t="n"/>
      <c r="I174" s="8">
        <f>G174+H174</f>
        <v/>
      </c>
      <c r="J174" s="8">
        <f>D174+G174</f>
        <v/>
      </c>
      <c r="K174" s="8">
        <f>E174+H174</f>
        <v/>
      </c>
      <c r="L174" s="8">
        <f>J174+K174</f>
        <v/>
      </c>
      <c r="M174" s="9">
        <f>IF(C174=0,0,L174/C174*100)</f>
        <v/>
      </c>
    </row>
    <row r="175">
      <c r="A175" s="7" t="n">
        <v>2</v>
      </c>
      <c r="B175" s="8">
        <f>B6</f>
        <v/>
      </c>
      <c r="C175" s="8">
        <f>C6</f>
        <v/>
      </c>
      <c r="D175" s="14" t="n"/>
      <c r="E175" s="14" t="n"/>
      <c r="F175" s="8">
        <f>D175+E175</f>
        <v/>
      </c>
      <c r="G175" s="14" t="n"/>
      <c r="H175" s="14" t="n"/>
      <c r="I175" s="8">
        <f>G175+H175</f>
        <v/>
      </c>
      <c r="J175" s="8">
        <f>D175+G175</f>
        <v/>
      </c>
      <c r="K175" s="8">
        <f>E175+H175</f>
        <v/>
      </c>
      <c r="L175" s="8">
        <f>J175+K175</f>
        <v/>
      </c>
      <c r="M175" s="9">
        <f>IF(C175=0,0,L175/C175*100)</f>
        <v/>
      </c>
    </row>
    <row r="176">
      <c r="A176" s="7" t="n">
        <v>3</v>
      </c>
      <c r="B176" s="8">
        <f>B7</f>
        <v/>
      </c>
      <c r="C176" s="8">
        <f>C7</f>
        <v/>
      </c>
      <c r="D176" s="14" t="n"/>
      <c r="E176" s="14" t="n"/>
      <c r="F176" s="8">
        <f>D176+E176</f>
        <v/>
      </c>
      <c r="G176" s="14" t="n"/>
      <c r="H176" s="14" t="n"/>
      <c r="I176" s="8">
        <f>G176+H176</f>
        <v/>
      </c>
      <c r="J176" s="8">
        <f>D176+G176</f>
        <v/>
      </c>
      <c r="K176" s="8">
        <f>E176+H176</f>
        <v/>
      </c>
      <c r="L176" s="8">
        <f>J176+K176</f>
        <v/>
      </c>
      <c r="M176" s="9">
        <f>IF(C176=0,0,L176/C176*100)</f>
        <v/>
      </c>
    </row>
    <row r="177">
      <c r="A177" s="7" t="n">
        <v>4</v>
      </c>
      <c r="B177" s="8">
        <f>B8</f>
        <v/>
      </c>
      <c r="C177" s="8">
        <f>C8</f>
        <v/>
      </c>
      <c r="D177" s="14" t="n"/>
      <c r="E177" s="14" t="n"/>
      <c r="F177" s="8">
        <f>D177+E177</f>
        <v/>
      </c>
      <c r="G177" s="14" t="n"/>
      <c r="H177" s="14" t="n"/>
      <c r="I177" s="8">
        <f>G177+H177</f>
        <v/>
      </c>
      <c r="J177" s="8">
        <f>D177+G177</f>
        <v/>
      </c>
      <c r="K177" s="8">
        <f>E177+H177</f>
        <v/>
      </c>
      <c r="L177" s="8">
        <f>J177+K177</f>
        <v/>
      </c>
      <c r="M177" s="9">
        <f>IF(C177=0,0,L177/C177*100)</f>
        <v/>
      </c>
    </row>
    <row r="178">
      <c r="A178" s="7" t="n">
        <v>5</v>
      </c>
      <c r="B178" s="8">
        <f>B9</f>
        <v/>
      </c>
      <c r="C178" s="8">
        <f>C9</f>
        <v/>
      </c>
      <c r="D178" s="14" t="n"/>
      <c r="E178" s="14" t="n"/>
      <c r="F178" s="8">
        <f>D178+E178</f>
        <v/>
      </c>
      <c r="G178" s="14" t="n"/>
      <c r="H178" s="14" t="n"/>
      <c r="I178" s="8">
        <f>G178+H178</f>
        <v/>
      </c>
      <c r="J178" s="8">
        <f>D178+G178</f>
        <v/>
      </c>
      <c r="K178" s="8">
        <f>E178+H178</f>
        <v/>
      </c>
      <c r="L178" s="8">
        <f>J178+K178</f>
        <v/>
      </c>
      <c r="M178" s="9">
        <f>IF(C178=0,0,L178/C178*100)</f>
        <v/>
      </c>
    </row>
    <row r="179">
      <c r="A179" s="7" t="n">
        <v>6</v>
      </c>
      <c r="B179" s="8">
        <f>B10</f>
        <v/>
      </c>
      <c r="C179" s="8">
        <f>C10</f>
        <v/>
      </c>
      <c r="D179" s="14" t="n"/>
      <c r="E179" s="14" t="n"/>
      <c r="F179" s="8">
        <f>D179+E179</f>
        <v/>
      </c>
      <c r="G179" s="14" t="n"/>
      <c r="H179" s="14" t="n"/>
      <c r="I179" s="8">
        <f>G179+H179</f>
        <v/>
      </c>
      <c r="J179" s="8">
        <f>D179+G179</f>
        <v/>
      </c>
      <c r="K179" s="8">
        <f>E179+H179</f>
        <v/>
      </c>
      <c r="L179" s="8">
        <f>J179+K179</f>
        <v/>
      </c>
      <c r="M179" s="9">
        <f>IF(C179=0,0,L179/C179*100)</f>
        <v/>
      </c>
    </row>
    <row r="180">
      <c r="A180" s="7" t="n">
        <v>7</v>
      </c>
      <c r="B180" s="8">
        <f>B11</f>
        <v/>
      </c>
      <c r="C180" s="8">
        <f>C11</f>
        <v/>
      </c>
      <c r="D180" s="14" t="n"/>
      <c r="E180" s="14" t="n"/>
      <c r="F180" s="8">
        <f>D180+E180</f>
        <v/>
      </c>
      <c r="G180" s="14" t="n"/>
      <c r="H180" s="14" t="n"/>
      <c r="I180" s="8">
        <f>G180+H180</f>
        <v/>
      </c>
      <c r="J180" s="8">
        <f>D180+G180</f>
        <v/>
      </c>
      <c r="K180" s="8">
        <f>E180+H180</f>
        <v/>
      </c>
      <c r="L180" s="8">
        <f>J180+K180</f>
        <v/>
      </c>
      <c r="M180" s="9">
        <f>IF(C180=0,0,L180/C180*100)</f>
        <v/>
      </c>
    </row>
    <row r="181">
      <c r="A181" s="10" t="inlineStr">
        <is>
          <t>Total</t>
        </is>
      </c>
      <c r="B181" s="11">
        <f>SUM(B174:B180)</f>
        <v/>
      </c>
      <c r="C181" s="11">
        <f>SUM(C174:C180)</f>
        <v/>
      </c>
      <c r="D181" s="11">
        <f>SUM(D174:D180)</f>
        <v/>
      </c>
      <c r="E181" s="11">
        <f>SUM(E174:E180)</f>
        <v/>
      </c>
      <c r="F181" s="11">
        <f>D181+E181</f>
        <v/>
      </c>
      <c r="G181" s="11">
        <f>SUM(G174:G180)</f>
        <v/>
      </c>
      <c r="H181" s="11">
        <f>SUM(H174:H180)</f>
        <v/>
      </c>
      <c r="I181" s="11">
        <f>G181+H181</f>
        <v/>
      </c>
      <c r="J181" s="11">
        <f>D181+G181</f>
        <v/>
      </c>
      <c r="K181" s="11">
        <f>E181+H181</f>
        <v/>
      </c>
      <c r="L181" s="11">
        <f>J181+K181</f>
        <v/>
      </c>
      <c r="M181" s="12">
        <f>IF(C181=0,0,L181/C181*100)</f>
        <v/>
      </c>
    </row>
    <row r="183">
      <c r="A183" s="13" t="inlineStr">
        <is>
          <t>Day 14 - 2026-10-18 (Sun 01 Kartik 2083)</t>
        </is>
      </c>
    </row>
    <row r="184">
      <c r="A184" s="6" t="inlineStr">
        <is>
          <t>Ward no.</t>
        </is>
      </c>
      <c r="B184" s="6" t="inlineStr">
        <is>
          <t>Total population</t>
        </is>
      </c>
      <c r="C184" s="6" t="inlineStr">
        <is>
          <t>JE target population</t>
        </is>
      </c>
      <c r="D184" s="6" t="inlineStr">
        <is>
          <t>Vaccinated</t>
        </is>
      </c>
      <c r="E184" s="6" t="n"/>
      <c r="F184" s="6" t="n"/>
      <c r="G184" s="6" t="n"/>
      <c r="H184" s="6" t="n"/>
      <c r="I184" s="6" t="n"/>
      <c r="J184" s="6" t="n"/>
      <c r="K184" s="6" t="n"/>
      <c r="L184" s="6" t="n"/>
      <c r="M184" s="6" t="inlineStr">
        <is>
          <t>Progress %</t>
        </is>
      </c>
    </row>
    <row r="185">
      <c r="A185" s="6" t="n"/>
      <c r="B185" s="6" t="n"/>
      <c r="C185" s="6" t="n"/>
      <c r="D185" s="6" t="inlineStr">
        <is>
          <t>Age 30-60 yrs</t>
        </is>
      </c>
      <c r="E185" s="6" t="n"/>
      <c r="F185" s="6" t="n"/>
      <c r="G185" s="6" t="inlineStr">
        <is>
          <t>Age 60 above</t>
        </is>
      </c>
      <c r="H185" s="6" t="n"/>
      <c r="I185" s="6" t="n"/>
      <c r="J185" s="6" t="inlineStr">
        <is>
          <t>Total</t>
        </is>
      </c>
      <c r="K185" s="6" t="n"/>
      <c r="L185" s="6" t="inlineStr">
        <is>
          <t>Grand Total</t>
        </is>
      </c>
      <c r="M185" s="6" t="n"/>
    </row>
    <row r="186">
      <c r="A186" s="6" t="n"/>
      <c r="B186" s="6" t="n"/>
      <c r="C186" s="6" t="n"/>
      <c r="D186" s="6" t="inlineStr">
        <is>
          <t>F</t>
        </is>
      </c>
      <c r="E186" s="6" t="inlineStr">
        <is>
          <t>M</t>
        </is>
      </c>
      <c r="F186" s="6" t="inlineStr">
        <is>
          <t>Total</t>
        </is>
      </c>
      <c r="G186" s="6" t="inlineStr">
        <is>
          <t>F</t>
        </is>
      </c>
      <c r="H186" s="6" t="inlineStr">
        <is>
          <t>M</t>
        </is>
      </c>
      <c r="I186" s="6" t="inlineStr">
        <is>
          <t>Total</t>
        </is>
      </c>
      <c r="J186" s="6" t="inlineStr">
        <is>
          <t>F</t>
        </is>
      </c>
      <c r="K186" s="6" t="inlineStr">
        <is>
          <t>M</t>
        </is>
      </c>
      <c r="L186" s="6" t="n"/>
      <c r="M186" s="6" t="n"/>
    </row>
    <row r="187">
      <c r="A187" s="7" t="n">
        <v>1</v>
      </c>
      <c r="B187" s="8">
        <f>B5</f>
        <v/>
      </c>
      <c r="C187" s="8">
        <f>C5</f>
        <v/>
      </c>
      <c r="D187" s="14" t="n"/>
      <c r="E187" s="14" t="n"/>
      <c r="F187" s="8">
        <f>D187+E187</f>
        <v/>
      </c>
      <c r="G187" s="14" t="n"/>
      <c r="H187" s="14" t="n"/>
      <c r="I187" s="8">
        <f>G187+H187</f>
        <v/>
      </c>
      <c r="J187" s="8">
        <f>D187+G187</f>
        <v/>
      </c>
      <c r="K187" s="8">
        <f>E187+H187</f>
        <v/>
      </c>
      <c r="L187" s="8">
        <f>J187+K187</f>
        <v/>
      </c>
      <c r="M187" s="9">
        <f>IF(C187=0,0,L187/C187*100)</f>
        <v/>
      </c>
    </row>
    <row r="188">
      <c r="A188" s="7" t="n">
        <v>2</v>
      </c>
      <c r="B188" s="8">
        <f>B6</f>
        <v/>
      </c>
      <c r="C188" s="8">
        <f>C6</f>
        <v/>
      </c>
      <c r="D188" s="14" t="n"/>
      <c r="E188" s="14" t="n"/>
      <c r="F188" s="8">
        <f>D188+E188</f>
        <v/>
      </c>
      <c r="G188" s="14" t="n"/>
      <c r="H188" s="14" t="n"/>
      <c r="I188" s="8">
        <f>G188+H188</f>
        <v/>
      </c>
      <c r="J188" s="8">
        <f>D188+G188</f>
        <v/>
      </c>
      <c r="K188" s="8">
        <f>E188+H188</f>
        <v/>
      </c>
      <c r="L188" s="8">
        <f>J188+K188</f>
        <v/>
      </c>
      <c r="M188" s="9">
        <f>IF(C188=0,0,L188/C188*100)</f>
        <v/>
      </c>
    </row>
    <row r="189">
      <c r="A189" s="7" t="n">
        <v>3</v>
      </c>
      <c r="B189" s="8">
        <f>B7</f>
        <v/>
      </c>
      <c r="C189" s="8">
        <f>C7</f>
        <v/>
      </c>
      <c r="D189" s="14" t="n"/>
      <c r="E189" s="14" t="n"/>
      <c r="F189" s="8">
        <f>D189+E189</f>
        <v/>
      </c>
      <c r="G189" s="14" t="n"/>
      <c r="H189" s="14" t="n"/>
      <c r="I189" s="8">
        <f>G189+H189</f>
        <v/>
      </c>
      <c r="J189" s="8">
        <f>D189+G189</f>
        <v/>
      </c>
      <c r="K189" s="8">
        <f>E189+H189</f>
        <v/>
      </c>
      <c r="L189" s="8">
        <f>J189+K189</f>
        <v/>
      </c>
      <c r="M189" s="9">
        <f>IF(C189=0,0,L189/C189*100)</f>
        <v/>
      </c>
    </row>
    <row r="190">
      <c r="A190" s="7" t="n">
        <v>4</v>
      </c>
      <c r="B190" s="8">
        <f>B8</f>
        <v/>
      </c>
      <c r="C190" s="8">
        <f>C8</f>
        <v/>
      </c>
      <c r="D190" s="14" t="n"/>
      <c r="E190" s="14" t="n"/>
      <c r="F190" s="8">
        <f>D190+E190</f>
        <v/>
      </c>
      <c r="G190" s="14" t="n"/>
      <c r="H190" s="14" t="n"/>
      <c r="I190" s="8">
        <f>G190+H190</f>
        <v/>
      </c>
      <c r="J190" s="8">
        <f>D190+G190</f>
        <v/>
      </c>
      <c r="K190" s="8">
        <f>E190+H190</f>
        <v/>
      </c>
      <c r="L190" s="8">
        <f>J190+K190</f>
        <v/>
      </c>
      <c r="M190" s="9">
        <f>IF(C190=0,0,L190/C190*100)</f>
        <v/>
      </c>
    </row>
    <row r="191">
      <c r="A191" s="7" t="n">
        <v>5</v>
      </c>
      <c r="B191" s="8">
        <f>B9</f>
        <v/>
      </c>
      <c r="C191" s="8">
        <f>C9</f>
        <v/>
      </c>
      <c r="D191" s="14" t="n"/>
      <c r="E191" s="14" t="n"/>
      <c r="F191" s="8">
        <f>D191+E191</f>
        <v/>
      </c>
      <c r="G191" s="14" t="n"/>
      <c r="H191" s="14" t="n"/>
      <c r="I191" s="8">
        <f>G191+H191</f>
        <v/>
      </c>
      <c r="J191" s="8">
        <f>D191+G191</f>
        <v/>
      </c>
      <c r="K191" s="8">
        <f>E191+H191</f>
        <v/>
      </c>
      <c r="L191" s="8">
        <f>J191+K191</f>
        <v/>
      </c>
      <c r="M191" s="9">
        <f>IF(C191=0,0,L191/C191*100)</f>
        <v/>
      </c>
    </row>
    <row r="192">
      <c r="A192" s="7" t="n">
        <v>6</v>
      </c>
      <c r="B192" s="8">
        <f>B10</f>
        <v/>
      </c>
      <c r="C192" s="8">
        <f>C10</f>
        <v/>
      </c>
      <c r="D192" s="14" t="n"/>
      <c r="E192" s="14" t="n"/>
      <c r="F192" s="8">
        <f>D192+E192</f>
        <v/>
      </c>
      <c r="G192" s="14" t="n"/>
      <c r="H192" s="14" t="n"/>
      <c r="I192" s="8">
        <f>G192+H192</f>
        <v/>
      </c>
      <c r="J192" s="8">
        <f>D192+G192</f>
        <v/>
      </c>
      <c r="K192" s="8">
        <f>E192+H192</f>
        <v/>
      </c>
      <c r="L192" s="8">
        <f>J192+K192</f>
        <v/>
      </c>
      <c r="M192" s="9">
        <f>IF(C192=0,0,L192/C192*100)</f>
        <v/>
      </c>
    </row>
    <row r="193">
      <c r="A193" s="7" t="n">
        <v>7</v>
      </c>
      <c r="B193" s="8">
        <f>B11</f>
        <v/>
      </c>
      <c r="C193" s="8">
        <f>C11</f>
        <v/>
      </c>
      <c r="D193" s="14" t="n"/>
      <c r="E193" s="14" t="n"/>
      <c r="F193" s="8">
        <f>D193+E193</f>
        <v/>
      </c>
      <c r="G193" s="14" t="n"/>
      <c r="H193" s="14" t="n"/>
      <c r="I193" s="8">
        <f>G193+H193</f>
        <v/>
      </c>
      <c r="J193" s="8">
        <f>D193+G193</f>
        <v/>
      </c>
      <c r="K193" s="8">
        <f>E193+H193</f>
        <v/>
      </c>
      <c r="L193" s="8">
        <f>J193+K193</f>
        <v/>
      </c>
      <c r="M193" s="9">
        <f>IF(C193=0,0,L193/C193*100)</f>
        <v/>
      </c>
    </row>
    <row r="194">
      <c r="A194" s="10" t="inlineStr">
        <is>
          <t>Total</t>
        </is>
      </c>
      <c r="B194" s="11">
        <f>SUM(B187:B193)</f>
        <v/>
      </c>
      <c r="C194" s="11">
        <f>SUM(C187:C193)</f>
        <v/>
      </c>
      <c r="D194" s="11">
        <f>SUM(D187:D193)</f>
        <v/>
      </c>
      <c r="E194" s="11">
        <f>SUM(E187:E193)</f>
        <v/>
      </c>
      <c r="F194" s="11">
        <f>D194+E194</f>
        <v/>
      </c>
      <c r="G194" s="11">
        <f>SUM(G187:G193)</f>
        <v/>
      </c>
      <c r="H194" s="11">
        <f>SUM(H187:H193)</f>
        <v/>
      </c>
      <c r="I194" s="11">
        <f>G194+H194</f>
        <v/>
      </c>
      <c r="J194" s="11">
        <f>D194+G194</f>
        <v/>
      </c>
      <c r="K194" s="11">
        <f>E194+H194</f>
        <v/>
      </c>
      <c r="L194" s="11">
        <f>J194+K194</f>
        <v/>
      </c>
      <c r="M194" s="12">
        <f>IF(C194=0,0,L194/C194*100)</f>
        <v/>
      </c>
    </row>
    <row r="196">
      <c r="A196" s="13" t="inlineStr">
        <is>
          <t>Day 15 - 2026-10-19 (Mon 02 Kartik 2083)</t>
        </is>
      </c>
    </row>
    <row r="197">
      <c r="A197" s="6" t="inlineStr">
        <is>
          <t>Ward no.</t>
        </is>
      </c>
      <c r="B197" s="6" t="inlineStr">
        <is>
          <t>Total population</t>
        </is>
      </c>
      <c r="C197" s="6" t="inlineStr">
        <is>
          <t>JE target population</t>
        </is>
      </c>
      <c r="D197" s="6" t="inlineStr">
        <is>
          <t>Vaccinated</t>
        </is>
      </c>
      <c r="E197" s="6" t="n"/>
      <c r="F197" s="6" t="n"/>
      <c r="G197" s="6" t="n"/>
      <c r="H197" s="6" t="n"/>
      <c r="I197" s="6" t="n"/>
      <c r="J197" s="6" t="n"/>
      <c r="K197" s="6" t="n"/>
      <c r="L197" s="6" t="n"/>
      <c r="M197" s="6" t="inlineStr">
        <is>
          <t>Progress %</t>
        </is>
      </c>
    </row>
    <row r="198">
      <c r="A198" s="6" t="n"/>
      <c r="B198" s="6" t="n"/>
      <c r="C198" s="6" t="n"/>
      <c r="D198" s="6" t="inlineStr">
        <is>
          <t>Age 30-60 yrs</t>
        </is>
      </c>
      <c r="E198" s="6" t="n"/>
      <c r="F198" s="6" t="n"/>
      <c r="G198" s="6" t="inlineStr">
        <is>
          <t>Age 60 above</t>
        </is>
      </c>
      <c r="H198" s="6" t="n"/>
      <c r="I198" s="6" t="n"/>
      <c r="J198" s="6" t="inlineStr">
        <is>
          <t>Total</t>
        </is>
      </c>
      <c r="K198" s="6" t="n"/>
      <c r="L198" s="6" t="inlineStr">
        <is>
          <t>Grand Total</t>
        </is>
      </c>
      <c r="M198" s="6" t="n"/>
    </row>
    <row r="199">
      <c r="A199" s="6" t="n"/>
      <c r="B199" s="6" t="n"/>
      <c r="C199" s="6" t="n"/>
      <c r="D199" s="6" t="inlineStr">
        <is>
          <t>F</t>
        </is>
      </c>
      <c r="E199" s="6" t="inlineStr">
        <is>
          <t>M</t>
        </is>
      </c>
      <c r="F199" s="6" t="inlineStr">
        <is>
          <t>Total</t>
        </is>
      </c>
      <c r="G199" s="6" t="inlineStr">
        <is>
          <t>F</t>
        </is>
      </c>
      <c r="H199" s="6" t="inlineStr">
        <is>
          <t>M</t>
        </is>
      </c>
      <c r="I199" s="6" t="inlineStr">
        <is>
          <t>Total</t>
        </is>
      </c>
      <c r="J199" s="6" t="inlineStr">
        <is>
          <t>F</t>
        </is>
      </c>
      <c r="K199" s="6" t="inlineStr">
        <is>
          <t>M</t>
        </is>
      </c>
      <c r="L199" s="6" t="n"/>
      <c r="M199" s="6" t="n"/>
    </row>
    <row r="200">
      <c r="A200" s="7" t="n">
        <v>1</v>
      </c>
      <c r="B200" s="8">
        <f>B5</f>
        <v/>
      </c>
      <c r="C200" s="8">
        <f>C5</f>
        <v/>
      </c>
      <c r="D200" s="14" t="n"/>
      <c r="E200" s="14" t="n"/>
      <c r="F200" s="8">
        <f>D200+E200</f>
        <v/>
      </c>
      <c r="G200" s="14" t="n"/>
      <c r="H200" s="14" t="n"/>
      <c r="I200" s="8">
        <f>G200+H200</f>
        <v/>
      </c>
      <c r="J200" s="8">
        <f>D200+G200</f>
        <v/>
      </c>
      <c r="K200" s="8">
        <f>E200+H200</f>
        <v/>
      </c>
      <c r="L200" s="8">
        <f>J200+K200</f>
        <v/>
      </c>
      <c r="M200" s="9">
        <f>IF(C200=0,0,L200/C200*100)</f>
        <v/>
      </c>
    </row>
    <row r="201">
      <c r="A201" s="7" t="n">
        <v>2</v>
      </c>
      <c r="B201" s="8">
        <f>B6</f>
        <v/>
      </c>
      <c r="C201" s="8">
        <f>C6</f>
        <v/>
      </c>
      <c r="D201" s="14" t="n"/>
      <c r="E201" s="14" t="n"/>
      <c r="F201" s="8">
        <f>D201+E201</f>
        <v/>
      </c>
      <c r="G201" s="14" t="n"/>
      <c r="H201" s="14" t="n"/>
      <c r="I201" s="8">
        <f>G201+H201</f>
        <v/>
      </c>
      <c r="J201" s="8">
        <f>D201+G201</f>
        <v/>
      </c>
      <c r="K201" s="8">
        <f>E201+H201</f>
        <v/>
      </c>
      <c r="L201" s="8">
        <f>J201+K201</f>
        <v/>
      </c>
      <c r="M201" s="9">
        <f>IF(C201=0,0,L201/C201*100)</f>
        <v/>
      </c>
    </row>
    <row r="202">
      <c r="A202" s="7" t="n">
        <v>3</v>
      </c>
      <c r="B202" s="8">
        <f>B7</f>
        <v/>
      </c>
      <c r="C202" s="8">
        <f>C7</f>
        <v/>
      </c>
      <c r="D202" s="14" t="n"/>
      <c r="E202" s="14" t="n"/>
      <c r="F202" s="8">
        <f>D202+E202</f>
        <v/>
      </c>
      <c r="G202" s="14" t="n"/>
      <c r="H202" s="14" t="n"/>
      <c r="I202" s="8">
        <f>G202+H202</f>
        <v/>
      </c>
      <c r="J202" s="8">
        <f>D202+G202</f>
        <v/>
      </c>
      <c r="K202" s="8">
        <f>E202+H202</f>
        <v/>
      </c>
      <c r="L202" s="8">
        <f>J202+K202</f>
        <v/>
      </c>
      <c r="M202" s="9">
        <f>IF(C202=0,0,L202/C202*100)</f>
        <v/>
      </c>
    </row>
    <row r="203">
      <c r="A203" s="7" t="n">
        <v>4</v>
      </c>
      <c r="B203" s="8">
        <f>B8</f>
        <v/>
      </c>
      <c r="C203" s="8">
        <f>C8</f>
        <v/>
      </c>
      <c r="D203" s="14" t="n"/>
      <c r="E203" s="14" t="n"/>
      <c r="F203" s="8">
        <f>D203+E203</f>
        <v/>
      </c>
      <c r="G203" s="14" t="n"/>
      <c r="H203" s="14" t="n"/>
      <c r="I203" s="8">
        <f>G203+H203</f>
        <v/>
      </c>
      <c r="J203" s="8">
        <f>D203+G203</f>
        <v/>
      </c>
      <c r="K203" s="8">
        <f>E203+H203</f>
        <v/>
      </c>
      <c r="L203" s="8">
        <f>J203+K203</f>
        <v/>
      </c>
      <c r="M203" s="9">
        <f>IF(C203=0,0,L203/C203*100)</f>
        <v/>
      </c>
    </row>
    <row r="204">
      <c r="A204" s="7" t="n">
        <v>5</v>
      </c>
      <c r="B204" s="8">
        <f>B9</f>
        <v/>
      </c>
      <c r="C204" s="8">
        <f>C9</f>
        <v/>
      </c>
      <c r="D204" s="14" t="n"/>
      <c r="E204" s="14" t="n"/>
      <c r="F204" s="8">
        <f>D204+E204</f>
        <v/>
      </c>
      <c r="G204" s="14" t="n"/>
      <c r="H204" s="14" t="n"/>
      <c r="I204" s="8">
        <f>G204+H204</f>
        <v/>
      </c>
      <c r="J204" s="8">
        <f>D204+G204</f>
        <v/>
      </c>
      <c r="K204" s="8">
        <f>E204+H204</f>
        <v/>
      </c>
      <c r="L204" s="8">
        <f>J204+K204</f>
        <v/>
      </c>
      <c r="M204" s="9">
        <f>IF(C204=0,0,L204/C204*100)</f>
        <v/>
      </c>
    </row>
    <row r="205">
      <c r="A205" s="7" t="n">
        <v>6</v>
      </c>
      <c r="B205" s="8">
        <f>B10</f>
        <v/>
      </c>
      <c r="C205" s="8">
        <f>C10</f>
        <v/>
      </c>
      <c r="D205" s="14" t="n"/>
      <c r="E205" s="14" t="n"/>
      <c r="F205" s="8">
        <f>D205+E205</f>
        <v/>
      </c>
      <c r="G205" s="14" t="n"/>
      <c r="H205" s="14" t="n"/>
      <c r="I205" s="8">
        <f>G205+H205</f>
        <v/>
      </c>
      <c r="J205" s="8">
        <f>D205+G205</f>
        <v/>
      </c>
      <c r="K205" s="8">
        <f>E205+H205</f>
        <v/>
      </c>
      <c r="L205" s="8">
        <f>J205+K205</f>
        <v/>
      </c>
      <c r="M205" s="9">
        <f>IF(C205=0,0,L205/C205*100)</f>
        <v/>
      </c>
    </row>
    <row r="206">
      <c r="A206" s="7" t="n">
        <v>7</v>
      </c>
      <c r="B206" s="8">
        <f>B11</f>
        <v/>
      </c>
      <c r="C206" s="8">
        <f>C11</f>
        <v/>
      </c>
      <c r="D206" s="14" t="n"/>
      <c r="E206" s="14" t="n"/>
      <c r="F206" s="8">
        <f>D206+E206</f>
        <v/>
      </c>
      <c r="G206" s="14" t="n"/>
      <c r="H206" s="14" t="n"/>
      <c r="I206" s="8">
        <f>G206+H206</f>
        <v/>
      </c>
      <c r="J206" s="8">
        <f>D206+G206</f>
        <v/>
      </c>
      <c r="K206" s="8">
        <f>E206+H206</f>
        <v/>
      </c>
      <c r="L206" s="8">
        <f>J206+K206</f>
        <v/>
      </c>
      <c r="M206" s="9">
        <f>IF(C206=0,0,L206/C206*100)</f>
        <v/>
      </c>
    </row>
    <row r="207">
      <c r="A207" s="10" t="inlineStr">
        <is>
          <t>Total</t>
        </is>
      </c>
      <c r="B207" s="11">
        <f>SUM(B200:B206)</f>
        <v/>
      </c>
      <c r="C207" s="11">
        <f>SUM(C200:C206)</f>
        <v/>
      </c>
      <c r="D207" s="11">
        <f>SUM(D200:D206)</f>
        <v/>
      </c>
      <c r="E207" s="11">
        <f>SUM(E200:E206)</f>
        <v/>
      </c>
      <c r="F207" s="11">
        <f>D207+E207</f>
        <v/>
      </c>
      <c r="G207" s="11">
        <f>SUM(G200:G206)</f>
        <v/>
      </c>
      <c r="H207" s="11">
        <f>SUM(H200:H206)</f>
        <v/>
      </c>
      <c r="I207" s="11">
        <f>G207+H207</f>
        <v/>
      </c>
      <c r="J207" s="11">
        <f>D207+G207</f>
        <v/>
      </c>
      <c r="K207" s="11">
        <f>E207+H207</f>
        <v/>
      </c>
      <c r="L207" s="11">
        <f>J207+K207</f>
        <v/>
      </c>
      <c r="M207" s="12">
        <f>IF(C207=0,0,L207/C207*100)</f>
        <v/>
      </c>
    </row>
  </sheetData>
  <sheetProtection selectLockedCells="0" selectUnlockedCells="0" sheet="1" objects="0" insertRows="1" insertHyperlinks="1" autoFilter="1" scenarios="0" formatColumns="0" deleteColumns="1" insertColumns="1" pivotTables="1" deleteRows="1" formatCells="0" formatRows="0" sort="1"/>
  <mergeCells count="160">
    <mergeCell ref="A144:M144"/>
    <mergeCell ref="L3:L4"/>
    <mergeCell ref="M184:M186"/>
    <mergeCell ref="J146:K146"/>
    <mergeCell ref="L146:L147"/>
    <mergeCell ref="M41:M43"/>
    <mergeCell ref="L133:L134"/>
    <mergeCell ref="M106:M108"/>
    <mergeCell ref="J68:K68"/>
    <mergeCell ref="L185:L186"/>
    <mergeCell ref="A171:A173"/>
    <mergeCell ref="A40:M40"/>
    <mergeCell ref="L55:L56"/>
    <mergeCell ref="A15:A17"/>
    <mergeCell ref="M67:M69"/>
    <mergeCell ref="D133:F133"/>
    <mergeCell ref="G16:I16"/>
    <mergeCell ref="D29:F29"/>
    <mergeCell ref="D94:F94"/>
    <mergeCell ref="L94:L95"/>
    <mergeCell ref="L81:L82"/>
    <mergeCell ref="A41:A43"/>
    <mergeCell ref="C41:C43"/>
    <mergeCell ref="C93:C95"/>
    <mergeCell ref="M132:M134"/>
    <mergeCell ref="M119:M121"/>
    <mergeCell ref="D159:F159"/>
    <mergeCell ref="G42:I42"/>
    <mergeCell ref="G107:I107"/>
    <mergeCell ref="A27:M27"/>
    <mergeCell ref="J185:K185"/>
    <mergeCell ref="L16:L17"/>
    <mergeCell ref="D2:L2"/>
    <mergeCell ref="J120:K120"/>
    <mergeCell ref="G172:I172"/>
    <mergeCell ref="D120:F120"/>
    <mergeCell ref="B171:B173"/>
    <mergeCell ref="D185:F185"/>
    <mergeCell ref="D107:F107"/>
    <mergeCell ref="L198:L199"/>
    <mergeCell ref="A184:A186"/>
    <mergeCell ref="L68:L69"/>
    <mergeCell ref="D197:L197"/>
    <mergeCell ref="A106:A108"/>
    <mergeCell ref="C106:C108"/>
    <mergeCell ref="G133:I133"/>
    <mergeCell ref="B197:B199"/>
    <mergeCell ref="D146:F146"/>
    <mergeCell ref="L42:L43"/>
    <mergeCell ref="G55:I55"/>
    <mergeCell ref="D3:F3"/>
    <mergeCell ref="L29:L30"/>
    <mergeCell ref="D68:F68"/>
    <mergeCell ref="C145:C147"/>
    <mergeCell ref="D55:F55"/>
    <mergeCell ref="C54:C56"/>
    <mergeCell ref="D15:L15"/>
    <mergeCell ref="C15:C17"/>
    <mergeCell ref="G159:I159"/>
    <mergeCell ref="A79:M79"/>
    <mergeCell ref="J94:K94"/>
    <mergeCell ref="G81:I81"/>
    <mergeCell ref="A54:A56"/>
    <mergeCell ref="A197:A199"/>
    <mergeCell ref="C197:C199"/>
    <mergeCell ref="J3:K3"/>
    <mergeCell ref="G120:I120"/>
    <mergeCell ref="A105:M105"/>
    <mergeCell ref="J159:K159"/>
    <mergeCell ref="C132:C134"/>
    <mergeCell ref="C67:C69"/>
    <mergeCell ref="J29:K29"/>
    <mergeCell ref="C119:C121"/>
    <mergeCell ref="A2:A4"/>
    <mergeCell ref="J81:K81"/>
    <mergeCell ref="B158:B160"/>
    <mergeCell ref="C2:C4"/>
    <mergeCell ref="G146:I146"/>
    <mergeCell ref="A131:M131"/>
    <mergeCell ref="B15:B17"/>
    <mergeCell ref="A53:M53"/>
    <mergeCell ref="G3:I3"/>
    <mergeCell ref="B80:B82"/>
    <mergeCell ref="G68:I68"/>
    <mergeCell ref="D16:F16"/>
    <mergeCell ref="A93:A95"/>
    <mergeCell ref="D171:L171"/>
    <mergeCell ref="M197:M199"/>
    <mergeCell ref="C158:C160"/>
    <mergeCell ref="D106:L106"/>
    <mergeCell ref="D28:L28"/>
    <mergeCell ref="A28:A30"/>
    <mergeCell ref="D93:L93"/>
    <mergeCell ref="C28:C30"/>
    <mergeCell ref="A92:M92"/>
    <mergeCell ref="B41:B43"/>
    <mergeCell ref="G29:I29"/>
    <mergeCell ref="G94:I94"/>
    <mergeCell ref="D42:F42"/>
    <mergeCell ref="A1:M1"/>
    <mergeCell ref="D67:L67"/>
    <mergeCell ref="J172:K172"/>
    <mergeCell ref="J16:K16"/>
    <mergeCell ref="D54:L54"/>
    <mergeCell ref="B2:B4"/>
    <mergeCell ref="B93:B95"/>
    <mergeCell ref="D172:F172"/>
    <mergeCell ref="C184:C186"/>
    <mergeCell ref="C171:C173"/>
    <mergeCell ref="D119:L119"/>
    <mergeCell ref="J133:K133"/>
    <mergeCell ref="J42:K42"/>
    <mergeCell ref="M54:M56"/>
    <mergeCell ref="D80:L80"/>
    <mergeCell ref="L107:L108"/>
    <mergeCell ref="B132:B134"/>
    <mergeCell ref="B28:B30"/>
    <mergeCell ref="B119:B121"/>
    <mergeCell ref="A145:A147"/>
    <mergeCell ref="D198:F198"/>
    <mergeCell ref="A14:M14"/>
    <mergeCell ref="M145:M147"/>
    <mergeCell ref="D145:L145"/>
    <mergeCell ref="D41:L41"/>
    <mergeCell ref="A170:M170"/>
    <mergeCell ref="B54:B56"/>
    <mergeCell ref="A67:A69"/>
    <mergeCell ref="M171:M173"/>
    <mergeCell ref="D184:L184"/>
    <mergeCell ref="J107:K107"/>
    <mergeCell ref="B184:B186"/>
    <mergeCell ref="M93:M95"/>
    <mergeCell ref="J55:K55"/>
    <mergeCell ref="A157:M157"/>
    <mergeCell ref="L172:L173"/>
    <mergeCell ref="B106:B108"/>
    <mergeCell ref="A132:A134"/>
    <mergeCell ref="A119:A121"/>
    <mergeCell ref="D132:L132"/>
    <mergeCell ref="G198:I198"/>
    <mergeCell ref="L159:L160"/>
    <mergeCell ref="M2:M4"/>
    <mergeCell ref="A196:M196"/>
    <mergeCell ref="G185:I185"/>
    <mergeCell ref="B145:B147"/>
    <mergeCell ref="L120:L121"/>
    <mergeCell ref="A183:M183"/>
    <mergeCell ref="B67:B69"/>
    <mergeCell ref="D81:F81"/>
    <mergeCell ref="A66:M66"/>
    <mergeCell ref="A118:M118"/>
    <mergeCell ref="A158:A160"/>
    <mergeCell ref="M158:M160"/>
    <mergeCell ref="A80:A82"/>
    <mergeCell ref="J198:K198"/>
    <mergeCell ref="D158:L158"/>
    <mergeCell ref="C80:C82"/>
    <mergeCell ref="M15:M17"/>
    <mergeCell ref="M28:M30"/>
    <mergeCell ref="M80:M82"/>
  </mergeCells>
  <dataValidations count="1">
    <dataValidation sqref="D18 D19 D20 D21 D22 D23 D24 D31 D32 D33 D34 D35 D36 D37 D44 D45 D46 D47 D48 D49 D50 D57 D58 D59 D60 D61 D62 D63 D70 D71 D72 D73 D74 D75 D76 D83 D84 D85 D86 D87 D88 D89 D96 D97 D98 D99 D100 D101 D102 D109 D110 D111 D112 D113 D114 D115 D122 D123 D124 D125 D126 D127 D128 D135 D136 D137 D138 D139 D140 D141 D148 D149 D150 D151 D152 D153 D154 D161 D162 D163 D164 D165 D166 D167 D174 D175 D176 D177 D178 D179 D180 D187 D188 D189 D190 D191 D192 D193 D200 D201 D202 D203 D204 D205 D206 E18 E19 E20 E21 E22 E23 E24 E31 E32 E33 E34 E35 E36 E37 E44 E45 E46 E47 E48 E49 E50 E57 E58 E59 E60 E61 E62 E63 E70 E71 E72 E73 E74 E75 E76 E83 E84 E85 E86 E87 E88 E89 E96 E97 E98 E99 E100 E101 E102 E109 E110 E111 E112 E113 E114 E115 E122 E123 E124 E125 E126 E127 E128 E135 E136 E137 E138 E139 E140 E141 E148 E149 E150 E151 E152 E153 E154 E161 E162 E163 E164 E165 E166 E167 E174 E175 E176 E177 E178 E179 E180 E187 E188 E189 E190 E191 E192 E193 E200 E201 E202 E203 E204 E205 E206 G18 G19 G20 G21 G22 G23 G24 G31 G32 G33 G34 G35 G36 G37 G44 G45 G46 G47 G48 G49 G50 G57 G58 G59 G60 G61 G62 G63 G70 G71 G72 G73 G74 G75 G76 G83 G84 G85 G86 G87 G88 G89 G96 G97 G98 G99 G100 G101 G102 G109 G110 G111 G112 G113 G114 G115 G122 G123 G124 G125 G126 G127 G128 G135 G136 G137 G138 G139 G140 G141 G148 G149 G150 G151 G152 G153 G154 G161 G162 G163 G164 G165 G166 G167 G174 G175 G176 G177 G178 G179 G180 G187 G188 G189 G190 G191 G192 G193 G200 G201 G202 G203 G204 G205 G206 H18 H19 H20 H21 H22 H23 H24 H31 H32 H33 H34 H35 H36 H37 H44 H45 H46 H47 H48 H49 H50 H57 H58 H59 H60 H61 H62 H63 H70 H71 H72 H73 H74 H75 H76 H83 H84 H85 H86 H87 H88 H89 H96 H97 H98 H99 H100 H101 H102 H109 H110 H111 H112 H113 H114 H115 H122 H123 H124 H125 H126 H127 H128 H135 H136 H137 H138 H139 H140 H141 H148 H149 H150 H151 H152 H153 H154 H161 H162 H163 H164 H165 H166 H167 H174 H175 H176 H177 H178 H179 H180 H187 H188 H189 H190 H191 H192 H193 H200 H201 H202 H203 H204 H205 H206" showDropDown="0" showInputMessage="0" showErrorMessage="1" allowBlank="0" errorTitle="Whole number only" error="Enter a whole number of 0 or more." type="whole" operator="greaterThanOrEqual">
      <formula1>0</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55"/>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13"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10" customWidth="1" min="12" max="12"/>
    <col width="9" customWidth="1" min="13" max="13"/>
  </cols>
  <sheetData>
    <row r="1">
      <c r="A1" s="5" t="inlineStr">
        <is>
          <t>Birtamod Municipality - Campaign Total (5-19 Oct 2026)</t>
        </is>
      </c>
    </row>
    <row r="2">
      <c r="A2" s="6" t="inlineStr">
        <is>
          <t>Ward no.</t>
        </is>
      </c>
      <c r="B2" s="6" t="inlineStr">
        <is>
          <t>Total population</t>
        </is>
      </c>
      <c r="C2" s="6" t="inlineStr">
        <is>
          <t>JE target population</t>
        </is>
      </c>
      <c r="D2" s="6" t="inlineStr">
        <is>
          <t>Vaccinated</t>
        </is>
      </c>
      <c r="E2" s="6" t="n"/>
      <c r="F2" s="6" t="n"/>
      <c r="G2" s="6" t="n"/>
      <c r="H2" s="6" t="n"/>
      <c r="I2" s="6" t="n"/>
      <c r="J2" s="6" t="n"/>
      <c r="K2" s="6" t="n"/>
      <c r="L2" s="6" t="n"/>
      <c r="M2" s="6" t="inlineStr">
        <is>
          <t>Progress %</t>
        </is>
      </c>
    </row>
    <row r="3">
      <c r="A3" s="6" t="n"/>
      <c r="B3" s="6" t="n"/>
      <c r="C3" s="6" t="n"/>
      <c r="D3" s="6" t="inlineStr">
        <is>
          <t>Age 30-60 yrs</t>
        </is>
      </c>
      <c r="E3" s="6" t="n"/>
      <c r="F3" s="6" t="n"/>
      <c r="G3" s="6" t="inlineStr">
        <is>
          <t>Age 60 above</t>
        </is>
      </c>
      <c r="H3" s="6" t="n"/>
      <c r="I3" s="6" t="n"/>
      <c r="J3" s="6" t="inlineStr">
        <is>
          <t>Total</t>
        </is>
      </c>
      <c r="K3" s="6" t="n"/>
      <c r="L3" s="6" t="inlineStr">
        <is>
          <t>Grand Total</t>
        </is>
      </c>
      <c r="M3" s="6" t="n"/>
    </row>
    <row r="4">
      <c r="A4" s="6" t="n"/>
      <c r="B4" s="6" t="n"/>
      <c r="C4" s="6" t="n"/>
      <c r="D4" s="6" t="inlineStr">
        <is>
          <t>F</t>
        </is>
      </c>
      <c r="E4" s="6" t="inlineStr">
        <is>
          <t>M</t>
        </is>
      </c>
      <c r="F4" s="6" t="inlineStr">
        <is>
          <t>Total</t>
        </is>
      </c>
      <c r="G4" s="6" t="inlineStr">
        <is>
          <t>F</t>
        </is>
      </c>
      <c r="H4" s="6" t="inlineStr">
        <is>
          <t>M</t>
        </is>
      </c>
      <c r="I4" s="6" t="inlineStr">
        <is>
          <t>Total</t>
        </is>
      </c>
      <c r="J4" s="6" t="inlineStr">
        <is>
          <t>F</t>
        </is>
      </c>
      <c r="K4" s="6" t="inlineStr">
        <is>
          <t>M</t>
        </is>
      </c>
      <c r="L4" s="6" t="n"/>
      <c r="M4" s="6" t="n"/>
    </row>
    <row r="5">
      <c r="A5" s="7" t="n">
        <v>1</v>
      </c>
      <c r="B5" s="8" t="n">
        <v>14715</v>
      </c>
      <c r="C5" s="8" t="n">
        <v>7063.2</v>
      </c>
      <c r="D5" s="8">
        <f>D21+D37+D53+D69+D85+D101+D117+D133+D149+D165+D181+D197+D213+D229+D245</f>
        <v/>
      </c>
      <c r="E5" s="8">
        <f>E21+E37+E53+E69+E85+E101+E117+E133+E149+E165+E181+E197+E213+E229+E245</f>
        <v/>
      </c>
      <c r="F5" s="8">
        <f>D5+E5</f>
        <v/>
      </c>
      <c r="G5" s="8">
        <f>G21+G37+G53+G69+G85+G101+G117+G133+G149+G165+G181+G197+G213+G229+G245</f>
        <v/>
      </c>
      <c r="H5" s="8">
        <f>H21+H37+H53+H69+H85+H101+H117+H133+H149+H165+H181+H197+H213+H229+H245</f>
        <v/>
      </c>
      <c r="I5" s="8">
        <f>G5+H5</f>
        <v/>
      </c>
      <c r="J5" s="8">
        <f>D5+G5</f>
        <v/>
      </c>
      <c r="K5" s="8">
        <f>E5+H5</f>
        <v/>
      </c>
      <c r="L5" s="8">
        <f>J5+K5</f>
        <v/>
      </c>
      <c r="M5" s="9">
        <f>IF(C5=0,0,L5/C5*100)</f>
        <v/>
      </c>
    </row>
    <row r="6">
      <c r="A6" s="7" t="n">
        <v>2</v>
      </c>
      <c r="B6" s="8" t="n">
        <v>14308</v>
      </c>
      <c r="C6" s="8" t="n">
        <v>6867.84</v>
      </c>
      <c r="D6" s="8">
        <f>D22+D38+D54+D70+D86+D102+D118+D134+D150+D166+D182+D198+D214+D230+D246</f>
        <v/>
      </c>
      <c r="E6" s="8">
        <f>E22+E38+E54+E70+E86+E102+E118+E134+E150+E166+E182+E198+E214+E230+E246</f>
        <v/>
      </c>
      <c r="F6" s="8">
        <f>D6+E6</f>
        <v/>
      </c>
      <c r="G6" s="8">
        <f>G22+G38+G54+G70+G86+G102+G118+G134+G150+G166+G182+G198+G214+G230+G246</f>
        <v/>
      </c>
      <c r="H6" s="8">
        <f>H22+H38+H54+H70+H86+H102+H118+H134+H150+H166+H182+H198+H214+H230+H246</f>
        <v/>
      </c>
      <c r="I6" s="8">
        <f>G6+H6</f>
        <v/>
      </c>
      <c r="J6" s="8">
        <f>D6+G6</f>
        <v/>
      </c>
      <c r="K6" s="8">
        <f>E6+H6</f>
        <v/>
      </c>
      <c r="L6" s="8">
        <f>J6+K6</f>
        <v/>
      </c>
      <c r="M6" s="9">
        <f>IF(C6=0,0,L6/C6*100)</f>
        <v/>
      </c>
    </row>
    <row r="7">
      <c r="A7" s="7" t="n">
        <v>3</v>
      </c>
      <c r="B7" s="8" t="n">
        <v>14218</v>
      </c>
      <c r="C7" s="8" t="n">
        <v>6824.639999999999</v>
      </c>
      <c r="D7" s="8">
        <f>D23+D39+D55+D71+D87+D103+D119+D135+D151+D167+D183+D199+D215+D231+D247</f>
        <v/>
      </c>
      <c r="E7" s="8">
        <f>E23+E39+E55+E71+E87+E103+E119+E135+E151+E167+E183+E199+E215+E231+E247</f>
        <v/>
      </c>
      <c r="F7" s="8">
        <f>D7+E7</f>
        <v/>
      </c>
      <c r="G7" s="8">
        <f>G23+G39+G55+G71+G87+G103+G119+G135+G151+G167+G183+G199+G215+G231+G247</f>
        <v/>
      </c>
      <c r="H7" s="8">
        <f>H23+H39+H55+H71+H87+H103+H119+H135+H151+H167+H183+H199+H215+H231+H247</f>
        <v/>
      </c>
      <c r="I7" s="8">
        <f>G7+H7</f>
        <v/>
      </c>
      <c r="J7" s="8">
        <f>D7+G7</f>
        <v/>
      </c>
      <c r="K7" s="8">
        <f>E7+H7</f>
        <v/>
      </c>
      <c r="L7" s="8">
        <f>J7+K7</f>
        <v/>
      </c>
      <c r="M7" s="9">
        <f>IF(C7=0,0,L7/C7*100)</f>
        <v/>
      </c>
    </row>
    <row r="8">
      <c r="A8" s="7" t="n">
        <v>4</v>
      </c>
      <c r="B8" s="8" t="n">
        <v>17875</v>
      </c>
      <c r="C8" s="8" t="n">
        <v>8580</v>
      </c>
      <c r="D8" s="8">
        <f>D24+D40+D56+D72+D88+D104+D120+D136+D152+D168+D184+D200+D216+D232+D248</f>
        <v/>
      </c>
      <c r="E8" s="8">
        <f>E24+E40+E56+E72+E88+E104+E120+E136+E152+E168+E184+E200+E216+E232+E248</f>
        <v/>
      </c>
      <c r="F8" s="8">
        <f>D8+E8</f>
        <v/>
      </c>
      <c r="G8" s="8">
        <f>G24+G40+G56+G72+G88+G104+G120+G136+G152+G168+G184+G200+G216+G232+G248</f>
        <v/>
      </c>
      <c r="H8" s="8">
        <f>H24+H40+H56+H72+H88+H104+H120+H136+H152+H168+H184+H200+H216+H232+H248</f>
        <v/>
      </c>
      <c r="I8" s="8">
        <f>G8+H8</f>
        <v/>
      </c>
      <c r="J8" s="8">
        <f>D8+G8</f>
        <v/>
      </c>
      <c r="K8" s="8">
        <f>E8+H8</f>
        <v/>
      </c>
      <c r="L8" s="8">
        <f>J8+K8</f>
        <v/>
      </c>
      <c r="M8" s="9">
        <f>IF(C8=0,0,L8/C8*100)</f>
        <v/>
      </c>
    </row>
    <row r="9">
      <c r="A9" s="7" t="n">
        <v>5</v>
      </c>
      <c r="B9" s="8" t="n">
        <v>24323</v>
      </c>
      <c r="C9" s="8" t="n">
        <v>11675.04</v>
      </c>
      <c r="D9" s="8">
        <f>D25+D41+D57+D73+D89+D105+D121+D137+D153+D169+D185+D201+D217+D233+D249</f>
        <v/>
      </c>
      <c r="E9" s="8">
        <f>E25+E41+E57+E73+E89+E105+E121+E137+E153+E169+E185+E201+E217+E233+E249</f>
        <v/>
      </c>
      <c r="F9" s="8">
        <f>D9+E9</f>
        <v/>
      </c>
      <c r="G9" s="8">
        <f>G25+G41+G57+G73+G89+G105+G121+G137+G153+G169+G185+G201+G217+G233+G249</f>
        <v/>
      </c>
      <c r="H9" s="8">
        <f>H25+H41+H57+H73+H89+H105+H121+H137+H153+H169+H185+H201+H217+H233+H249</f>
        <v/>
      </c>
      <c r="I9" s="8">
        <f>G9+H9</f>
        <v/>
      </c>
      <c r="J9" s="8">
        <f>D9+G9</f>
        <v/>
      </c>
      <c r="K9" s="8">
        <f>E9+H9</f>
        <v/>
      </c>
      <c r="L9" s="8">
        <f>J9+K9</f>
        <v/>
      </c>
      <c r="M9" s="9">
        <f>IF(C9=0,0,L9/C9*100)</f>
        <v/>
      </c>
    </row>
    <row r="10">
      <c r="A10" s="7" t="n">
        <v>6</v>
      </c>
      <c r="B10" s="8" t="n">
        <v>9337</v>
      </c>
      <c r="C10" s="8" t="n">
        <v>4481.76</v>
      </c>
      <c r="D10" s="8">
        <f>D26+D42+D58+D74+D90+D106+D122+D138+D154+D170+D186+D202+D218+D234+D250</f>
        <v/>
      </c>
      <c r="E10" s="8">
        <f>E26+E42+E58+E74+E90+E106+E122+E138+E154+E170+E186+E202+E218+E234+E250</f>
        <v/>
      </c>
      <c r="F10" s="8">
        <f>D10+E10</f>
        <v/>
      </c>
      <c r="G10" s="8">
        <f>G26+G42+G58+G74+G90+G106+G122+G138+G154+G170+G186+G202+G218+G234+G250</f>
        <v/>
      </c>
      <c r="H10" s="8">
        <f>H26+H42+H58+H74+H90+H106+H122+H138+H154+H170+H186+H202+H218+H234+H250</f>
        <v/>
      </c>
      <c r="I10" s="8">
        <f>G10+H10</f>
        <v/>
      </c>
      <c r="J10" s="8">
        <f>D10+G10</f>
        <v/>
      </c>
      <c r="K10" s="8">
        <f>E10+H10</f>
        <v/>
      </c>
      <c r="L10" s="8">
        <f>J10+K10</f>
        <v/>
      </c>
      <c r="M10" s="9">
        <f>IF(C10=0,0,L10/C10*100)</f>
        <v/>
      </c>
    </row>
    <row r="11">
      <c r="A11" s="7" t="n">
        <v>7</v>
      </c>
      <c r="B11" s="8" t="n">
        <v>8819</v>
      </c>
      <c r="C11" s="8" t="n">
        <v>4233.12</v>
      </c>
      <c r="D11" s="8">
        <f>D27+D43+D59+D75+D91+D107+D123+D139+D155+D171+D187+D203+D219+D235+D251</f>
        <v/>
      </c>
      <c r="E11" s="8">
        <f>E27+E43+E59+E75+E91+E107+E123+E139+E155+E171+E187+E203+E219+E235+E251</f>
        <v/>
      </c>
      <c r="F11" s="8">
        <f>D11+E11</f>
        <v/>
      </c>
      <c r="G11" s="8">
        <f>G27+G43+G59+G75+G91+G107+G123+G139+G155+G171+G187+G203+G219+G235+G251</f>
        <v/>
      </c>
      <c r="H11" s="8">
        <f>H27+H43+H59+H75+H91+H107+H123+H139+H155+H171+H187+H203+H219+H235+H251</f>
        <v/>
      </c>
      <c r="I11" s="8">
        <f>G11+H11</f>
        <v/>
      </c>
      <c r="J11" s="8">
        <f>D11+G11</f>
        <v/>
      </c>
      <c r="K11" s="8">
        <f>E11+H11</f>
        <v/>
      </c>
      <c r="L11" s="8">
        <f>J11+K11</f>
        <v/>
      </c>
      <c r="M11" s="9">
        <f>IF(C11=0,0,L11/C11*100)</f>
        <v/>
      </c>
    </row>
    <row r="12">
      <c r="A12" s="7" t="n">
        <v>8</v>
      </c>
      <c r="B12" s="8" t="n">
        <v>6304</v>
      </c>
      <c r="C12" s="8" t="n">
        <v>3025.92</v>
      </c>
      <c r="D12" s="8">
        <f>D28+D44+D60+D76+D92+D108+D124+D140+D156+D172+D188+D204+D220+D236+D252</f>
        <v/>
      </c>
      <c r="E12" s="8">
        <f>E28+E44+E60+E76+E92+E108+E124+E140+E156+E172+E188+E204+E220+E236+E252</f>
        <v/>
      </c>
      <c r="F12" s="8">
        <f>D12+E12</f>
        <v/>
      </c>
      <c r="G12" s="8">
        <f>G28+G44+G60+G76+G92+G108+G124+G140+G156+G172+G188+G204+G220+G236+G252</f>
        <v/>
      </c>
      <c r="H12" s="8">
        <f>H28+H44+H60+H76+H92+H108+H124+H140+H156+H172+H188+H204+H220+H236+H252</f>
        <v/>
      </c>
      <c r="I12" s="8">
        <f>G12+H12</f>
        <v/>
      </c>
      <c r="J12" s="8">
        <f>D12+G12</f>
        <v/>
      </c>
      <c r="K12" s="8">
        <f>E12+H12</f>
        <v/>
      </c>
      <c r="L12" s="8">
        <f>J12+K12</f>
        <v/>
      </c>
      <c r="M12" s="9">
        <f>IF(C12=0,0,L12/C12*100)</f>
        <v/>
      </c>
    </row>
    <row r="13">
      <c r="A13" s="7" t="n">
        <v>9</v>
      </c>
      <c r="B13" s="8" t="n">
        <v>5891</v>
      </c>
      <c r="C13" s="8" t="n">
        <v>2827.68</v>
      </c>
      <c r="D13" s="8">
        <f>D29+D45+D61+D77+D93+D109+D125+D141+D157+D173+D189+D205+D221+D237+D253</f>
        <v/>
      </c>
      <c r="E13" s="8">
        <f>E29+E45+E61+E77+E93+E109+E125+E141+E157+E173+E189+E205+E221+E237+E253</f>
        <v/>
      </c>
      <c r="F13" s="8">
        <f>D13+E13</f>
        <v/>
      </c>
      <c r="G13" s="8">
        <f>G29+G45+G61+G77+G93+G109+G125+G141+G157+G173+G189+G205+G221+G237+G253</f>
        <v/>
      </c>
      <c r="H13" s="8">
        <f>H29+H45+H61+H77+H93+H109+H125+H141+H157+H173+H189+H205+H221+H237+H253</f>
        <v/>
      </c>
      <c r="I13" s="8">
        <f>G13+H13</f>
        <v/>
      </c>
      <c r="J13" s="8">
        <f>D13+G13</f>
        <v/>
      </c>
      <c r="K13" s="8">
        <f>E13+H13</f>
        <v/>
      </c>
      <c r="L13" s="8">
        <f>J13+K13</f>
        <v/>
      </c>
      <c r="M13" s="9">
        <f>IF(C13=0,0,L13/C13*100)</f>
        <v/>
      </c>
    </row>
    <row r="14">
      <c r="A14" s="7" t="n">
        <v>10</v>
      </c>
      <c r="B14" s="8" t="n">
        <v>8683</v>
      </c>
      <c r="C14" s="8" t="n">
        <v>4167.84</v>
      </c>
      <c r="D14" s="8">
        <f>D30+D46+D62+D78+D94+D110+D126+D142+D158+D174+D190+D206+D222+D238+D254</f>
        <v/>
      </c>
      <c r="E14" s="8">
        <f>E30+E46+E62+E78+E94+E110+E126+E142+E158+E174+E190+E206+E222+E238+E254</f>
        <v/>
      </c>
      <c r="F14" s="8">
        <f>D14+E14</f>
        <v/>
      </c>
      <c r="G14" s="8">
        <f>G30+G46+G62+G78+G94+G110+G126+G142+G158+G174+G190+G206+G222+G238+G254</f>
        <v/>
      </c>
      <c r="H14" s="8">
        <f>H30+H46+H62+H78+H94+H110+H126+H142+H158+H174+H190+H206+H222+H238+H254</f>
        <v/>
      </c>
      <c r="I14" s="8">
        <f>G14+H14</f>
        <v/>
      </c>
      <c r="J14" s="8">
        <f>D14+G14</f>
        <v/>
      </c>
      <c r="K14" s="8">
        <f>E14+H14</f>
        <v/>
      </c>
      <c r="L14" s="8">
        <f>J14+K14</f>
        <v/>
      </c>
      <c r="M14" s="9">
        <f>IF(C14=0,0,L14/C14*100)</f>
        <v/>
      </c>
    </row>
    <row r="15">
      <c r="A15" s="10" t="inlineStr">
        <is>
          <t>Total</t>
        </is>
      </c>
      <c r="B15" s="11">
        <f>SUM(B5:B14)</f>
        <v/>
      </c>
      <c r="C15" s="11">
        <f>SUM(C5:C14)</f>
        <v/>
      </c>
      <c r="D15" s="11">
        <f>SUM(D5:D14)</f>
        <v/>
      </c>
      <c r="E15" s="11">
        <f>SUM(E5:E14)</f>
        <v/>
      </c>
      <c r="F15" s="11">
        <f>D15+E15</f>
        <v/>
      </c>
      <c r="G15" s="11">
        <f>SUM(G5:G14)</f>
        <v/>
      </c>
      <c r="H15" s="11">
        <f>SUM(H5:H14)</f>
        <v/>
      </c>
      <c r="I15" s="11">
        <f>G15+H15</f>
        <v/>
      </c>
      <c r="J15" s="11">
        <f>D15+G15</f>
        <v/>
      </c>
      <c r="K15" s="11">
        <f>E15+H15</f>
        <v/>
      </c>
      <c r="L15" s="11">
        <f>J15+K15</f>
        <v/>
      </c>
      <c r="M15" s="12">
        <f>IF(C15=0,0,L15/C15*100)</f>
        <v/>
      </c>
    </row>
    <row r="17">
      <c r="A17" s="13" t="inlineStr">
        <is>
          <t>Day 1 - 2026-10-05 (Mon 19 Aswin 2083)</t>
        </is>
      </c>
    </row>
    <row r="18">
      <c r="A18" s="6" t="inlineStr">
        <is>
          <t>Ward no.</t>
        </is>
      </c>
      <c r="B18" s="6" t="inlineStr">
        <is>
          <t>Total population</t>
        </is>
      </c>
      <c r="C18" s="6" t="inlineStr">
        <is>
          <t>JE target population</t>
        </is>
      </c>
      <c r="D18" s="6" t="inlineStr">
        <is>
          <t>Vaccinated</t>
        </is>
      </c>
      <c r="E18" s="6" t="n"/>
      <c r="F18" s="6" t="n"/>
      <c r="G18" s="6" t="n"/>
      <c r="H18" s="6" t="n"/>
      <c r="I18" s="6" t="n"/>
      <c r="J18" s="6" t="n"/>
      <c r="K18" s="6" t="n"/>
      <c r="L18" s="6" t="n"/>
      <c r="M18" s="6" t="inlineStr">
        <is>
          <t>Progress %</t>
        </is>
      </c>
    </row>
    <row r="19">
      <c r="A19" s="6" t="n"/>
      <c r="B19" s="6" t="n"/>
      <c r="C19" s="6" t="n"/>
      <c r="D19" s="6" t="inlineStr">
        <is>
          <t>Age 30-60 yrs</t>
        </is>
      </c>
      <c r="E19" s="6" t="n"/>
      <c r="F19" s="6" t="n"/>
      <c r="G19" s="6" t="inlineStr">
        <is>
          <t>Age 60 above</t>
        </is>
      </c>
      <c r="H19" s="6" t="n"/>
      <c r="I19" s="6" t="n"/>
      <c r="J19" s="6" t="inlineStr">
        <is>
          <t>Total</t>
        </is>
      </c>
      <c r="K19" s="6" t="n"/>
      <c r="L19" s="6" t="inlineStr">
        <is>
          <t>Grand Total</t>
        </is>
      </c>
      <c r="M19" s="6" t="n"/>
    </row>
    <row r="20">
      <c r="A20" s="6" t="n"/>
      <c r="B20" s="6" t="n"/>
      <c r="C20" s="6" t="n"/>
      <c r="D20" s="6" t="inlineStr">
        <is>
          <t>F</t>
        </is>
      </c>
      <c r="E20" s="6" t="inlineStr">
        <is>
          <t>M</t>
        </is>
      </c>
      <c r="F20" s="6" t="inlineStr">
        <is>
          <t>Total</t>
        </is>
      </c>
      <c r="G20" s="6" t="inlineStr">
        <is>
          <t>F</t>
        </is>
      </c>
      <c r="H20" s="6" t="inlineStr">
        <is>
          <t>M</t>
        </is>
      </c>
      <c r="I20" s="6" t="inlineStr">
        <is>
          <t>Total</t>
        </is>
      </c>
      <c r="J20" s="6" t="inlineStr">
        <is>
          <t>F</t>
        </is>
      </c>
      <c r="K20" s="6" t="inlineStr">
        <is>
          <t>M</t>
        </is>
      </c>
      <c r="L20" s="6" t="n"/>
      <c r="M20" s="6" t="n"/>
    </row>
    <row r="21">
      <c r="A21" s="7" t="n">
        <v>1</v>
      </c>
      <c r="B21" s="8">
        <f>B5</f>
        <v/>
      </c>
      <c r="C21" s="8">
        <f>C5</f>
        <v/>
      </c>
      <c r="D21" s="14" t="n"/>
      <c r="E21" s="14" t="n"/>
      <c r="F21" s="8">
        <f>D21+E21</f>
        <v/>
      </c>
      <c r="G21" s="14" t="n"/>
      <c r="H21" s="14" t="n"/>
      <c r="I21" s="8">
        <f>G21+H21</f>
        <v/>
      </c>
      <c r="J21" s="8">
        <f>D21+G21</f>
        <v/>
      </c>
      <c r="K21" s="8">
        <f>E21+H21</f>
        <v/>
      </c>
      <c r="L21" s="8">
        <f>J21+K21</f>
        <v/>
      </c>
      <c r="M21" s="9">
        <f>IF(C21=0,0,L21/C21*100)</f>
        <v/>
      </c>
    </row>
    <row r="22">
      <c r="A22" s="7" t="n">
        <v>2</v>
      </c>
      <c r="B22" s="8">
        <f>B6</f>
        <v/>
      </c>
      <c r="C22" s="8">
        <f>C6</f>
        <v/>
      </c>
      <c r="D22" s="14" t="n"/>
      <c r="E22" s="14" t="n"/>
      <c r="F22" s="8">
        <f>D22+E22</f>
        <v/>
      </c>
      <c r="G22" s="14" t="n"/>
      <c r="H22" s="14" t="n"/>
      <c r="I22" s="8">
        <f>G22+H22</f>
        <v/>
      </c>
      <c r="J22" s="8">
        <f>D22+G22</f>
        <v/>
      </c>
      <c r="K22" s="8">
        <f>E22+H22</f>
        <v/>
      </c>
      <c r="L22" s="8">
        <f>J22+K22</f>
        <v/>
      </c>
      <c r="M22" s="9">
        <f>IF(C22=0,0,L22/C22*100)</f>
        <v/>
      </c>
    </row>
    <row r="23">
      <c r="A23" s="7" t="n">
        <v>3</v>
      </c>
      <c r="B23" s="8">
        <f>B7</f>
        <v/>
      </c>
      <c r="C23" s="8">
        <f>C7</f>
        <v/>
      </c>
      <c r="D23" s="14" t="n"/>
      <c r="E23" s="14" t="n"/>
      <c r="F23" s="8">
        <f>D23+E23</f>
        <v/>
      </c>
      <c r="G23" s="14" t="n"/>
      <c r="H23" s="14" t="n"/>
      <c r="I23" s="8">
        <f>G23+H23</f>
        <v/>
      </c>
      <c r="J23" s="8">
        <f>D23+G23</f>
        <v/>
      </c>
      <c r="K23" s="8">
        <f>E23+H23</f>
        <v/>
      </c>
      <c r="L23" s="8">
        <f>J23+K23</f>
        <v/>
      </c>
      <c r="M23" s="9">
        <f>IF(C23=0,0,L23/C23*100)</f>
        <v/>
      </c>
    </row>
    <row r="24">
      <c r="A24" s="7" t="n">
        <v>4</v>
      </c>
      <c r="B24" s="8">
        <f>B8</f>
        <v/>
      </c>
      <c r="C24" s="8">
        <f>C8</f>
        <v/>
      </c>
      <c r="D24" s="14" t="n"/>
      <c r="E24" s="14" t="n"/>
      <c r="F24" s="8">
        <f>D24+E24</f>
        <v/>
      </c>
      <c r="G24" s="14" t="n"/>
      <c r="H24" s="14" t="n"/>
      <c r="I24" s="8">
        <f>G24+H24</f>
        <v/>
      </c>
      <c r="J24" s="8">
        <f>D24+G24</f>
        <v/>
      </c>
      <c r="K24" s="8">
        <f>E24+H24</f>
        <v/>
      </c>
      <c r="L24" s="8">
        <f>J24+K24</f>
        <v/>
      </c>
      <c r="M24" s="9">
        <f>IF(C24=0,0,L24/C24*100)</f>
        <v/>
      </c>
    </row>
    <row r="25">
      <c r="A25" s="7" t="n">
        <v>5</v>
      </c>
      <c r="B25" s="8">
        <f>B9</f>
        <v/>
      </c>
      <c r="C25" s="8">
        <f>C9</f>
        <v/>
      </c>
      <c r="D25" s="14" t="n"/>
      <c r="E25" s="14" t="n"/>
      <c r="F25" s="8">
        <f>D25+E25</f>
        <v/>
      </c>
      <c r="G25" s="14" t="n"/>
      <c r="H25" s="14" t="n"/>
      <c r="I25" s="8">
        <f>G25+H25</f>
        <v/>
      </c>
      <c r="J25" s="8">
        <f>D25+G25</f>
        <v/>
      </c>
      <c r="K25" s="8">
        <f>E25+H25</f>
        <v/>
      </c>
      <c r="L25" s="8">
        <f>J25+K25</f>
        <v/>
      </c>
      <c r="M25" s="9">
        <f>IF(C25=0,0,L25/C25*100)</f>
        <v/>
      </c>
    </row>
    <row r="26">
      <c r="A26" s="7" t="n">
        <v>6</v>
      </c>
      <c r="B26" s="8">
        <f>B10</f>
        <v/>
      </c>
      <c r="C26" s="8">
        <f>C10</f>
        <v/>
      </c>
      <c r="D26" s="14" t="n"/>
      <c r="E26" s="14" t="n"/>
      <c r="F26" s="8">
        <f>D26+E26</f>
        <v/>
      </c>
      <c r="G26" s="14" t="n"/>
      <c r="H26" s="14" t="n"/>
      <c r="I26" s="8">
        <f>G26+H26</f>
        <v/>
      </c>
      <c r="J26" s="8">
        <f>D26+G26</f>
        <v/>
      </c>
      <c r="K26" s="8">
        <f>E26+H26</f>
        <v/>
      </c>
      <c r="L26" s="8">
        <f>J26+K26</f>
        <v/>
      </c>
      <c r="M26" s="9">
        <f>IF(C26=0,0,L26/C26*100)</f>
        <v/>
      </c>
    </row>
    <row r="27">
      <c r="A27" s="7" t="n">
        <v>7</v>
      </c>
      <c r="B27" s="8">
        <f>B11</f>
        <v/>
      </c>
      <c r="C27" s="8">
        <f>C11</f>
        <v/>
      </c>
      <c r="D27" s="14" t="n"/>
      <c r="E27" s="14" t="n"/>
      <c r="F27" s="8">
        <f>D27+E27</f>
        <v/>
      </c>
      <c r="G27" s="14" t="n"/>
      <c r="H27" s="14" t="n"/>
      <c r="I27" s="8">
        <f>G27+H27</f>
        <v/>
      </c>
      <c r="J27" s="8">
        <f>D27+G27</f>
        <v/>
      </c>
      <c r="K27" s="8">
        <f>E27+H27</f>
        <v/>
      </c>
      <c r="L27" s="8">
        <f>J27+K27</f>
        <v/>
      </c>
      <c r="M27" s="9">
        <f>IF(C27=0,0,L27/C27*100)</f>
        <v/>
      </c>
    </row>
    <row r="28">
      <c r="A28" s="7" t="n">
        <v>8</v>
      </c>
      <c r="B28" s="8">
        <f>B12</f>
        <v/>
      </c>
      <c r="C28" s="8">
        <f>C12</f>
        <v/>
      </c>
      <c r="D28" s="14" t="n"/>
      <c r="E28" s="14" t="n"/>
      <c r="F28" s="8">
        <f>D28+E28</f>
        <v/>
      </c>
      <c r="G28" s="14" t="n"/>
      <c r="H28" s="14" t="n"/>
      <c r="I28" s="8">
        <f>G28+H28</f>
        <v/>
      </c>
      <c r="J28" s="8">
        <f>D28+G28</f>
        <v/>
      </c>
      <c r="K28" s="8">
        <f>E28+H28</f>
        <v/>
      </c>
      <c r="L28" s="8">
        <f>J28+K28</f>
        <v/>
      </c>
      <c r="M28" s="9">
        <f>IF(C28=0,0,L28/C28*100)</f>
        <v/>
      </c>
    </row>
    <row r="29">
      <c r="A29" s="7" t="n">
        <v>9</v>
      </c>
      <c r="B29" s="8">
        <f>B13</f>
        <v/>
      </c>
      <c r="C29" s="8">
        <f>C13</f>
        <v/>
      </c>
      <c r="D29" s="14" t="n"/>
      <c r="E29" s="14" t="n"/>
      <c r="F29" s="8">
        <f>D29+E29</f>
        <v/>
      </c>
      <c r="G29" s="14" t="n"/>
      <c r="H29" s="14" t="n"/>
      <c r="I29" s="8">
        <f>G29+H29</f>
        <v/>
      </c>
      <c r="J29" s="8">
        <f>D29+G29</f>
        <v/>
      </c>
      <c r="K29" s="8">
        <f>E29+H29</f>
        <v/>
      </c>
      <c r="L29" s="8">
        <f>J29+K29</f>
        <v/>
      </c>
      <c r="M29" s="9">
        <f>IF(C29=0,0,L29/C29*100)</f>
        <v/>
      </c>
    </row>
    <row r="30">
      <c r="A30" s="7" t="n">
        <v>10</v>
      </c>
      <c r="B30" s="8">
        <f>B14</f>
        <v/>
      </c>
      <c r="C30" s="8">
        <f>C14</f>
        <v/>
      </c>
      <c r="D30" s="14" t="n"/>
      <c r="E30" s="14" t="n"/>
      <c r="F30" s="8">
        <f>D30+E30</f>
        <v/>
      </c>
      <c r="G30" s="14" t="n"/>
      <c r="H30" s="14" t="n"/>
      <c r="I30" s="8">
        <f>G30+H30</f>
        <v/>
      </c>
      <c r="J30" s="8">
        <f>D30+G30</f>
        <v/>
      </c>
      <c r="K30" s="8">
        <f>E30+H30</f>
        <v/>
      </c>
      <c r="L30" s="8">
        <f>J30+K30</f>
        <v/>
      </c>
      <c r="M30" s="9">
        <f>IF(C30=0,0,L30/C30*100)</f>
        <v/>
      </c>
    </row>
    <row r="31">
      <c r="A31" s="10" t="inlineStr">
        <is>
          <t>Total</t>
        </is>
      </c>
      <c r="B31" s="11">
        <f>SUM(B21:B30)</f>
        <v/>
      </c>
      <c r="C31" s="11">
        <f>SUM(C21:C30)</f>
        <v/>
      </c>
      <c r="D31" s="11">
        <f>SUM(D21:D30)</f>
        <v/>
      </c>
      <c r="E31" s="11">
        <f>SUM(E21:E30)</f>
        <v/>
      </c>
      <c r="F31" s="11">
        <f>D31+E31</f>
        <v/>
      </c>
      <c r="G31" s="11">
        <f>SUM(G21:G30)</f>
        <v/>
      </c>
      <c r="H31" s="11">
        <f>SUM(H21:H30)</f>
        <v/>
      </c>
      <c r="I31" s="11">
        <f>G31+H31</f>
        <v/>
      </c>
      <c r="J31" s="11">
        <f>D31+G31</f>
        <v/>
      </c>
      <c r="K31" s="11">
        <f>E31+H31</f>
        <v/>
      </c>
      <c r="L31" s="11">
        <f>J31+K31</f>
        <v/>
      </c>
      <c r="M31" s="12">
        <f>IF(C31=0,0,L31/C31*100)</f>
        <v/>
      </c>
    </row>
    <row r="33">
      <c r="A33" s="13" t="inlineStr">
        <is>
          <t>Day 2 - 2026-10-06 (Tue 20 Aswin 2083)</t>
        </is>
      </c>
    </row>
    <row r="34">
      <c r="A34" s="6" t="inlineStr">
        <is>
          <t>Ward no.</t>
        </is>
      </c>
      <c r="B34" s="6" t="inlineStr">
        <is>
          <t>Total population</t>
        </is>
      </c>
      <c r="C34" s="6" t="inlineStr">
        <is>
          <t>JE target population</t>
        </is>
      </c>
      <c r="D34" s="6" t="inlineStr">
        <is>
          <t>Vaccinated</t>
        </is>
      </c>
      <c r="E34" s="6" t="n"/>
      <c r="F34" s="6" t="n"/>
      <c r="G34" s="6" t="n"/>
      <c r="H34" s="6" t="n"/>
      <c r="I34" s="6" t="n"/>
      <c r="J34" s="6" t="n"/>
      <c r="K34" s="6" t="n"/>
      <c r="L34" s="6" t="n"/>
      <c r="M34" s="6" t="inlineStr">
        <is>
          <t>Progress %</t>
        </is>
      </c>
    </row>
    <row r="35">
      <c r="A35" s="6" t="n"/>
      <c r="B35" s="6" t="n"/>
      <c r="C35" s="6" t="n"/>
      <c r="D35" s="6" t="inlineStr">
        <is>
          <t>Age 30-60 yrs</t>
        </is>
      </c>
      <c r="E35" s="6" t="n"/>
      <c r="F35" s="6" t="n"/>
      <c r="G35" s="6" t="inlineStr">
        <is>
          <t>Age 60 above</t>
        </is>
      </c>
      <c r="H35" s="6" t="n"/>
      <c r="I35" s="6" t="n"/>
      <c r="J35" s="6" t="inlineStr">
        <is>
          <t>Total</t>
        </is>
      </c>
      <c r="K35" s="6" t="n"/>
      <c r="L35" s="6" t="inlineStr">
        <is>
          <t>Grand Total</t>
        </is>
      </c>
      <c r="M35" s="6" t="n"/>
    </row>
    <row r="36">
      <c r="A36" s="6" t="n"/>
      <c r="B36" s="6" t="n"/>
      <c r="C36" s="6" t="n"/>
      <c r="D36" s="6" t="inlineStr">
        <is>
          <t>F</t>
        </is>
      </c>
      <c r="E36" s="6" t="inlineStr">
        <is>
          <t>M</t>
        </is>
      </c>
      <c r="F36" s="6" t="inlineStr">
        <is>
          <t>Total</t>
        </is>
      </c>
      <c r="G36" s="6" t="inlineStr">
        <is>
          <t>F</t>
        </is>
      </c>
      <c r="H36" s="6" t="inlineStr">
        <is>
          <t>M</t>
        </is>
      </c>
      <c r="I36" s="6" t="inlineStr">
        <is>
          <t>Total</t>
        </is>
      </c>
      <c r="J36" s="6" t="inlineStr">
        <is>
          <t>F</t>
        </is>
      </c>
      <c r="K36" s="6" t="inlineStr">
        <is>
          <t>M</t>
        </is>
      </c>
      <c r="L36" s="6" t="n"/>
      <c r="M36" s="6" t="n"/>
    </row>
    <row r="37">
      <c r="A37" s="7" t="n">
        <v>1</v>
      </c>
      <c r="B37" s="8">
        <f>B5</f>
        <v/>
      </c>
      <c r="C37" s="8">
        <f>C5</f>
        <v/>
      </c>
      <c r="D37" s="14" t="n"/>
      <c r="E37" s="14" t="n"/>
      <c r="F37" s="8">
        <f>D37+E37</f>
        <v/>
      </c>
      <c r="G37" s="14" t="n"/>
      <c r="H37" s="14" t="n"/>
      <c r="I37" s="8">
        <f>G37+H37</f>
        <v/>
      </c>
      <c r="J37" s="8">
        <f>D37+G37</f>
        <v/>
      </c>
      <c r="K37" s="8">
        <f>E37+H37</f>
        <v/>
      </c>
      <c r="L37" s="8">
        <f>J37+K37</f>
        <v/>
      </c>
      <c r="M37" s="9">
        <f>IF(C37=0,0,L37/C37*100)</f>
        <v/>
      </c>
    </row>
    <row r="38">
      <c r="A38" s="7" t="n">
        <v>2</v>
      </c>
      <c r="B38" s="8">
        <f>B6</f>
        <v/>
      </c>
      <c r="C38" s="8">
        <f>C6</f>
        <v/>
      </c>
      <c r="D38" s="14" t="n"/>
      <c r="E38" s="14" t="n"/>
      <c r="F38" s="8">
        <f>D38+E38</f>
        <v/>
      </c>
      <c r="G38" s="14" t="n"/>
      <c r="H38" s="14" t="n"/>
      <c r="I38" s="8">
        <f>G38+H38</f>
        <v/>
      </c>
      <c r="J38" s="8">
        <f>D38+G38</f>
        <v/>
      </c>
      <c r="K38" s="8">
        <f>E38+H38</f>
        <v/>
      </c>
      <c r="L38" s="8">
        <f>J38+K38</f>
        <v/>
      </c>
      <c r="M38" s="9">
        <f>IF(C38=0,0,L38/C38*100)</f>
        <v/>
      </c>
    </row>
    <row r="39">
      <c r="A39" s="7" t="n">
        <v>3</v>
      </c>
      <c r="B39" s="8">
        <f>B7</f>
        <v/>
      </c>
      <c r="C39" s="8">
        <f>C7</f>
        <v/>
      </c>
      <c r="D39" s="14" t="n"/>
      <c r="E39" s="14" t="n"/>
      <c r="F39" s="8">
        <f>D39+E39</f>
        <v/>
      </c>
      <c r="G39" s="14" t="n"/>
      <c r="H39" s="14" t="n"/>
      <c r="I39" s="8">
        <f>G39+H39</f>
        <v/>
      </c>
      <c r="J39" s="8">
        <f>D39+G39</f>
        <v/>
      </c>
      <c r="K39" s="8">
        <f>E39+H39</f>
        <v/>
      </c>
      <c r="L39" s="8">
        <f>J39+K39</f>
        <v/>
      </c>
      <c r="M39" s="9">
        <f>IF(C39=0,0,L39/C39*100)</f>
        <v/>
      </c>
    </row>
    <row r="40">
      <c r="A40" s="7" t="n">
        <v>4</v>
      </c>
      <c r="B40" s="8">
        <f>B8</f>
        <v/>
      </c>
      <c r="C40" s="8">
        <f>C8</f>
        <v/>
      </c>
      <c r="D40" s="14" t="n"/>
      <c r="E40" s="14" t="n"/>
      <c r="F40" s="8">
        <f>D40+E40</f>
        <v/>
      </c>
      <c r="G40" s="14" t="n"/>
      <c r="H40" s="14" t="n"/>
      <c r="I40" s="8">
        <f>G40+H40</f>
        <v/>
      </c>
      <c r="J40" s="8">
        <f>D40+G40</f>
        <v/>
      </c>
      <c r="K40" s="8">
        <f>E40+H40</f>
        <v/>
      </c>
      <c r="L40" s="8">
        <f>J40+K40</f>
        <v/>
      </c>
      <c r="M40" s="9">
        <f>IF(C40=0,0,L40/C40*100)</f>
        <v/>
      </c>
    </row>
    <row r="41">
      <c r="A41" s="7" t="n">
        <v>5</v>
      </c>
      <c r="B41" s="8">
        <f>B9</f>
        <v/>
      </c>
      <c r="C41" s="8">
        <f>C9</f>
        <v/>
      </c>
      <c r="D41" s="14" t="n"/>
      <c r="E41" s="14" t="n"/>
      <c r="F41" s="8">
        <f>D41+E41</f>
        <v/>
      </c>
      <c r="G41" s="14" t="n"/>
      <c r="H41" s="14" t="n"/>
      <c r="I41" s="8">
        <f>G41+H41</f>
        <v/>
      </c>
      <c r="J41" s="8">
        <f>D41+G41</f>
        <v/>
      </c>
      <c r="K41" s="8">
        <f>E41+H41</f>
        <v/>
      </c>
      <c r="L41" s="8">
        <f>J41+K41</f>
        <v/>
      </c>
      <c r="M41" s="9">
        <f>IF(C41=0,0,L41/C41*100)</f>
        <v/>
      </c>
    </row>
    <row r="42">
      <c r="A42" s="7" t="n">
        <v>6</v>
      </c>
      <c r="B42" s="8">
        <f>B10</f>
        <v/>
      </c>
      <c r="C42" s="8">
        <f>C10</f>
        <v/>
      </c>
      <c r="D42" s="14" t="n"/>
      <c r="E42" s="14" t="n"/>
      <c r="F42" s="8">
        <f>D42+E42</f>
        <v/>
      </c>
      <c r="G42" s="14" t="n"/>
      <c r="H42" s="14" t="n"/>
      <c r="I42" s="8">
        <f>G42+H42</f>
        <v/>
      </c>
      <c r="J42" s="8">
        <f>D42+G42</f>
        <v/>
      </c>
      <c r="K42" s="8">
        <f>E42+H42</f>
        <v/>
      </c>
      <c r="L42" s="8">
        <f>J42+K42</f>
        <v/>
      </c>
      <c r="M42" s="9">
        <f>IF(C42=0,0,L42/C42*100)</f>
        <v/>
      </c>
    </row>
    <row r="43">
      <c r="A43" s="7" t="n">
        <v>7</v>
      </c>
      <c r="B43" s="8">
        <f>B11</f>
        <v/>
      </c>
      <c r="C43" s="8">
        <f>C11</f>
        <v/>
      </c>
      <c r="D43" s="14" t="n"/>
      <c r="E43" s="14" t="n"/>
      <c r="F43" s="8">
        <f>D43+E43</f>
        <v/>
      </c>
      <c r="G43" s="14" t="n"/>
      <c r="H43" s="14" t="n"/>
      <c r="I43" s="8">
        <f>G43+H43</f>
        <v/>
      </c>
      <c r="J43" s="8">
        <f>D43+G43</f>
        <v/>
      </c>
      <c r="K43" s="8">
        <f>E43+H43</f>
        <v/>
      </c>
      <c r="L43" s="8">
        <f>J43+K43</f>
        <v/>
      </c>
      <c r="M43" s="9">
        <f>IF(C43=0,0,L43/C43*100)</f>
        <v/>
      </c>
    </row>
    <row r="44">
      <c r="A44" s="7" t="n">
        <v>8</v>
      </c>
      <c r="B44" s="8">
        <f>B12</f>
        <v/>
      </c>
      <c r="C44" s="8">
        <f>C12</f>
        <v/>
      </c>
      <c r="D44" s="14" t="n"/>
      <c r="E44" s="14" t="n"/>
      <c r="F44" s="8">
        <f>D44+E44</f>
        <v/>
      </c>
      <c r="G44" s="14" t="n"/>
      <c r="H44" s="14" t="n"/>
      <c r="I44" s="8">
        <f>G44+H44</f>
        <v/>
      </c>
      <c r="J44" s="8">
        <f>D44+G44</f>
        <v/>
      </c>
      <c r="K44" s="8">
        <f>E44+H44</f>
        <v/>
      </c>
      <c r="L44" s="8">
        <f>J44+K44</f>
        <v/>
      </c>
      <c r="M44" s="9">
        <f>IF(C44=0,0,L44/C44*100)</f>
        <v/>
      </c>
    </row>
    <row r="45">
      <c r="A45" s="7" t="n">
        <v>9</v>
      </c>
      <c r="B45" s="8">
        <f>B13</f>
        <v/>
      </c>
      <c r="C45" s="8">
        <f>C13</f>
        <v/>
      </c>
      <c r="D45" s="14" t="n"/>
      <c r="E45" s="14" t="n"/>
      <c r="F45" s="8">
        <f>D45+E45</f>
        <v/>
      </c>
      <c r="G45" s="14" t="n"/>
      <c r="H45" s="14" t="n"/>
      <c r="I45" s="8">
        <f>G45+H45</f>
        <v/>
      </c>
      <c r="J45" s="8">
        <f>D45+G45</f>
        <v/>
      </c>
      <c r="K45" s="8">
        <f>E45+H45</f>
        <v/>
      </c>
      <c r="L45" s="8">
        <f>J45+K45</f>
        <v/>
      </c>
      <c r="M45" s="9">
        <f>IF(C45=0,0,L45/C45*100)</f>
        <v/>
      </c>
    </row>
    <row r="46">
      <c r="A46" s="7" t="n">
        <v>10</v>
      </c>
      <c r="B46" s="8">
        <f>B14</f>
        <v/>
      </c>
      <c r="C46" s="8">
        <f>C14</f>
        <v/>
      </c>
      <c r="D46" s="14" t="n"/>
      <c r="E46" s="14" t="n"/>
      <c r="F46" s="8">
        <f>D46+E46</f>
        <v/>
      </c>
      <c r="G46" s="14" t="n"/>
      <c r="H46" s="14" t="n"/>
      <c r="I46" s="8">
        <f>G46+H46</f>
        <v/>
      </c>
      <c r="J46" s="8">
        <f>D46+G46</f>
        <v/>
      </c>
      <c r="K46" s="8">
        <f>E46+H46</f>
        <v/>
      </c>
      <c r="L46" s="8">
        <f>J46+K46</f>
        <v/>
      </c>
      <c r="M46" s="9">
        <f>IF(C46=0,0,L46/C46*100)</f>
        <v/>
      </c>
    </row>
    <row r="47">
      <c r="A47" s="10" t="inlineStr">
        <is>
          <t>Total</t>
        </is>
      </c>
      <c r="B47" s="11">
        <f>SUM(B37:B46)</f>
        <v/>
      </c>
      <c r="C47" s="11">
        <f>SUM(C37:C46)</f>
        <v/>
      </c>
      <c r="D47" s="11">
        <f>SUM(D37:D46)</f>
        <v/>
      </c>
      <c r="E47" s="11">
        <f>SUM(E37:E46)</f>
        <v/>
      </c>
      <c r="F47" s="11">
        <f>D47+E47</f>
        <v/>
      </c>
      <c r="G47" s="11">
        <f>SUM(G37:G46)</f>
        <v/>
      </c>
      <c r="H47" s="11">
        <f>SUM(H37:H46)</f>
        <v/>
      </c>
      <c r="I47" s="11">
        <f>G47+H47</f>
        <v/>
      </c>
      <c r="J47" s="11">
        <f>D47+G47</f>
        <v/>
      </c>
      <c r="K47" s="11">
        <f>E47+H47</f>
        <v/>
      </c>
      <c r="L47" s="11">
        <f>J47+K47</f>
        <v/>
      </c>
      <c r="M47" s="12">
        <f>IF(C47=0,0,L47/C47*100)</f>
        <v/>
      </c>
    </row>
    <row r="49">
      <c r="A49" s="13" t="inlineStr">
        <is>
          <t>Day 3 - 2026-10-07 (Wed 21 Aswin 2083)</t>
        </is>
      </c>
    </row>
    <row r="50">
      <c r="A50" s="6" t="inlineStr">
        <is>
          <t>Ward no.</t>
        </is>
      </c>
      <c r="B50" s="6" t="inlineStr">
        <is>
          <t>Total population</t>
        </is>
      </c>
      <c r="C50" s="6" t="inlineStr">
        <is>
          <t>JE target population</t>
        </is>
      </c>
      <c r="D50" s="6" t="inlineStr">
        <is>
          <t>Vaccinated</t>
        </is>
      </c>
      <c r="E50" s="6" t="n"/>
      <c r="F50" s="6" t="n"/>
      <c r="G50" s="6" t="n"/>
      <c r="H50" s="6" t="n"/>
      <c r="I50" s="6" t="n"/>
      <c r="J50" s="6" t="n"/>
      <c r="K50" s="6" t="n"/>
      <c r="L50" s="6" t="n"/>
      <c r="M50" s="6" t="inlineStr">
        <is>
          <t>Progress %</t>
        </is>
      </c>
    </row>
    <row r="51">
      <c r="A51" s="6" t="n"/>
      <c r="B51" s="6" t="n"/>
      <c r="C51" s="6" t="n"/>
      <c r="D51" s="6" t="inlineStr">
        <is>
          <t>Age 30-60 yrs</t>
        </is>
      </c>
      <c r="E51" s="6" t="n"/>
      <c r="F51" s="6" t="n"/>
      <c r="G51" s="6" t="inlineStr">
        <is>
          <t>Age 60 above</t>
        </is>
      </c>
      <c r="H51" s="6" t="n"/>
      <c r="I51" s="6" t="n"/>
      <c r="J51" s="6" t="inlineStr">
        <is>
          <t>Total</t>
        </is>
      </c>
      <c r="K51" s="6" t="n"/>
      <c r="L51" s="6" t="inlineStr">
        <is>
          <t>Grand Total</t>
        </is>
      </c>
      <c r="M51" s="6" t="n"/>
    </row>
    <row r="52">
      <c r="A52" s="6" t="n"/>
      <c r="B52" s="6" t="n"/>
      <c r="C52" s="6" t="n"/>
      <c r="D52" s="6" t="inlineStr">
        <is>
          <t>F</t>
        </is>
      </c>
      <c r="E52" s="6" t="inlineStr">
        <is>
          <t>M</t>
        </is>
      </c>
      <c r="F52" s="6" t="inlineStr">
        <is>
          <t>Total</t>
        </is>
      </c>
      <c r="G52" s="6" t="inlineStr">
        <is>
          <t>F</t>
        </is>
      </c>
      <c r="H52" s="6" t="inlineStr">
        <is>
          <t>M</t>
        </is>
      </c>
      <c r="I52" s="6" t="inlineStr">
        <is>
          <t>Total</t>
        </is>
      </c>
      <c r="J52" s="6" t="inlineStr">
        <is>
          <t>F</t>
        </is>
      </c>
      <c r="K52" s="6" t="inlineStr">
        <is>
          <t>M</t>
        </is>
      </c>
      <c r="L52" s="6" t="n"/>
      <c r="M52" s="6" t="n"/>
    </row>
    <row r="53">
      <c r="A53" s="7" t="n">
        <v>1</v>
      </c>
      <c r="B53" s="8">
        <f>B5</f>
        <v/>
      </c>
      <c r="C53" s="8">
        <f>C5</f>
        <v/>
      </c>
      <c r="D53" s="14" t="n"/>
      <c r="E53" s="14" t="n"/>
      <c r="F53" s="8">
        <f>D53+E53</f>
        <v/>
      </c>
      <c r="G53" s="14" t="n"/>
      <c r="H53" s="14" t="n"/>
      <c r="I53" s="8">
        <f>G53+H53</f>
        <v/>
      </c>
      <c r="J53" s="8">
        <f>D53+G53</f>
        <v/>
      </c>
      <c r="K53" s="8">
        <f>E53+H53</f>
        <v/>
      </c>
      <c r="L53" s="8">
        <f>J53+K53</f>
        <v/>
      </c>
      <c r="M53" s="9">
        <f>IF(C53=0,0,L53/C53*100)</f>
        <v/>
      </c>
    </row>
    <row r="54">
      <c r="A54" s="7" t="n">
        <v>2</v>
      </c>
      <c r="B54" s="8">
        <f>B6</f>
        <v/>
      </c>
      <c r="C54" s="8">
        <f>C6</f>
        <v/>
      </c>
      <c r="D54" s="14" t="n"/>
      <c r="E54" s="14" t="n"/>
      <c r="F54" s="8">
        <f>D54+E54</f>
        <v/>
      </c>
      <c r="G54" s="14" t="n"/>
      <c r="H54" s="14" t="n"/>
      <c r="I54" s="8">
        <f>G54+H54</f>
        <v/>
      </c>
      <c r="J54" s="8">
        <f>D54+G54</f>
        <v/>
      </c>
      <c r="K54" s="8">
        <f>E54+H54</f>
        <v/>
      </c>
      <c r="L54" s="8">
        <f>J54+K54</f>
        <v/>
      </c>
      <c r="M54" s="9">
        <f>IF(C54=0,0,L54/C54*100)</f>
        <v/>
      </c>
    </row>
    <row r="55">
      <c r="A55" s="7" t="n">
        <v>3</v>
      </c>
      <c r="B55" s="8">
        <f>B7</f>
        <v/>
      </c>
      <c r="C55" s="8">
        <f>C7</f>
        <v/>
      </c>
      <c r="D55" s="14" t="n"/>
      <c r="E55" s="14" t="n"/>
      <c r="F55" s="8">
        <f>D55+E55</f>
        <v/>
      </c>
      <c r="G55" s="14" t="n"/>
      <c r="H55" s="14" t="n"/>
      <c r="I55" s="8">
        <f>G55+H55</f>
        <v/>
      </c>
      <c r="J55" s="8">
        <f>D55+G55</f>
        <v/>
      </c>
      <c r="K55" s="8">
        <f>E55+H55</f>
        <v/>
      </c>
      <c r="L55" s="8">
        <f>J55+K55</f>
        <v/>
      </c>
      <c r="M55" s="9">
        <f>IF(C55=0,0,L55/C55*100)</f>
        <v/>
      </c>
    </row>
    <row r="56">
      <c r="A56" s="7" t="n">
        <v>4</v>
      </c>
      <c r="B56" s="8">
        <f>B8</f>
        <v/>
      </c>
      <c r="C56" s="8">
        <f>C8</f>
        <v/>
      </c>
      <c r="D56" s="14" t="n"/>
      <c r="E56" s="14" t="n"/>
      <c r="F56" s="8">
        <f>D56+E56</f>
        <v/>
      </c>
      <c r="G56" s="14" t="n"/>
      <c r="H56" s="14" t="n"/>
      <c r="I56" s="8">
        <f>G56+H56</f>
        <v/>
      </c>
      <c r="J56" s="8">
        <f>D56+G56</f>
        <v/>
      </c>
      <c r="K56" s="8">
        <f>E56+H56</f>
        <v/>
      </c>
      <c r="L56" s="8">
        <f>J56+K56</f>
        <v/>
      </c>
      <c r="M56" s="9">
        <f>IF(C56=0,0,L56/C56*100)</f>
        <v/>
      </c>
    </row>
    <row r="57">
      <c r="A57" s="7" t="n">
        <v>5</v>
      </c>
      <c r="B57" s="8">
        <f>B9</f>
        <v/>
      </c>
      <c r="C57" s="8">
        <f>C9</f>
        <v/>
      </c>
      <c r="D57" s="14" t="n"/>
      <c r="E57" s="14" t="n"/>
      <c r="F57" s="8">
        <f>D57+E57</f>
        <v/>
      </c>
      <c r="G57" s="14" t="n"/>
      <c r="H57" s="14" t="n"/>
      <c r="I57" s="8">
        <f>G57+H57</f>
        <v/>
      </c>
      <c r="J57" s="8">
        <f>D57+G57</f>
        <v/>
      </c>
      <c r="K57" s="8">
        <f>E57+H57</f>
        <v/>
      </c>
      <c r="L57" s="8">
        <f>J57+K57</f>
        <v/>
      </c>
      <c r="M57" s="9">
        <f>IF(C57=0,0,L57/C57*100)</f>
        <v/>
      </c>
    </row>
    <row r="58">
      <c r="A58" s="7" t="n">
        <v>6</v>
      </c>
      <c r="B58" s="8">
        <f>B10</f>
        <v/>
      </c>
      <c r="C58" s="8">
        <f>C10</f>
        <v/>
      </c>
      <c r="D58" s="14" t="n"/>
      <c r="E58" s="14" t="n"/>
      <c r="F58" s="8">
        <f>D58+E58</f>
        <v/>
      </c>
      <c r="G58" s="14" t="n"/>
      <c r="H58" s="14" t="n"/>
      <c r="I58" s="8">
        <f>G58+H58</f>
        <v/>
      </c>
      <c r="J58" s="8">
        <f>D58+G58</f>
        <v/>
      </c>
      <c r="K58" s="8">
        <f>E58+H58</f>
        <v/>
      </c>
      <c r="L58" s="8">
        <f>J58+K58</f>
        <v/>
      </c>
      <c r="M58" s="9">
        <f>IF(C58=0,0,L58/C58*100)</f>
        <v/>
      </c>
    </row>
    <row r="59">
      <c r="A59" s="7" t="n">
        <v>7</v>
      </c>
      <c r="B59" s="8">
        <f>B11</f>
        <v/>
      </c>
      <c r="C59" s="8">
        <f>C11</f>
        <v/>
      </c>
      <c r="D59" s="14" t="n"/>
      <c r="E59" s="14" t="n"/>
      <c r="F59" s="8">
        <f>D59+E59</f>
        <v/>
      </c>
      <c r="G59" s="14" t="n"/>
      <c r="H59" s="14" t="n"/>
      <c r="I59" s="8">
        <f>G59+H59</f>
        <v/>
      </c>
      <c r="J59" s="8">
        <f>D59+G59</f>
        <v/>
      </c>
      <c r="K59" s="8">
        <f>E59+H59</f>
        <v/>
      </c>
      <c r="L59" s="8">
        <f>J59+K59</f>
        <v/>
      </c>
      <c r="M59" s="9">
        <f>IF(C59=0,0,L59/C59*100)</f>
        <v/>
      </c>
    </row>
    <row r="60">
      <c r="A60" s="7" t="n">
        <v>8</v>
      </c>
      <c r="B60" s="8">
        <f>B12</f>
        <v/>
      </c>
      <c r="C60" s="8">
        <f>C12</f>
        <v/>
      </c>
      <c r="D60" s="14" t="n"/>
      <c r="E60" s="14" t="n"/>
      <c r="F60" s="8">
        <f>D60+E60</f>
        <v/>
      </c>
      <c r="G60" s="14" t="n"/>
      <c r="H60" s="14" t="n"/>
      <c r="I60" s="8">
        <f>G60+H60</f>
        <v/>
      </c>
      <c r="J60" s="8">
        <f>D60+G60</f>
        <v/>
      </c>
      <c r="K60" s="8">
        <f>E60+H60</f>
        <v/>
      </c>
      <c r="L60" s="8">
        <f>J60+K60</f>
        <v/>
      </c>
      <c r="M60" s="9">
        <f>IF(C60=0,0,L60/C60*100)</f>
        <v/>
      </c>
    </row>
    <row r="61">
      <c r="A61" s="7" t="n">
        <v>9</v>
      </c>
      <c r="B61" s="8">
        <f>B13</f>
        <v/>
      </c>
      <c r="C61" s="8">
        <f>C13</f>
        <v/>
      </c>
      <c r="D61" s="14" t="n"/>
      <c r="E61" s="14" t="n"/>
      <c r="F61" s="8">
        <f>D61+E61</f>
        <v/>
      </c>
      <c r="G61" s="14" t="n"/>
      <c r="H61" s="14" t="n"/>
      <c r="I61" s="8">
        <f>G61+H61</f>
        <v/>
      </c>
      <c r="J61" s="8">
        <f>D61+G61</f>
        <v/>
      </c>
      <c r="K61" s="8">
        <f>E61+H61</f>
        <v/>
      </c>
      <c r="L61" s="8">
        <f>J61+K61</f>
        <v/>
      </c>
      <c r="M61" s="9">
        <f>IF(C61=0,0,L61/C61*100)</f>
        <v/>
      </c>
    </row>
    <row r="62">
      <c r="A62" s="7" t="n">
        <v>10</v>
      </c>
      <c r="B62" s="8">
        <f>B14</f>
        <v/>
      </c>
      <c r="C62" s="8">
        <f>C14</f>
        <v/>
      </c>
      <c r="D62" s="14" t="n"/>
      <c r="E62" s="14" t="n"/>
      <c r="F62" s="8">
        <f>D62+E62</f>
        <v/>
      </c>
      <c r="G62" s="14" t="n"/>
      <c r="H62" s="14" t="n"/>
      <c r="I62" s="8">
        <f>G62+H62</f>
        <v/>
      </c>
      <c r="J62" s="8">
        <f>D62+G62</f>
        <v/>
      </c>
      <c r="K62" s="8">
        <f>E62+H62</f>
        <v/>
      </c>
      <c r="L62" s="8">
        <f>J62+K62</f>
        <v/>
      </c>
      <c r="M62" s="9">
        <f>IF(C62=0,0,L62/C62*100)</f>
        <v/>
      </c>
    </row>
    <row r="63">
      <c r="A63" s="10" t="inlineStr">
        <is>
          <t>Total</t>
        </is>
      </c>
      <c r="B63" s="11">
        <f>SUM(B53:B62)</f>
        <v/>
      </c>
      <c r="C63" s="11">
        <f>SUM(C53:C62)</f>
        <v/>
      </c>
      <c r="D63" s="11">
        <f>SUM(D53:D62)</f>
        <v/>
      </c>
      <c r="E63" s="11">
        <f>SUM(E53:E62)</f>
        <v/>
      </c>
      <c r="F63" s="11">
        <f>D63+E63</f>
        <v/>
      </c>
      <c r="G63" s="11">
        <f>SUM(G53:G62)</f>
        <v/>
      </c>
      <c r="H63" s="11">
        <f>SUM(H53:H62)</f>
        <v/>
      </c>
      <c r="I63" s="11">
        <f>G63+H63</f>
        <v/>
      </c>
      <c r="J63" s="11">
        <f>D63+G63</f>
        <v/>
      </c>
      <c r="K63" s="11">
        <f>E63+H63</f>
        <v/>
      </c>
      <c r="L63" s="11">
        <f>J63+K63</f>
        <v/>
      </c>
      <c r="M63" s="12">
        <f>IF(C63=0,0,L63/C63*100)</f>
        <v/>
      </c>
    </row>
    <row r="65">
      <c r="A65" s="13" t="inlineStr">
        <is>
          <t>Day 4 - 2026-10-08 (Thu 22 Aswin 2083)</t>
        </is>
      </c>
    </row>
    <row r="66">
      <c r="A66" s="6" t="inlineStr">
        <is>
          <t>Ward no.</t>
        </is>
      </c>
      <c r="B66" s="6" t="inlineStr">
        <is>
          <t>Total population</t>
        </is>
      </c>
      <c r="C66" s="6" t="inlineStr">
        <is>
          <t>JE target population</t>
        </is>
      </c>
      <c r="D66" s="6" t="inlineStr">
        <is>
          <t>Vaccinated</t>
        </is>
      </c>
      <c r="E66" s="6" t="n"/>
      <c r="F66" s="6" t="n"/>
      <c r="G66" s="6" t="n"/>
      <c r="H66" s="6" t="n"/>
      <c r="I66" s="6" t="n"/>
      <c r="J66" s="6" t="n"/>
      <c r="K66" s="6" t="n"/>
      <c r="L66" s="6" t="n"/>
      <c r="M66" s="6" t="inlineStr">
        <is>
          <t>Progress %</t>
        </is>
      </c>
    </row>
    <row r="67">
      <c r="A67" s="6" t="n"/>
      <c r="B67" s="6" t="n"/>
      <c r="C67" s="6" t="n"/>
      <c r="D67" s="6" t="inlineStr">
        <is>
          <t>Age 30-60 yrs</t>
        </is>
      </c>
      <c r="E67" s="6" t="n"/>
      <c r="F67" s="6" t="n"/>
      <c r="G67" s="6" t="inlineStr">
        <is>
          <t>Age 60 above</t>
        </is>
      </c>
      <c r="H67" s="6" t="n"/>
      <c r="I67" s="6" t="n"/>
      <c r="J67" s="6" t="inlineStr">
        <is>
          <t>Total</t>
        </is>
      </c>
      <c r="K67" s="6" t="n"/>
      <c r="L67" s="6" t="inlineStr">
        <is>
          <t>Grand Total</t>
        </is>
      </c>
      <c r="M67" s="6" t="n"/>
    </row>
    <row r="68">
      <c r="A68" s="6" t="n"/>
      <c r="B68" s="6" t="n"/>
      <c r="C68" s="6" t="n"/>
      <c r="D68" s="6" t="inlineStr">
        <is>
          <t>F</t>
        </is>
      </c>
      <c r="E68" s="6" t="inlineStr">
        <is>
          <t>M</t>
        </is>
      </c>
      <c r="F68" s="6" t="inlineStr">
        <is>
          <t>Total</t>
        </is>
      </c>
      <c r="G68" s="6" t="inlineStr">
        <is>
          <t>F</t>
        </is>
      </c>
      <c r="H68" s="6" t="inlineStr">
        <is>
          <t>M</t>
        </is>
      </c>
      <c r="I68" s="6" t="inlineStr">
        <is>
          <t>Total</t>
        </is>
      </c>
      <c r="J68" s="6" t="inlineStr">
        <is>
          <t>F</t>
        </is>
      </c>
      <c r="K68" s="6" t="inlineStr">
        <is>
          <t>M</t>
        </is>
      </c>
      <c r="L68" s="6" t="n"/>
      <c r="M68" s="6" t="n"/>
    </row>
    <row r="69">
      <c r="A69" s="7" t="n">
        <v>1</v>
      </c>
      <c r="B69" s="8">
        <f>B5</f>
        <v/>
      </c>
      <c r="C69" s="8">
        <f>C5</f>
        <v/>
      </c>
      <c r="D69" s="14" t="n"/>
      <c r="E69" s="14" t="n"/>
      <c r="F69" s="8">
        <f>D69+E69</f>
        <v/>
      </c>
      <c r="G69" s="14" t="n"/>
      <c r="H69" s="14" t="n"/>
      <c r="I69" s="8">
        <f>G69+H69</f>
        <v/>
      </c>
      <c r="J69" s="8">
        <f>D69+G69</f>
        <v/>
      </c>
      <c r="K69" s="8">
        <f>E69+H69</f>
        <v/>
      </c>
      <c r="L69" s="8">
        <f>J69+K69</f>
        <v/>
      </c>
      <c r="M69" s="9">
        <f>IF(C69=0,0,L69/C69*100)</f>
        <v/>
      </c>
    </row>
    <row r="70">
      <c r="A70" s="7" t="n">
        <v>2</v>
      </c>
      <c r="B70" s="8">
        <f>B6</f>
        <v/>
      </c>
      <c r="C70" s="8">
        <f>C6</f>
        <v/>
      </c>
      <c r="D70" s="14" t="n"/>
      <c r="E70" s="14" t="n"/>
      <c r="F70" s="8">
        <f>D70+E70</f>
        <v/>
      </c>
      <c r="G70" s="14" t="n"/>
      <c r="H70" s="14" t="n"/>
      <c r="I70" s="8">
        <f>G70+H70</f>
        <v/>
      </c>
      <c r="J70" s="8">
        <f>D70+G70</f>
        <v/>
      </c>
      <c r="K70" s="8">
        <f>E70+H70</f>
        <v/>
      </c>
      <c r="L70" s="8">
        <f>J70+K70</f>
        <v/>
      </c>
      <c r="M70" s="9">
        <f>IF(C70=0,0,L70/C70*100)</f>
        <v/>
      </c>
    </row>
    <row r="71">
      <c r="A71" s="7" t="n">
        <v>3</v>
      </c>
      <c r="B71" s="8">
        <f>B7</f>
        <v/>
      </c>
      <c r="C71" s="8">
        <f>C7</f>
        <v/>
      </c>
      <c r="D71" s="14" t="n"/>
      <c r="E71" s="14" t="n"/>
      <c r="F71" s="8">
        <f>D71+E71</f>
        <v/>
      </c>
      <c r="G71" s="14" t="n"/>
      <c r="H71" s="14" t="n"/>
      <c r="I71" s="8">
        <f>G71+H71</f>
        <v/>
      </c>
      <c r="J71" s="8">
        <f>D71+G71</f>
        <v/>
      </c>
      <c r="K71" s="8">
        <f>E71+H71</f>
        <v/>
      </c>
      <c r="L71" s="8">
        <f>J71+K71</f>
        <v/>
      </c>
      <c r="M71" s="9">
        <f>IF(C71=0,0,L71/C71*100)</f>
        <v/>
      </c>
    </row>
    <row r="72">
      <c r="A72" s="7" t="n">
        <v>4</v>
      </c>
      <c r="B72" s="8">
        <f>B8</f>
        <v/>
      </c>
      <c r="C72" s="8">
        <f>C8</f>
        <v/>
      </c>
      <c r="D72" s="14" t="n"/>
      <c r="E72" s="14" t="n"/>
      <c r="F72" s="8">
        <f>D72+E72</f>
        <v/>
      </c>
      <c r="G72" s="14" t="n"/>
      <c r="H72" s="14" t="n"/>
      <c r="I72" s="8">
        <f>G72+H72</f>
        <v/>
      </c>
      <c r="J72" s="8">
        <f>D72+G72</f>
        <v/>
      </c>
      <c r="K72" s="8">
        <f>E72+H72</f>
        <v/>
      </c>
      <c r="L72" s="8">
        <f>J72+K72</f>
        <v/>
      </c>
      <c r="M72" s="9">
        <f>IF(C72=0,0,L72/C72*100)</f>
        <v/>
      </c>
    </row>
    <row r="73">
      <c r="A73" s="7" t="n">
        <v>5</v>
      </c>
      <c r="B73" s="8">
        <f>B9</f>
        <v/>
      </c>
      <c r="C73" s="8">
        <f>C9</f>
        <v/>
      </c>
      <c r="D73" s="14" t="n"/>
      <c r="E73" s="14" t="n"/>
      <c r="F73" s="8">
        <f>D73+E73</f>
        <v/>
      </c>
      <c r="G73" s="14" t="n"/>
      <c r="H73" s="14" t="n"/>
      <c r="I73" s="8">
        <f>G73+H73</f>
        <v/>
      </c>
      <c r="J73" s="8">
        <f>D73+G73</f>
        <v/>
      </c>
      <c r="K73" s="8">
        <f>E73+H73</f>
        <v/>
      </c>
      <c r="L73" s="8">
        <f>J73+K73</f>
        <v/>
      </c>
      <c r="M73" s="9">
        <f>IF(C73=0,0,L73/C73*100)</f>
        <v/>
      </c>
    </row>
    <row r="74">
      <c r="A74" s="7" t="n">
        <v>6</v>
      </c>
      <c r="B74" s="8">
        <f>B10</f>
        <v/>
      </c>
      <c r="C74" s="8">
        <f>C10</f>
        <v/>
      </c>
      <c r="D74" s="14" t="n"/>
      <c r="E74" s="14" t="n"/>
      <c r="F74" s="8">
        <f>D74+E74</f>
        <v/>
      </c>
      <c r="G74" s="14" t="n"/>
      <c r="H74" s="14" t="n"/>
      <c r="I74" s="8">
        <f>G74+H74</f>
        <v/>
      </c>
      <c r="J74" s="8">
        <f>D74+G74</f>
        <v/>
      </c>
      <c r="K74" s="8">
        <f>E74+H74</f>
        <v/>
      </c>
      <c r="L74" s="8">
        <f>J74+K74</f>
        <v/>
      </c>
      <c r="M74" s="9">
        <f>IF(C74=0,0,L74/C74*100)</f>
        <v/>
      </c>
    </row>
    <row r="75">
      <c r="A75" s="7" t="n">
        <v>7</v>
      </c>
      <c r="B75" s="8">
        <f>B11</f>
        <v/>
      </c>
      <c r="C75" s="8">
        <f>C11</f>
        <v/>
      </c>
      <c r="D75" s="14" t="n"/>
      <c r="E75" s="14" t="n"/>
      <c r="F75" s="8">
        <f>D75+E75</f>
        <v/>
      </c>
      <c r="G75" s="14" t="n"/>
      <c r="H75" s="14" t="n"/>
      <c r="I75" s="8">
        <f>G75+H75</f>
        <v/>
      </c>
      <c r="J75" s="8">
        <f>D75+G75</f>
        <v/>
      </c>
      <c r="K75" s="8">
        <f>E75+H75</f>
        <v/>
      </c>
      <c r="L75" s="8">
        <f>J75+K75</f>
        <v/>
      </c>
      <c r="M75" s="9">
        <f>IF(C75=0,0,L75/C75*100)</f>
        <v/>
      </c>
    </row>
    <row r="76">
      <c r="A76" s="7" t="n">
        <v>8</v>
      </c>
      <c r="B76" s="8">
        <f>B12</f>
        <v/>
      </c>
      <c r="C76" s="8">
        <f>C12</f>
        <v/>
      </c>
      <c r="D76" s="14" t="n"/>
      <c r="E76" s="14" t="n"/>
      <c r="F76" s="8">
        <f>D76+E76</f>
        <v/>
      </c>
      <c r="G76" s="14" t="n"/>
      <c r="H76" s="14" t="n"/>
      <c r="I76" s="8">
        <f>G76+H76</f>
        <v/>
      </c>
      <c r="J76" s="8">
        <f>D76+G76</f>
        <v/>
      </c>
      <c r="K76" s="8">
        <f>E76+H76</f>
        <v/>
      </c>
      <c r="L76" s="8">
        <f>J76+K76</f>
        <v/>
      </c>
      <c r="M76" s="9">
        <f>IF(C76=0,0,L76/C76*100)</f>
        <v/>
      </c>
    </row>
    <row r="77">
      <c r="A77" s="7" t="n">
        <v>9</v>
      </c>
      <c r="B77" s="8">
        <f>B13</f>
        <v/>
      </c>
      <c r="C77" s="8">
        <f>C13</f>
        <v/>
      </c>
      <c r="D77" s="14" t="n"/>
      <c r="E77" s="14" t="n"/>
      <c r="F77" s="8">
        <f>D77+E77</f>
        <v/>
      </c>
      <c r="G77" s="14" t="n"/>
      <c r="H77" s="14" t="n"/>
      <c r="I77" s="8">
        <f>G77+H77</f>
        <v/>
      </c>
      <c r="J77" s="8">
        <f>D77+G77</f>
        <v/>
      </c>
      <c r="K77" s="8">
        <f>E77+H77</f>
        <v/>
      </c>
      <c r="L77" s="8">
        <f>J77+K77</f>
        <v/>
      </c>
      <c r="M77" s="9">
        <f>IF(C77=0,0,L77/C77*100)</f>
        <v/>
      </c>
    </row>
    <row r="78">
      <c r="A78" s="7" t="n">
        <v>10</v>
      </c>
      <c r="B78" s="8">
        <f>B14</f>
        <v/>
      </c>
      <c r="C78" s="8">
        <f>C14</f>
        <v/>
      </c>
      <c r="D78" s="14" t="n"/>
      <c r="E78" s="14" t="n"/>
      <c r="F78" s="8">
        <f>D78+E78</f>
        <v/>
      </c>
      <c r="G78" s="14" t="n"/>
      <c r="H78" s="14" t="n"/>
      <c r="I78" s="8">
        <f>G78+H78</f>
        <v/>
      </c>
      <c r="J78" s="8">
        <f>D78+G78</f>
        <v/>
      </c>
      <c r="K78" s="8">
        <f>E78+H78</f>
        <v/>
      </c>
      <c r="L78" s="8">
        <f>J78+K78</f>
        <v/>
      </c>
      <c r="M78" s="9">
        <f>IF(C78=0,0,L78/C78*100)</f>
        <v/>
      </c>
    </row>
    <row r="79">
      <c r="A79" s="10" t="inlineStr">
        <is>
          <t>Total</t>
        </is>
      </c>
      <c r="B79" s="11">
        <f>SUM(B69:B78)</f>
        <v/>
      </c>
      <c r="C79" s="11">
        <f>SUM(C69:C78)</f>
        <v/>
      </c>
      <c r="D79" s="11">
        <f>SUM(D69:D78)</f>
        <v/>
      </c>
      <c r="E79" s="11">
        <f>SUM(E69:E78)</f>
        <v/>
      </c>
      <c r="F79" s="11">
        <f>D79+E79</f>
        <v/>
      </c>
      <c r="G79" s="11">
        <f>SUM(G69:G78)</f>
        <v/>
      </c>
      <c r="H79" s="11">
        <f>SUM(H69:H78)</f>
        <v/>
      </c>
      <c r="I79" s="11">
        <f>G79+H79</f>
        <v/>
      </c>
      <c r="J79" s="11">
        <f>D79+G79</f>
        <v/>
      </c>
      <c r="K79" s="11">
        <f>E79+H79</f>
        <v/>
      </c>
      <c r="L79" s="11">
        <f>J79+K79</f>
        <v/>
      </c>
      <c r="M79" s="12">
        <f>IF(C79=0,0,L79/C79*100)</f>
        <v/>
      </c>
    </row>
    <row r="81">
      <c r="A81" s="13" t="inlineStr">
        <is>
          <t>Day 5 - 2026-10-09 (Fri 23 Aswin 2083)</t>
        </is>
      </c>
    </row>
    <row r="82">
      <c r="A82" s="6" t="inlineStr">
        <is>
          <t>Ward no.</t>
        </is>
      </c>
      <c r="B82" s="6" t="inlineStr">
        <is>
          <t>Total population</t>
        </is>
      </c>
      <c r="C82" s="6" t="inlineStr">
        <is>
          <t>JE target population</t>
        </is>
      </c>
      <c r="D82" s="6" t="inlineStr">
        <is>
          <t>Vaccinated</t>
        </is>
      </c>
      <c r="E82" s="6" t="n"/>
      <c r="F82" s="6" t="n"/>
      <c r="G82" s="6" t="n"/>
      <c r="H82" s="6" t="n"/>
      <c r="I82" s="6" t="n"/>
      <c r="J82" s="6" t="n"/>
      <c r="K82" s="6" t="n"/>
      <c r="L82" s="6" t="n"/>
      <c r="M82" s="6" t="inlineStr">
        <is>
          <t>Progress %</t>
        </is>
      </c>
    </row>
    <row r="83">
      <c r="A83" s="6" t="n"/>
      <c r="B83" s="6" t="n"/>
      <c r="C83" s="6" t="n"/>
      <c r="D83" s="6" t="inlineStr">
        <is>
          <t>Age 30-60 yrs</t>
        </is>
      </c>
      <c r="E83" s="6" t="n"/>
      <c r="F83" s="6" t="n"/>
      <c r="G83" s="6" t="inlineStr">
        <is>
          <t>Age 60 above</t>
        </is>
      </c>
      <c r="H83" s="6" t="n"/>
      <c r="I83" s="6" t="n"/>
      <c r="J83" s="6" t="inlineStr">
        <is>
          <t>Total</t>
        </is>
      </c>
      <c r="K83" s="6" t="n"/>
      <c r="L83" s="6" t="inlineStr">
        <is>
          <t>Grand Total</t>
        </is>
      </c>
      <c r="M83" s="6" t="n"/>
    </row>
    <row r="84">
      <c r="A84" s="6" t="n"/>
      <c r="B84" s="6" t="n"/>
      <c r="C84" s="6" t="n"/>
      <c r="D84" s="6" t="inlineStr">
        <is>
          <t>F</t>
        </is>
      </c>
      <c r="E84" s="6" t="inlineStr">
        <is>
          <t>M</t>
        </is>
      </c>
      <c r="F84" s="6" t="inlineStr">
        <is>
          <t>Total</t>
        </is>
      </c>
      <c r="G84" s="6" t="inlineStr">
        <is>
          <t>F</t>
        </is>
      </c>
      <c r="H84" s="6" t="inlineStr">
        <is>
          <t>M</t>
        </is>
      </c>
      <c r="I84" s="6" t="inlineStr">
        <is>
          <t>Total</t>
        </is>
      </c>
      <c r="J84" s="6" t="inlineStr">
        <is>
          <t>F</t>
        </is>
      </c>
      <c r="K84" s="6" t="inlineStr">
        <is>
          <t>M</t>
        </is>
      </c>
      <c r="L84" s="6" t="n"/>
      <c r="M84" s="6" t="n"/>
    </row>
    <row r="85">
      <c r="A85" s="7" t="n">
        <v>1</v>
      </c>
      <c r="B85" s="8">
        <f>B5</f>
        <v/>
      </c>
      <c r="C85" s="8">
        <f>C5</f>
        <v/>
      </c>
      <c r="D85" s="14" t="n"/>
      <c r="E85" s="14" t="n"/>
      <c r="F85" s="8">
        <f>D85+E85</f>
        <v/>
      </c>
      <c r="G85" s="14" t="n"/>
      <c r="H85" s="14" t="n"/>
      <c r="I85" s="8">
        <f>G85+H85</f>
        <v/>
      </c>
      <c r="J85" s="8">
        <f>D85+G85</f>
        <v/>
      </c>
      <c r="K85" s="8">
        <f>E85+H85</f>
        <v/>
      </c>
      <c r="L85" s="8">
        <f>J85+K85</f>
        <v/>
      </c>
      <c r="M85" s="9">
        <f>IF(C85=0,0,L85/C85*100)</f>
        <v/>
      </c>
    </row>
    <row r="86">
      <c r="A86" s="7" t="n">
        <v>2</v>
      </c>
      <c r="B86" s="8">
        <f>B6</f>
        <v/>
      </c>
      <c r="C86" s="8">
        <f>C6</f>
        <v/>
      </c>
      <c r="D86" s="14" t="n"/>
      <c r="E86" s="14" t="n"/>
      <c r="F86" s="8">
        <f>D86+E86</f>
        <v/>
      </c>
      <c r="G86" s="14" t="n"/>
      <c r="H86" s="14" t="n"/>
      <c r="I86" s="8">
        <f>G86+H86</f>
        <v/>
      </c>
      <c r="J86" s="8">
        <f>D86+G86</f>
        <v/>
      </c>
      <c r="K86" s="8">
        <f>E86+H86</f>
        <v/>
      </c>
      <c r="L86" s="8">
        <f>J86+K86</f>
        <v/>
      </c>
      <c r="M86" s="9">
        <f>IF(C86=0,0,L86/C86*100)</f>
        <v/>
      </c>
    </row>
    <row r="87">
      <c r="A87" s="7" t="n">
        <v>3</v>
      </c>
      <c r="B87" s="8">
        <f>B7</f>
        <v/>
      </c>
      <c r="C87" s="8">
        <f>C7</f>
        <v/>
      </c>
      <c r="D87" s="14" t="n"/>
      <c r="E87" s="14" t="n"/>
      <c r="F87" s="8">
        <f>D87+E87</f>
        <v/>
      </c>
      <c r="G87" s="14" t="n"/>
      <c r="H87" s="14" t="n"/>
      <c r="I87" s="8">
        <f>G87+H87</f>
        <v/>
      </c>
      <c r="J87" s="8">
        <f>D87+G87</f>
        <v/>
      </c>
      <c r="K87" s="8">
        <f>E87+H87</f>
        <v/>
      </c>
      <c r="L87" s="8">
        <f>J87+K87</f>
        <v/>
      </c>
      <c r="M87" s="9">
        <f>IF(C87=0,0,L87/C87*100)</f>
        <v/>
      </c>
    </row>
    <row r="88">
      <c r="A88" s="7" t="n">
        <v>4</v>
      </c>
      <c r="B88" s="8">
        <f>B8</f>
        <v/>
      </c>
      <c r="C88" s="8">
        <f>C8</f>
        <v/>
      </c>
      <c r="D88" s="14" t="n"/>
      <c r="E88" s="14" t="n"/>
      <c r="F88" s="8">
        <f>D88+E88</f>
        <v/>
      </c>
      <c r="G88" s="14" t="n"/>
      <c r="H88" s="14" t="n"/>
      <c r="I88" s="8">
        <f>G88+H88</f>
        <v/>
      </c>
      <c r="J88" s="8">
        <f>D88+G88</f>
        <v/>
      </c>
      <c r="K88" s="8">
        <f>E88+H88</f>
        <v/>
      </c>
      <c r="L88" s="8">
        <f>J88+K88</f>
        <v/>
      </c>
      <c r="M88" s="9">
        <f>IF(C88=0,0,L88/C88*100)</f>
        <v/>
      </c>
    </row>
    <row r="89">
      <c r="A89" s="7" t="n">
        <v>5</v>
      </c>
      <c r="B89" s="8">
        <f>B9</f>
        <v/>
      </c>
      <c r="C89" s="8">
        <f>C9</f>
        <v/>
      </c>
      <c r="D89" s="14" t="n"/>
      <c r="E89" s="14" t="n"/>
      <c r="F89" s="8">
        <f>D89+E89</f>
        <v/>
      </c>
      <c r="G89" s="14" t="n"/>
      <c r="H89" s="14" t="n"/>
      <c r="I89" s="8">
        <f>G89+H89</f>
        <v/>
      </c>
      <c r="J89" s="8">
        <f>D89+G89</f>
        <v/>
      </c>
      <c r="K89" s="8">
        <f>E89+H89</f>
        <v/>
      </c>
      <c r="L89" s="8">
        <f>J89+K89</f>
        <v/>
      </c>
      <c r="M89" s="9">
        <f>IF(C89=0,0,L89/C89*100)</f>
        <v/>
      </c>
    </row>
    <row r="90">
      <c r="A90" s="7" t="n">
        <v>6</v>
      </c>
      <c r="B90" s="8">
        <f>B10</f>
        <v/>
      </c>
      <c r="C90" s="8">
        <f>C10</f>
        <v/>
      </c>
      <c r="D90" s="14" t="n"/>
      <c r="E90" s="14" t="n"/>
      <c r="F90" s="8">
        <f>D90+E90</f>
        <v/>
      </c>
      <c r="G90" s="14" t="n"/>
      <c r="H90" s="14" t="n"/>
      <c r="I90" s="8">
        <f>G90+H90</f>
        <v/>
      </c>
      <c r="J90" s="8">
        <f>D90+G90</f>
        <v/>
      </c>
      <c r="K90" s="8">
        <f>E90+H90</f>
        <v/>
      </c>
      <c r="L90" s="8">
        <f>J90+K90</f>
        <v/>
      </c>
      <c r="M90" s="9">
        <f>IF(C90=0,0,L90/C90*100)</f>
        <v/>
      </c>
    </row>
    <row r="91">
      <c r="A91" s="7" t="n">
        <v>7</v>
      </c>
      <c r="B91" s="8">
        <f>B11</f>
        <v/>
      </c>
      <c r="C91" s="8">
        <f>C11</f>
        <v/>
      </c>
      <c r="D91" s="14" t="n"/>
      <c r="E91" s="14" t="n"/>
      <c r="F91" s="8">
        <f>D91+E91</f>
        <v/>
      </c>
      <c r="G91" s="14" t="n"/>
      <c r="H91" s="14" t="n"/>
      <c r="I91" s="8">
        <f>G91+H91</f>
        <v/>
      </c>
      <c r="J91" s="8">
        <f>D91+G91</f>
        <v/>
      </c>
      <c r="K91" s="8">
        <f>E91+H91</f>
        <v/>
      </c>
      <c r="L91" s="8">
        <f>J91+K91</f>
        <v/>
      </c>
      <c r="M91" s="9">
        <f>IF(C91=0,0,L91/C91*100)</f>
        <v/>
      </c>
    </row>
    <row r="92">
      <c r="A92" s="7" t="n">
        <v>8</v>
      </c>
      <c r="B92" s="8">
        <f>B12</f>
        <v/>
      </c>
      <c r="C92" s="8">
        <f>C12</f>
        <v/>
      </c>
      <c r="D92" s="14" t="n"/>
      <c r="E92" s="14" t="n"/>
      <c r="F92" s="8">
        <f>D92+E92</f>
        <v/>
      </c>
      <c r="G92" s="14" t="n"/>
      <c r="H92" s="14" t="n"/>
      <c r="I92" s="8">
        <f>G92+H92</f>
        <v/>
      </c>
      <c r="J92" s="8">
        <f>D92+G92</f>
        <v/>
      </c>
      <c r="K92" s="8">
        <f>E92+H92</f>
        <v/>
      </c>
      <c r="L92" s="8">
        <f>J92+K92</f>
        <v/>
      </c>
      <c r="M92" s="9">
        <f>IF(C92=0,0,L92/C92*100)</f>
        <v/>
      </c>
    </row>
    <row r="93">
      <c r="A93" s="7" t="n">
        <v>9</v>
      </c>
      <c r="B93" s="8">
        <f>B13</f>
        <v/>
      </c>
      <c r="C93" s="8">
        <f>C13</f>
        <v/>
      </c>
      <c r="D93" s="14" t="n"/>
      <c r="E93" s="14" t="n"/>
      <c r="F93" s="8">
        <f>D93+E93</f>
        <v/>
      </c>
      <c r="G93" s="14" t="n"/>
      <c r="H93" s="14" t="n"/>
      <c r="I93" s="8">
        <f>G93+H93</f>
        <v/>
      </c>
      <c r="J93" s="8">
        <f>D93+G93</f>
        <v/>
      </c>
      <c r="K93" s="8">
        <f>E93+H93</f>
        <v/>
      </c>
      <c r="L93" s="8">
        <f>J93+K93</f>
        <v/>
      </c>
      <c r="M93" s="9">
        <f>IF(C93=0,0,L93/C93*100)</f>
        <v/>
      </c>
    </row>
    <row r="94">
      <c r="A94" s="7" t="n">
        <v>10</v>
      </c>
      <c r="B94" s="8">
        <f>B14</f>
        <v/>
      </c>
      <c r="C94" s="8">
        <f>C14</f>
        <v/>
      </c>
      <c r="D94" s="14" t="n"/>
      <c r="E94" s="14" t="n"/>
      <c r="F94" s="8">
        <f>D94+E94</f>
        <v/>
      </c>
      <c r="G94" s="14" t="n"/>
      <c r="H94" s="14" t="n"/>
      <c r="I94" s="8">
        <f>G94+H94</f>
        <v/>
      </c>
      <c r="J94" s="8">
        <f>D94+G94</f>
        <v/>
      </c>
      <c r="K94" s="8">
        <f>E94+H94</f>
        <v/>
      </c>
      <c r="L94" s="8">
        <f>J94+K94</f>
        <v/>
      </c>
      <c r="M94" s="9">
        <f>IF(C94=0,0,L94/C94*100)</f>
        <v/>
      </c>
    </row>
    <row r="95">
      <c r="A95" s="10" t="inlineStr">
        <is>
          <t>Total</t>
        </is>
      </c>
      <c r="B95" s="11">
        <f>SUM(B85:B94)</f>
        <v/>
      </c>
      <c r="C95" s="11">
        <f>SUM(C85:C94)</f>
        <v/>
      </c>
      <c r="D95" s="11">
        <f>SUM(D85:D94)</f>
        <v/>
      </c>
      <c r="E95" s="11">
        <f>SUM(E85:E94)</f>
        <v/>
      </c>
      <c r="F95" s="11">
        <f>D95+E95</f>
        <v/>
      </c>
      <c r="G95" s="11">
        <f>SUM(G85:G94)</f>
        <v/>
      </c>
      <c r="H95" s="11">
        <f>SUM(H85:H94)</f>
        <v/>
      </c>
      <c r="I95" s="11">
        <f>G95+H95</f>
        <v/>
      </c>
      <c r="J95" s="11">
        <f>D95+G95</f>
        <v/>
      </c>
      <c r="K95" s="11">
        <f>E95+H95</f>
        <v/>
      </c>
      <c r="L95" s="11">
        <f>J95+K95</f>
        <v/>
      </c>
      <c r="M95" s="12">
        <f>IF(C95=0,0,L95/C95*100)</f>
        <v/>
      </c>
    </row>
    <row r="97">
      <c r="A97" s="13" t="inlineStr">
        <is>
          <t>Day 6 - 2026-10-10 (Sat 24 Aswin 2083)</t>
        </is>
      </c>
    </row>
    <row r="98">
      <c r="A98" s="6" t="inlineStr">
        <is>
          <t>Ward no.</t>
        </is>
      </c>
      <c r="B98" s="6" t="inlineStr">
        <is>
          <t>Total population</t>
        </is>
      </c>
      <c r="C98" s="6" t="inlineStr">
        <is>
          <t>JE target population</t>
        </is>
      </c>
      <c r="D98" s="6" t="inlineStr">
        <is>
          <t>Vaccinated</t>
        </is>
      </c>
      <c r="E98" s="6" t="n"/>
      <c r="F98" s="6" t="n"/>
      <c r="G98" s="6" t="n"/>
      <c r="H98" s="6" t="n"/>
      <c r="I98" s="6" t="n"/>
      <c r="J98" s="6" t="n"/>
      <c r="K98" s="6" t="n"/>
      <c r="L98" s="6" t="n"/>
      <c r="M98" s="6" t="inlineStr">
        <is>
          <t>Progress %</t>
        </is>
      </c>
    </row>
    <row r="99">
      <c r="A99" s="6" t="n"/>
      <c r="B99" s="6" t="n"/>
      <c r="C99" s="6" t="n"/>
      <c r="D99" s="6" t="inlineStr">
        <is>
          <t>Age 30-60 yrs</t>
        </is>
      </c>
      <c r="E99" s="6" t="n"/>
      <c r="F99" s="6" t="n"/>
      <c r="G99" s="6" t="inlineStr">
        <is>
          <t>Age 60 above</t>
        </is>
      </c>
      <c r="H99" s="6" t="n"/>
      <c r="I99" s="6" t="n"/>
      <c r="J99" s="6" t="inlineStr">
        <is>
          <t>Total</t>
        </is>
      </c>
      <c r="K99" s="6" t="n"/>
      <c r="L99" s="6" t="inlineStr">
        <is>
          <t>Grand Total</t>
        </is>
      </c>
      <c r="M99" s="6" t="n"/>
    </row>
    <row r="100">
      <c r="A100" s="6" t="n"/>
      <c r="B100" s="6" t="n"/>
      <c r="C100" s="6" t="n"/>
      <c r="D100" s="6" t="inlineStr">
        <is>
          <t>F</t>
        </is>
      </c>
      <c r="E100" s="6" t="inlineStr">
        <is>
          <t>M</t>
        </is>
      </c>
      <c r="F100" s="6" t="inlineStr">
        <is>
          <t>Total</t>
        </is>
      </c>
      <c r="G100" s="6" t="inlineStr">
        <is>
          <t>F</t>
        </is>
      </c>
      <c r="H100" s="6" t="inlineStr">
        <is>
          <t>M</t>
        </is>
      </c>
      <c r="I100" s="6" t="inlineStr">
        <is>
          <t>Total</t>
        </is>
      </c>
      <c r="J100" s="6" t="inlineStr">
        <is>
          <t>F</t>
        </is>
      </c>
      <c r="K100" s="6" t="inlineStr">
        <is>
          <t>M</t>
        </is>
      </c>
      <c r="L100" s="6" t="n"/>
      <c r="M100" s="6" t="n"/>
    </row>
    <row r="101">
      <c r="A101" s="7" t="n">
        <v>1</v>
      </c>
      <c r="B101" s="8">
        <f>B5</f>
        <v/>
      </c>
      <c r="C101" s="8">
        <f>C5</f>
        <v/>
      </c>
      <c r="D101" s="14" t="n"/>
      <c r="E101" s="14" t="n"/>
      <c r="F101" s="8">
        <f>D101+E101</f>
        <v/>
      </c>
      <c r="G101" s="14" t="n"/>
      <c r="H101" s="14" t="n"/>
      <c r="I101" s="8">
        <f>G101+H101</f>
        <v/>
      </c>
      <c r="J101" s="8">
        <f>D101+G101</f>
        <v/>
      </c>
      <c r="K101" s="8">
        <f>E101+H101</f>
        <v/>
      </c>
      <c r="L101" s="8">
        <f>J101+K101</f>
        <v/>
      </c>
      <c r="M101" s="9">
        <f>IF(C101=0,0,L101/C101*100)</f>
        <v/>
      </c>
    </row>
    <row r="102">
      <c r="A102" s="7" t="n">
        <v>2</v>
      </c>
      <c r="B102" s="8">
        <f>B6</f>
        <v/>
      </c>
      <c r="C102" s="8">
        <f>C6</f>
        <v/>
      </c>
      <c r="D102" s="14" t="n"/>
      <c r="E102" s="14" t="n"/>
      <c r="F102" s="8">
        <f>D102+E102</f>
        <v/>
      </c>
      <c r="G102" s="14" t="n"/>
      <c r="H102" s="14" t="n"/>
      <c r="I102" s="8">
        <f>G102+H102</f>
        <v/>
      </c>
      <c r="J102" s="8">
        <f>D102+G102</f>
        <v/>
      </c>
      <c r="K102" s="8">
        <f>E102+H102</f>
        <v/>
      </c>
      <c r="L102" s="8">
        <f>J102+K102</f>
        <v/>
      </c>
      <c r="M102" s="9">
        <f>IF(C102=0,0,L102/C102*100)</f>
        <v/>
      </c>
    </row>
    <row r="103">
      <c r="A103" s="7" t="n">
        <v>3</v>
      </c>
      <c r="B103" s="8">
        <f>B7</f>
        <v/>
      </c>
      <c r="C103" s="8">
        <f>C7</f>
        <v/>
      </c>
      <c r="D103" s="14" t="n"/>
      <c r="E103" s="14" t="n"/>
      <c r="F103" s="8">
        <f>D103+E103</f>
        <v/>
      </c>
      <c r="G103" s="14" t="n"/>
      <c r="H103" s="14" t="n"/>
      <c r="I103" s="8">
        <f>G103+H103</f>
        <v/>
      </c>
      <c r="J103" s="8">
        <f>D103+G103</f>
        <v/>
      </c>
      <c r="K103" s="8">
        <f>E103+H103</f>
        <v/>
      </c>
      <c r="L103" s="8">
        <f>J103+K103</f>
        <v/>
      </c>
      <c r="M103" s="9">
        <f>IF(C103=0,0,L103/C103*100)</f>
        <v/>
      </c>
    </row>
    <row r="104">
      <c r="A104" s="7" t="n">
        <v>4</v>
      </c>
      <c r="B104" s="8">
        <f>B8</f>
        <v/>
      </c>
      <c r="C104" s="8">
        <f>C8</f>
        <v/>
      </c>
      <c r="D104" s="14" t="n"/>
      <c r="E104" s="14" t="n"/>
      <c r="F104" s="8">
        <f>D104+E104</f>
        <v/>
      </c>
      <c r="G104" s="14" t="n"/>
      <c r="H104" s="14" t="n"/>
      <c r="I104" s="8">
        <f>G104+H104</f>
        <v/>
      </c>
      <c r="J104" s="8">
        <f>D104+G104</f>
        <v/>
      </c>
      <c r="K104" s="8">
        <f>E104+H104</f>
        <v/>
      </c>
      <c r="L104" s="8">
        <f>J104+K104</f>
        <v/>
      </c>
      <c r="M104" s="9">
        <f>IF(C104=0,0,L104/C104*100)</f>
        <v/>
      </c>
    </row>
    <row r="105">
      <c r="A105" s="7" t="n">
        <v>5</v>
      </c>
      <c r="B105" s="8">
        <f>B9</f>
        <v/>
      </c>
      <c r="C105" s="8">
        <f>C9</f>
        <v/>
      </c>
      <c r="D105" s="14" t="n"/>
      <c r="E105" s="14" t="n"/>
      <c r="F105" s="8">
        <f>D105+E105</f>
        <v/>
      </c>
      <c r="G105" s="14" t="n"/>
      <c r="H105" s="14" t="n"/>
      <c r="I105" s="8">
        <f>G105+H105</f>
        <v/>
      </c>
      <c r="J105" s="8">
        <f>D105+G105</f>
        <v/>
      </c>
      <c r="K105" s="8">
        <f>E105+H105</f>
        <v/>
      </c>
      <c r="L105" s="8">
        <f>J105+K105</f>
        <v/>
      </c>
      <c r="M105" s="9">
        <f>IF(C105=0,0,L105/C105*100)</f>
        <v/>
      </c>
    </row>
    <row r="106">
      <c r="A106" s="7" t="n">
        <v>6</v>
      </c>
      <c r="B106" s="8">
        <f>B10</f>
        <v/>
      </c>
      <c r="C106" s="8">
        <f>C10</f>
        <v/>
      </c>
      <c r="D106" s="14" t="n"/>
      <c r="E106" s="14" t="n"/>
      <c r="F106" s="8">
        <f>D106+E106</f>
        <v/>
      </c>
      <c r="G106" s="14" t="n"/>
      <c r="H106" s="14" t="n"/>
      <c r="I106" s="8">
        <f>G106+H106</f>
        <v/>
      </c>
      <c r="J106" s="8">
        <f>D106+G106</f>
        <v/>
      </c>
      <c r="K106" s="8">
        <f>E106+H106</f>
        <v/>
      </c>
      <c r="L106" s="8">
        <f>J106+K106</f>
        <v/>
      </c>
      <c r="M106" s="9">
        <f>IF(C106=0,0,L106/C106*100)</f>
        <v/>
      </c>
    </row>
    <row r="107">
      <c r="A107" s="7" t="n">
        <v>7</v>
      </c>
      <c r="B107" s="8">
        <f>B11</f>
        <v/>
      </c>
      <c r="C107" s="8">
        <f>C11</f>
        <v/>
      </c>
      <c r="D107" s="14" t="n"/>
      <c r="E107" s="14" t="n"/>
      <c r="F107" s="8">
        <f>D107+E107</f>
        <v/>
      </c>
      <c r="G107" s="14" t="n"/>
      <c r="H107" s="14" t="n"/>
      <c r="I107" s="8">
        <f>G107+H107</f>
        <v/>
      </c>
      <c r="J107" s="8">
        <f>D107+G107</f>
        <v/>
      </c>
      <c r="K107" s="8">
        <f>E107+H107</f>
        <v/>
      </c>
      <c r="L107" s="8">
        <f>J107+K107</f>
        <v/>
      </c>
      <c r="M107" s="9">
        <f>IF(C107=0,0,L107/C107*100)</f>
        <v/>
      </c>
    </row>
    <row r="108">
      <c r="A108" s="7" t="n">
        <v>8</v>
      </c>
      <c r="B108" s="8">
        <f>B12</f>
        <v/>
      </c>
      <c r="C108" s="8">
        <f>C12</f>
        <v/>
      </c>
      <c r="D108" s="14" t="n"/>
      <c r="E108" s="14" t="n"/>
      <c r="F108" s="8">
        <f>D108+E108</f>
        <v/>
      </c>
      <c r="G108" s="14" t="n"/>
      <c r="H108" s="14" t="n"/>
      <c r="I108" s="8">
        <f>G108+H108</f>
        <v/>
      </c>
      <c r="J108" s="8">
        <f>D108+G108</f>
        <v/>
      </c>
      <c r="K108" s="8">
        <f>E108+H108</f>
        <v/>
      </c>
      <c r="L108" s="8">
        <f>J108+K108</f>
        <v/>
      </c>
      <c r="M108" s="9">
        <f>IF(C108=0,0,L108/C108*100)</f>
        <v/>
      </c>
    </row>
    <row r="109">
      <c r="A109" s="7" t="n">
        <v>9</v>
      </c>
      <c r="B109" s="8">
        <f>B13</f>
        <v/>
      </c>
      <c r="C109" s="8">
        <f>C13</f>
        <v/>
      </c>
      <c r="D109" s="14" t="n"/>
      <c r="E109" s="14" t="n"/>
      <c r="F109" s="8">
        <f>D109+E109</f>
        <v/>
      </c>
      <c r="G109" s="14" t="n"/>
      <c r="H109" s="14" t="n"/>
      <c r="I109" s="8">
        <f>G109+H109</f>
        <v/>
      </c>
      <c r="J109" s="8">
        <f>D109+G109</f>
        <v/>
      </c>
      <c r="K109" s="8">
        <f>E109+H109</f>
        <v/>
      </c>
      <c r="L109" s="8">
        <f>J109+K109</f>
        <v/>
      </c>
      <c r="M109" s="9">
        <f>IF(C109=0,0,L109/C109*100)</f>
        <v/>
      </c>
    </row>
    <row r="110">
      <c r="A110" s="7" t="n">
        <v>10</v>
      </c>
      <c r="B110" s="8">
        <f>B14</f>
        <v/>
      </c>
      <c r="C110" s="8">
        <f>C14</f>
        <v/>
      </c>
      <c r="D110" s="14" t="n"/>
      <c r="E110" s="14" t="n"/>
      <c r="F110" s="8">
        <f>D110+E110</f>
        <v/>
      </c>
      <c r="G110" s="14" t="n"/>
      <c r="H110" s="14" t="n"/>
      <c r="I110" s="8">
        <f>G110+H110</f>
        <v/>
      </c>
      <c r="J110" s="8">
        <f>D110+G110</f>
        <v/>
      </c>
      <c r="K110" s="8">
        <f>E110+H110</f>
        <v/>
      </c>
      <c r="L110" s="8">
        <f>J110+K110</f>
        <v/>
      </c>
      <c r="M110" s="9">
        <f>IF(C110=0,0,L110/C110*100)</f>
        <v/>
      </c>
    </row>
    <row r="111">
      <c r="A111" s="10" t="inlineStr">
        <is>
          <t>Total</t>
        </is>
      </c>
      <c r="B111" s="11">
        <f>SUM(B101:B110)</f>
        <v/>
      </c>
      <c r="C111" s="11">
        <f>SUM(C101:C110)</f>
        <v/>
      </c>
      <c r="D111" s="11">
        <f>SUM(D101:D110)</f>
        <v/>
      </c>
      <c r="E111" s="11">
        <f>SUM(E101:E110)</f>
        <v/>
      </c>
      <c r="F111" s="11">
        <f>D111+E111</f>
        <v/>
      </c>
      <c r="G111" s="11">
        <f>SUM(G101:G110)</f>
        <v/>
      </c>
      <c r="H111" s="11">
        <f>SUM(H101:H110)</f>
        <v/>
      </c>
      <c r="I111" s="11">
        <f>G111+H111</f>
        <v/>
      </c>
      <c r="J111" s="11">
        <f>D111+G111</f>
        <v/>
      </c>
      <c r="K111" s="11">
        <f>E111+H111</f>
        <v/>
      </c>
      <c r="L111" s="11">
        <f>J111+K111</f>
        <v/>
      </c>
      <c r="M111" s="12">
        <f>IF(C111=0,0,L111/C111*100)</f>
        <v/>
      </c>
    </row>
    <row r="113">
      <c r="A113" s="13" t="inlineStr">
        <is>
          <t>Day 7 - 2026-10-11 (Sun 25 Aswin 2083)</t>
        </is>
      </c>
    </row>
    <row r="114">
      <c r="A114" s="6" t="inlineStr">
        <is>
          <t>Ward no.</t>
        </is>
      </c>
      <c r="B114" s="6" t="inlineStr">
        <is>
          <t>Total population</t>
        </is>
      </c>
      <c r="C114" s="6" t="inlineStr">
        <is>
          <t>JE target population</t>
        </is>
      </c>
      <c r="D114" s="6" t="inlineStr">
        <is>
          <t>Vaccinated</t>
        </is>
      </c>
      <c r="E114" s="6" t="n"/>
      <c r="F114" s="6" t="n"/>
      <c r="G114" s="6" t="n"/>
      <c r="H114" s="6" t="n"/>
      <c r="I114" s="6" t="n"/>
      <c r="J114" s="6" t="n"/>
      <c r="K114" s="6" t="n"/>
      <c r="L114" s="6" t="n"/>
      <c r="M114" s="6" t="inlineStr">
        <is>
          <t>Progress %</t>
        </is>
      </c>
    </row>
    <row r="115">
      <c r="A115" s="6" t="n"/>
      <c r="B115" s="6" t="n"/>
      <c r="C115" s="6" t="n"/>
      <c r="D115" s="6" t="inlineStr">
        <is>
          <t>Age 30-60 yrs</t>
        </is>
      </c>
      <c r="E115" s="6" t="n"/>
      <c r="F115" s="6" t="n"/>
      <c r="G115" s="6" t="inlineStr">
        <is>
          <t>Age 60 above</t>
        </is>
      </c>
      <c r="H115" s="6" t="n"/>
      <c r="I115" s="6" t="n"/>
      <c r="J115" s="6" t="inlineStr">
        <is>
          <t>Total</t>
        </is>
      </c>
      <c r="K115" s="6" t="n"/>
      <c r="L115" s="6" t="inlineStr">
        <is>
          <t>Grand Total</t>
        </is>
      </c>
      <c r="M115" s="6" t="n"/>
    </row>
    <row r="116">
      <c r="A116" s="6" t="n"/>
      <c r="B116" s="6" t="n"/>
      <c r="C116" s="6" t="n"/>
      <c r="D116" s="6" t="inlineStr">
        <is>
          <t>F</t>
        </is>
      </c>
      <c r="E116" s="6" t="inlineStr">
        <is>
          <t>M</t>
        </is>
      </c>
      <c r="F116" s="6" t="inlineStr">
        <is>
          <t>Total</t>
        </is>
      </c>
      <c r="G116" s="6" t="inlineStr">
        <is>
          <t>F</t>
        </is>
      </c>
      <c r="H116" s="6" t="inlineStr">
        <is>
          <t>M</t>
        </is>
      </c>
      <c r="I116" s="6" t="inlineStr">
        <is>
          <t>Total</t>
        </is>
      </c>
      <c r="J116" s="6" t="inlineStr">
        <is>
          <t>F</t>
        </is>
      </c>
      <c r="K116" s="6" t="inlineStr">
        <is>
          <t>M</t>
        </is>
      </c>
      <c r="L116" s="6" t="n"/>
      <c r="M116" s="6" t="n"/>
    </row>
    <row r="117">
      <c r="A117" s="7" t="n">
        <v>1</v>
      </c>
      <c r="B117" s="8">
        <f>B5</f>
        <v/>
      </c>
      <c r="C117" s="8">
        <f>C5</f>
        <v/>
      </c>
      <c r="D117" s="14" t="n"/>
      <c r="E117" s="14" t="n"/>
      <c r="F117" s="8">
        <f>D117+E117</f>
        <v/>
      </c>
      <c r="G117" s="14" t="n"/>
      <c r="H117" s="14" t="n"/>
      <c r="I117" s="8">
        <f>G117+H117</f>
        <v/>
      </c>
      <c r="J117" s="8">
        <f>D117+G117</f>
        <v/>
      </c>
      <c r="K117" s="8">
        <f>E117+H117</f>
        <v/>
      </c>
      <c r="L117" s="8">
        <f>J117+K117</f>
        <v/>
      </c>
      <c r="M117" s="9">
        <f>IF(C117=0,0,L117/C117*100)</f>
        <v/>
      </c>
    </row>
    <row r="118">
      <c r="A118" s="7" t="n">
        <v>2</v>
      </c>
      <c r="B118" s="8">
        <f>B6</f>
        <v/>
      </c>
      <c r="C118" s="8">
        <f>C6</f>
        <v/>
      </c>
      <c r="D118" s="14" t="n"/>
      <c r="E118" s="14" t="n"/>
      <c r="F118" s="8">
        <f>D118+E118</f>
        <v/>
      </c>
      <c r="G118" s="14" t="n"/>
      <c r="H118" s="14" t="n"/>
      <c r="I118" s="8">
        <f>G118+H118</f>
        <v/>
      </c>
      <c r="J118" s="8">
        <f>D118+G118</f>
        <v/>
      </c>
      <c r="K118" s="8">
        <f>E118+H118</f>
        <v/>
      </c>
      <c r="L118" s="8">
        <f>J118+K118</f>
        <v/>
      </c>
      <c r="M118" s="9">
        <f>IF(C118=0,0,L118/C118*100)</f>
        <v/>
      </c>
    </row>
    <row r="119">
      <c r="A119" s="7" t="n">
        <v>3</v>
      </c>
      <c r="B119" s="8">
        <f>B7</f>
        <v/>
      </c>
      <c r="C119" s="8">
        <f>C7</f>
        <v/>
      </c>
      <c r="D119" s="14" t="n"/>
      <c r="E119" s="14" t="n"/>
      <c r="F119" s="8">
        <f>D119+E119</f>
        <v/>
      </c>
      <c r="G119" s="14" t="n"/>
      <c r="H119" s="14" t="n"/>
      <c r="I119" s="8">
        <f>G119+H119</f>
        <v/>
      </c>
      <c r="J119" s="8">
        <f>D119+G119</f>
        <v/>
      </c>
      <c r="K119" s="8">
        <f>E119+H119</f>
        <v/>
      </c>
      <c r="L119" s="8">
        <f>J119+K119</f>
        <v/>
      </c>
      <c r="M119" s="9">
        <f>IF(C119=0,0,L119/C119*100)</f>
        <v/>
      </c>
    </row>
    <row r="120">
      <c r="A120" s="7" t="n">
        <v>4</v>
      </c>
      <c r="B120" s="8">
        <f>B8</f>
        <v/>
      </c>
      <c r="C120" s="8">
        <f>C8</f>
        <v/>
      </c>
      <c r="D120" s="14" t="n"/>
      <c r="E120" s="14" t="n"/>
      <c r="F120" s="8">
        <f>D120+E120</f>
        <v/>
      </c>
      <c r="G120" s="14" t="n"/>
      <c r="H120" s="14" t="n"/>
      <c r="I120" s="8">
        <f>G120+H120</f>
        <v/>
      </c>
      <c r="J120" s="8">
        <f>D120+G120</f>
        <v/>
      </c>
      <c r="K120" s="8">
        <f>E120+H120</f>
        <v/>
      </c>
      <c r="L120" s="8">
        <f>J120+K120</f>
        <v/>
      </c>
      <c r="M120" s="9">
        <f>IF(C120=0,0,L120/C120*100)</f>
        <v/>
      </c>
    </row>
    <row r="121">
      <c r="A121" s="7" t="n">
        <v>5</v>
      </c>
      <c r="B121" s="8">
        <f>B9</f>
        <v/>
      </c>
      <c r="C121" s="8">
        <f>C9</f>
        <v/>
      </c>
      <c r="D121" s="14" t="n"/>
      <c r="E121" s="14" t="n"/>
      <c r="F121" s="8">
        <f>D121+E121</f>
        <v/>
      </c>
      <c r="G121" s="14" t="n"/>
      <c r="H121" s="14" t="n"/>
      <c r="I121" s="8">
        <f>G121+H121</f>
        <v/>
      </c>
      <c r="J121" s="8">
        <f>D121+G121</f>
        <v/>
      </c>
      <c r="K121" s="8">
        <f>E121+H121</f>
        <v/>
      </c>
      <c r="L121" s="8">
        <f>J121+K121</f>
        <v/>
      </c>
      <c r="M121" s="9">
        <f>IF(C121=0,0,L121/C121*100)</f>
        <v/>
      </c>
    </row>
    <row r="122">
      <c r="A122" s="7" t="n">
        <v>6</v>
      </c>
      <c r="B122" s="8">
        <f>B10</f>
        <v/>
      </c>
      <c r="C122" s="8">
        <f>C10</f>
        <v/>
      </c>
      <c r="D122" s="14" t="n"/>
      <c r="E122" s="14" t="n"/>
      <c r="F122" s="8">
        <f>D122+E122</f>
        <v/>
      </c>
      <c r="G122" s="14" t="n"/>
      <c r="H122" s="14" t="n"/>
      <c r="I122" s="8">
        <f>G122+H122</f>
        <v/>
      </c>
      <c r="J122" s="8">
        <f>D122+G122</f>
        <v/>
      </c>
      <c r="K122" s="8">
        <f>E122+H122</f>
        <v/>
      </c>
      <c r="L122" s="8">
        <f>J122+K122</f>
        <v/>
      </c>
      <c r="M122" s="9">
        <f>IF(C122=0,0,L122/C122*100)</f>
        <v/>
      </c>
    </row>
    <row r="123">
      <c r="A123" s="7" t="n">
        <v>7</v>
      </c>
      <c r="B123" s="8">
        <f>B11</f>
        <v/>
      </c>
      <c r="C123" s="8">
        <f>C11</f>
        <v/>
      </c>
      <c r="D123" s="14" t="n"/>
      <c r="E123" s="14" t="n"/>
      <c r="F123" s="8">
        <f>D123+E123</f>
        <v/>
      </c>
      <c r="G123" s="14" t="n"/>
      <c r="H123" s="14" t="n"/>
      <c r="I123" s="8">
        <f>G123+H123</f>
        <v/>
      </c>
      <c r="J123" s="8">
        <f>D123+G123</f>
        <v/>
      </c>
      <c r="K123" s="8">
        <f>E123+H123</f>
        <v/>
      </c>
      <c r="L123" s="8">
        <f>J123+K123</f>
        <v/>
      </c>
      <c r="M123" s="9">
        <f>IF(C123=0,0,L123/C123*100)</f>
        <v/>
      </c>
    </row>
    <row r="124">
      <c r="A124" s="7" t="n">
        <v>8</v>
      </c>
      <c r="B124" s="8">
        <f>B12</f>
        <v/>
      </c>
      <c r="C124" s="8">
        <f>C12</f>
        <v/>
      </c>
      <c r="D124" s="14" t="n"/>
      <c r="E124" s="14" t="n"/>
      <c r="F124" s="8">
        <f>D124+E124</f>
        <v/>
      </c>
      <c r="G124" s="14" t="n"/>
      <c r="H124" s="14" t="n"/>
      <c r="I124" s="8">
        <f>G124+H124</f>
        <v/>
      </c>
      <c r="J124" s="8">
        <f>D124+G124</f>
        <v/>
      </c>
      <c r="K124" s="8">
        <f>E124+H124</f>
        <v/>
      </c>
      <c r="L124" s="8">
        <f>J124+K124</f>
        <v/>
      </c>
      <c r="M124" s="9">
        <f>IF(C124=0,0,L124/C124*100)</f>
        <v/>
      </c>
    </row>
    <row r="125">
      <c r="A125" s="7" t="n">
        <v>9</v>
      </c>
      <c r="B125" s="8">
        <f>B13</f>
        <v/>
      </c>
      <c r="C125" s="8">
        <f>C13</f>
        <v/>
      </c>
      <c r="D125" s="14" t="n"/>
      <c r="E125" s="14" t="n"/>
      <c r="F125" s="8">
        <f>D125+E125</f>
        <v/>
      </c>
      <c r="G125" s="14" t="n"/>
      <c r="H125" s="14" t="n"/>
      <c r="I125" s="8">
        <f>G125+H125</f>
        <v/>
      </c>
      <c r="J125" s="8">
        <f>D125+G125</f>
        <v/>
      </c>
      <c r="K125" s="8">
        <f>E125+H125</f>
        <v/>
      </c>
      <c r="L125" s="8">
        <f>J125+K125</f>
        <v/>
      </c>
      <c r="M125" s="9">
        <f>IF(C125=0,0,L125/C125*100)</f>
        <v/>
      </c>
    </row>
    <row r="126">
      <c r="A126" s="7" t="n">
        <v>10</v>
      </c>
      <c r="B126" s="8">
        <f>B14</f>
        <v/>
      </c>
      <c r="C126" s="8">
        <f>C14</f>
        <v/>
      </c>
      <c r="D126" s="14" t="n"/>
      <c r="E126" s="14" t="n"/>
      <c r="F126" s="8">
        <f>D126+E126</f>
        <v/>
      </c>
      <c r="G126" s="14" t="n"/>
      <c r="H126" s="14" t="n"/>
      <c r="I126" s="8">
        <f>G126+H126</f>
        <v/>
      </c>
      <c r="J126" s="8">
        <f>D126+G126</f>
        <v/>
      </c>
      <c r="K126" s="8">
        <f>E126+H126</f>
        <v/>
      </c>
      <c r="L126" s="8">
        <f>J126+K126</f>
        <v/>
      </c>
      <c r="M126" s="9">
        <f>IF(C126=0,0,L126/C126*100)</f>
        <v/>
      </c>
    </row>
    <row r="127">
      <c r="A127" s="10" t="inlineStr">
        <is>
          <t>Total</t>
        </is>
      </c>
      <c r="B127" s="11">
        <f>SUM(B117:B126)</f>
        <v/>
      </c>
      <c r="C127" s="11">
        <f>SUM(C117:C126)</f>
        <v/>
      </c>
      <c r="D127" s="11">
        <f>SUM(D117:D126)</f>
        <v/>
      </c>
      <c r="E127" s="11">
        <f>SUM(E117:E126)</f>
        <v/>
      </c>
      <c r="F127" s="11">
        <f>D127+E127</f>
        <v/>
      </c>
      <c r="G127" s="11">
        <f>SUM(G117:G126)</f>
        <v/>
      </c>
      <c r="H127" s="11">
        <f>SUM(H117:H126)</f>
        <v/>
      </c>
      <c r="I127" s="11">
        <f>G127+H127</f>
        <v/>
      </c>
      <c r="J127" s="11">
        <f>D127+G127</f>
        <v/>
      </c>
      <c r="K127" s="11">
        <f>E127+H127</f>
        <v/>
      </c>
      <c r="L127" s="11">
        <f>J127+K127</f>
        <v/>
      </c>
      <c r="M127" s="12">
        <f>IF(C127=0,0,L127/C127*100)</f>
        <v/>
      </c>
    </row>
    <row r="129">
      <c r="A129" s="13" t="inlineStr">
        <is>
          <t>Day 8 - 2026-10-12 (Mon 26 Aswin 2083)</t>
        </is>
      </c>
    </row>
    <row r="130">
      <c r="A130" s="6" t="inlineStr">
        <is>
          <t>Ward no.</t>
        </is>
      </c>
      <c r="B130" s="6" t="inlineStr">
        <is>
          <t>Total population</t>
        </is>
      </c>
      <c r="C130" s="6" t="inlineStr">
        <is>
          <t>JE target population</t>
        </is>
      </c>
      <c r="D130" s="6" t="inlineStr">
        <is>
          <t>Vaccinated</t>
        </is>
      </c>
      <c r="E130" s="6" t="n"/>
      <c r="F130" s="6" t="n"/>
      <c r="G130" s="6" t="n"/>
      <c r="H130" s="6" t="n"/>
      <c r="I130" s="6" t="n"/>
      <c r="J130" s="6" t="n"/>
      <c r="K130" s="6" t="n"/>
      <c r="L130" s="6" t="n"/>
      <c r="M130" s="6" t="inlineStr">
        <is>
          <t>Progress %</t>
        </is>
      </c>
    </row>
    <row r="131">
      <c r="A131" s="6" t="n"/>
      <c r="B131" s="6" t="n"/>
      <c r="C131" s="6" t="n"/>
      <c r="D131" s="6" t="inlineStr">
        <is>
          <t>Age 30-60 yrs</t>
        </is>
      </c>
      <c r="E131" s="6" t="n"/>
      <c r="F131" s="6" t="n"/>
      <c r="G131" s="6" t="inlineStr">
        <is>
          <t>Age 60 above</t>
        </is>
      </c>
      <c r="H131" s="6" t="n"/>
      <c r="I131" s="6" t="n"/>
      <c r="J131" s="6" t="inlineStr">
        <is>
          <t>Total</t>
        </is>
      </c>
      <c r="K131" s="6" t="n"/>
      <c r="L131" s="6" t="inlineStr">
        <is>
          <t>Grand Total</t>
        </is>
      </c>
      <c r="M131" s="6" t="n"/>
    </row>
    <row r="132">
      <c r="A132" s="6" t="n"/>
      <c r="B132" s="6" t="n"/>
      <c r="C132" s="6" t="n"/>
      <c r="D132" s="6" t="inlineStr">
        <is>
          <t>F</t>
        </is>
      </c>
      <c r="E132" s="6" t="inlineStr">
        <is>
          <t>M</t>
        </is>
      </c>
      <c r="F132" s="6" t="inlineStr">
        <is>
          <t>Total</t>
        </is>
      </c>
      <c r="G132" s="6" t="inlineStr">
        <is>
          <t>F</t>
        </is>
      </c>
      <c r="H132" s="6" t="inlineStr">
        <is>
          <t>M</t>
        </is>
      </c>
      <c r="I132" s="6" t="inlineStr">
        <is>
          <t>Total</t>
        </is>
      </c>
      <c r="J132" s="6" t="inlineStr">
        <is>
          <t>F</t>
        </is>
      </c>
      <c r="K132" s="6" t="inlineStr">
        <is>
          <t>M</t>
        </is>
      </c>
      <c r="L132" s="6" t="n"/>
      <c r="M132" s="6" t="n"/>
    </row>
    <row r="133">
      <c r="A133" s="7" t="n">
        <v>1</v>
      </c>
      <c r="B133" s="8">
        <f>B5</f>
        <v/>
      </c>
      <c r="C133" s="8">
        <f>C5</f>
        <v/>
      </c>
      <c r="D133" s="14" t="n"/>
      <c r="E133" s="14" t="n"/>
      <c r="F133" s="8">
        <f>D133+E133</f>
        <v/>
      </c>
      <c r="G133" s="14" t="n"/>
      <c r="H133" s="14" t="n"/>
      <c r="I133" s="8">
        <f>G133+H133</f>
        <v/>
      </c>
      <c r="J133" s="8">
        <f>D133+G133</f>
        <v/>
      </c>
      <c r="K133" s="8">
        <f>E133+H133</f>
        <v/>
      </c>
      <c r="L133" s="8">
        <f>J133+K133</f>
        <v/>
      </c>
      <c r="M133" s="9">
        <f>IF(C133=0,0,L133/C133*100)</f>
        <v/>
      </c>
    </row>
    <row r="134">
      <c r="A134" s="7" t="n">
        <v>2</v>
      </c>
      <c r="B134" s="8">
        <f>B6</f>
        <v/>
      </c>
      <c r="C134" s="8">
        <f>C6</f>
        <v/>
      </c>
      <c r="D134" s="14" t="n"/>
      <c r="E134" s="14" t="n"/>
      <c r="F134" s="8">
        <f>D134+E134</f>
        <v/>
      </c>
      <c r="G134" s="14" t="n"/>
      <c r="H134" s="14" t="n"/>
      <c r="I134" s="8">
        <f>G134+H134</f>
        <v/>
      </c>
      <c r="J134" s="8">
        <f>D134+G134</f>
        <v/>
      </c>
      <c r="K134" s="8">
        <f>E134+H134</f>
        <v/>
      </c>
      <c r="L134" s="8">
        <f>J134+K134</f>
        <v/>
      </c>
      <c r="M134" s="9">
        <f>IF(C134=0,0,L134/C134*100)</f>
        <v/>
      </c>
    </row>
    <row r="135">
      <c r="A135" s="7" t="n">
        <v>3</v>
      </c>
      <c r="B135" s="8">
        <f>B7</f>
        <v/>
      </c>
      <c r="C135" s="8">
        <f>C7</f>
        <v/>
      </c>
      <c r="D135" s="14" t="n"/>
      <c r="E135" s="14" t="n"/>
      <c r="F135" s="8">
        <f>D135+E135</f>
        <v/>
      </c>
      <c r="G135" s="14" t="n"/>
      <c r="H135" s="14" t="n"/>
      <c r="I135" s="8">
        <f>G135+H135</f>
        <v/>
      </c>
      <c r="J135" s="8">
        <f>D135+G135</f>
        <v/>
      </c>
      <c r="K135" s="8">
        <f>E135+H135</f>
        <v/>
      </c>
      <c r="L135" s="8">
        <f>J135+K135</f>
        <v/>
      </c>
      <c r="M135" s="9">
        <f>IF(C135=0,0,L135/C135*100)</f>
        <v/>
      </c>
    </row>
    <row r="136">
      <c r="A136" s="7" t="n">
        <v>4</v>
      </c>
      <c r="B136" s="8">
        <f>B8</f>
        <v/>
      </c>
      <c r="C136" s="8">
        <f>C8</f>
        <v/>
      </c>
      <c r="D136" s="14" t="n"/>
      <c r="E136" s="14" t="n"/>
      <c r="F136" s="8">
        <f>D136+E136</f>
        <v/>
      </c>
      <c r="G136" s="14" t="n"/>
      <c r="H136" s="14" t="n"/>
      <c r="I136" s="8">
        <f>G136+H136</f>
        <v/>
      </c>
      <c r="J136" s="8">
        <f>D136+G136</f>
        <v/>
      </c>
      <c r="K136" s="8">
        <f>E136+H136</f>
        <v/>
      </c>
      <c r="L136" s="8">
        <f>J136+K136</f>
        <v/>
      </c>
      <c r="M136" s="9">
        <f>IF(C136=0,0,L136/C136*100)</f>
        <v/>
      </c>
    </row>
    <row r="137">
      <c r="A137" s="7" t="n">
        <v>5</v>
      </c>
      <c r="B137" s="8">
        <f>B9</f>
        <v/>
      </c>
      <c r="C137" s="8">
        <f>C9</f>
        <v/>
      </c>
      <c r="D137" s="14" t="n"/>
      <c r="E137" s="14" t="n"/>
      <c r="F137" s="8">
        <f>D137+E137</f>
        <v/>
      </c>
      <c r="G137" s="14" t="n"/>
      <c r="H137" s="14" t="n"/>
      <c r="I137" s="8">
        <f>G137+H137</f>
        <v/>
      </c>
      <c r="J137" s="8">
        <f>D137+G137</f>
        <v/>
      </c>
      <c r="K137" s="8">
        <f>E137+H137</f>
        <v/>
      </c>
      <c r="L137" s="8">
        <f>J137+K137</f>
        <v/>
      </c>
      <c r="M137" s="9">
        <f>IF(C137=0,0,L137/C137*100)</f>
        <v/>
      </c>
    </row>
    <row r="138">
      <c r="A138" s="7" t="n">
        <v>6</v>
      </c>
      <c r="B138" s="8">
        <f>B10</f>
        <v/>
      </c>
      <c r="C138" s="8">
        <f>C10</f>
        <v/>
      </c>
      <c r="D138" s="14" t="n"/>
      <c r="E138" s="14" t="n"/>
      <c r="F138" s="8">
        <f>D138+E138</f>
        <v/>
      </c>
      <c r="G138" s="14" t="n"/>
      <c r="H138" s="14" t="n"/>
      <c r="I138" s="8">
        <f>G138+H138</f>
        <v/>
      </c>
      <c r="J138" s="8">
        <f>D138+G138</f>
        <v/>
      </c>
      <c r="K138" s="8">
        <f>E138+H138</f>
        <v/>
      </c>
      <c r="L138" s="8">
        <f>J138+K138</f>
        <v/>
      </c>
      <c r="M138" s="9">
        <f>IF(C138=0,0,L138/C138*100)</f>
        <v/>
      </c>
    </row>
    <row r="139">
      <c r="A139" s="7" t="n">
        <v>7</v>
      </c>
      <c r="B139" s="8">
        <f>B11</f>
        <v/>
      </c>
      <c r="C139" s="8">
        <f>C11</f>
        <v/>
      </c>
      <c r="D139" s="14" t="n"/>
      <c r="E139" s="14" t="n"/>
      <c r="F139" s="8">
        <f>D139+E139</f>
        <v/>
      </c>
      <c r="G139" s="14" t="n"/>
      <c r="H139" s="14" t="n"/>
      <c r="I139" s="8">
        <f>G139+H139</f>
        <v/>
      </c>
      <c r="J139" s="8">
        <f>D139+G139</f>
        <v/>
      </c>
      <c r="K139" s="8">
        <f>E139+H139</f>
        <v/>
      </c>
      <c r="L139" s="8">
        <f>J139+K139</f>
        <v/>
      </c>
      <c r="M139" s="9">
        <f>IF(C139=0,0,L139/C139*100)</f>
        <v/>
      </c>
    </row>
    <row r="140">
      <c r="A140" s="7" t="n">
        <v>8</v>
      </c>
      <c r="B140" s="8">
        <f>B12</f>
        <v/>
      </c>
      <c r="C140" s="8">
        <f>C12</f>
        <v/>
      </c>
      <c r="D140" s="14" t="n"/>
      <c r="E140" s="14" t="n"/>
      <c r="F140" s="8">
        <f>D140+E140</f>
        <v/>
      </c>
      <c r="G140" s="14" t="n"/>
      <c r="H140" s="14" t="n"/>
      <c r="I140" s="8">
        <f>G140+H140</f>
        <v/>
      </c>
      <c r="J140" s="8">
        <f>D140+G140</f>
        <v/>
      </c>
      <c r="K140" s="8">
        <f>E140+H140</f>
        <v/>
      </c>
      <c r="L140" s="8">
        <f>J140+K140</f>
        <v/>
      </c>
      <c r="M140" s="9">
        <f>IF(C140=0,0,L140/C140*100)</f>
        <v/>
      </c>
    </row>
    <row r="141">
      <c r="A141" s="7" t="n">
        <v>9</v>
      </c>
      <c r="B141" s="8">
        <f>B13</f>
        <v/>
      </c>
      <c r="C141" s="8">
        <f>C13</f>
        <v/>
      </c>
      <c r="D141" s="14" t="n"/>
      <c r="E141" s="14" t="n"/>
      <c r="F141" s="8">
        <f>D141+E141</f>
        <v/>
      </c>
      <c r="G141" s="14" t="n"/>
      <c r="H141" s="14" t="n"/>
      <c r="I141" s="8">
        <f>G141+H141</f>
        <v/>
      </c>
      <c r="J141" s="8">
        <f>D141+G141</f>
        <v/>
      </c>
      <c r="K141" s="8">
        <f>E141+H141</f>
        <v/>
      </c>
      <c r="L141" s="8">
        <f>J141+K141</f>
        <v/>
      </c>
      <c r="M141" s="9">
        <f>IF(C141=0,0,L141/C141*100)</f>
        <v/>
      </c>
    </row>
    <row r="142">
      <c r="A142" s="7" t="n">
        <v>10</v>
      </c>
      <c r="B142" s="8">
        <f>B14</f>
        <v/>
      </c>
      <c r="C142" s="8">
        <f>C14</f>
        <v/>
      </c>
      <c r="D142" s="14" t="n"/>
      <c r="E142" s="14" t="n"/>
      <c r="F142" s="8">
        <f>D142+E142</f>
        <v/>
      </c>
      <c r="G142" s="14" t="n"/>
      <c r="H142" s="14" t="n"/>
      <c r="I142" s="8">
        <f>G142+H142</f>
        <v/>
      </c>
      <c r="J142" s="8">
        <f>D142+G142</f>
        <v/>
      </c>
      <c r="K142" s="8">
        <f>E142+H142</f>
        <v/>
      </c>
      <c r="L142" s="8">
        <f>J142+K142</f>
        <v/>
      </c>
      <c r="M142" s="9">
        <f>IF(C142=0,0,L142/C142*100)</f>
        <v/>
      </c>
    </row>
    <row r="143">
      <c r="A143" s="10" t="inlineStr">
        <is>
          <t>Total</t>
        </is>
      </c>
      <c r="B143" s="11">
        <f>SUM(B133:B142)</f>
        <v/>
      </c>
      <c r="C143" s="11">
        <f>SUM(C133:C142)</f>
        <v/>
      </c>
      <c r="D143" s="11">
        <f>SUM(D133:D142)</f>
        <v/>
      </c>
      <c r="E143" s="11">
        <f>SUM(E133:E142)</f>
        <v/>
      </c>
      <c r="F143" s="11">
        <f>D143+E143</f>
        <v/>
      </c>
      <c r="G143" s="11">
        <f>SUM(G133:G142)</f>
        <v/>
      </c>
      <c r="H143" s="11">
        <f>SUM(H133:H142)</f>
        <v/>
      </c>
      <c r="I143" s="11">
        <f>G143+H143</f>
        <v/>
      </c>
      <c r="J143" s="11">
        <f>D143+G143</f>
        <v/>
      </c>
      <c r="K143" s="11">
        <f>E143+H143</f>
        <v/>
      </c>
      <c r="L143" s="11">
        <f>J143+K143</f>
        <v/>
      </c>
      <c r="M143" s="12">
        <f>IF(C143=0,0,L143/C143*100)</f>
        <v/>
      </c>
    </row>
    <row r="145">
      <c r="A145" s="13" t="inlineStr">
        <is>
          <t>Day 9 - 2026-10-13 (Tue 27 Aswin 2083)</t>
        </is>
      </c>
    </row>
    <row r="146">
      <c r="A146" s="6" t="inlineStr">
        <is>
          <t>Ward no.</t>
        </is>
      </c>
      <c r="B146" s="6" t="inlineStr">
        <is>
          <t>Total population</t>
        </is>
      </c>
      <c r="C146" s="6" t="inlineStr">
        <is>
          <t>JE target population</t>
        </is>
      </c>
      <c r="D146" s="6" t="inlineStr">
        <is>
          <t>Vaccinated</t>
        </is>
      </c>
      <c r="E146" s="6" t="n"/>
      <c r="F146" s="6" t="n"/>
      <c r="G146" s="6" t="n"/>
      <c r="H146" s="6" t="n"/>
      <c r="I146" s="6" t="n"/>
      <c r="J146" s="6" t="n"/>
      <c r="K146" s="6" t="n"/>
      <c r="L146" s="6" t="n"/>
      <c r="M146" s="6" t="inlineStr">
        <is>
          <t>Progress %</t>
        </is>
      </c>
    </row>
    <row r="147">
      <c r="A147" s="6" t="n"/>
      <c r="B147" s="6" t="n"/>
      <c r="C147" s="6" t="n"/>
      <c r="D147" s="6" t="inlineStr">
        <is>
          <t>Age 30-60 yrs</t>
        </is>
      </c>
      <c r="E147" s="6" t="n"/>
      <c r="F147" s="6" t="n"/>
      <c r="G147" s="6" t="inlineStr">
        <is>
          <t>Age 60 above</t>
        </is>
      </c>
      <c r="H147" s="6" t="n"/>
      <c r="I147" s="6" t="n"/>
      <c r="J147" s="6" t="inlineStr">
        <is>
          <t>Total</t>
        </is>
      </c>
      <c r="K147" s="6" t="n"/>
      <c r="L147" s="6" t="inlineStr">
        <is>
          <t>Grand Total</t>
        </is>
      </c>
      <c r="M147" s="6" t="n"/>
    </row>
    <row r="148">
      <c r="A148" s="6" t="n"/>
      <c r="B148" s="6" t="n"/>
      <c r="C148" s="6" t="n"/>
      <c r="D148" s="6" t="inlineStr">
        <is>
          <t>F</t>
        </is>
      </c>
      <c r="E148" s="6" t="inlineStr">
        <is>
          <t>M</t>
        </is>
      </c>
      <c r="F148" s="6" t="inlineStr">
        <is>
          <t>Total</t>
        </is>
      </c>
      <c r="G148" s="6" t="inlineStr">
        <is>
          <t>F</t>
        </is>
      </c>
      <c r="H148" s="6" t="inlineStr">
        <is>
          <t>M</t>
        </is>
      </c>
      <c r="I148" s="6" t="inlineStr">
        <is>
          <t>Total</t>
        </is>
      </c>
      <c r="J148" s="6" t="inlineStr">
        <is>
          <t>F</t>
        </is>
      </c>
      <c r="K148" s="6" t="inlineStr">
        <is>
          <t>M</t>
        </is>
      </c>
      <c r="L148" s="6" t="n"/>
      <c r="M148" s="6" t="n"/>
    </row>
    <row r="149">
      <c r="A149" s="7" t="n">
        <v>1</v>
      </c>
      <c r="B149" s="8">
        <f>B5</f>
        <v/>
      </c>
      <c r="C149" s="8">
        <f>C5</f>
        <v/>
      </c>
      <c r="D149" s="14" t="n"/>
      <c r="E149" s="14" t="n"/>
      <c r="F149" s="8">
        <f>D149+E149</f>
        <v/>
      </c>
      <c r="G149" s="14" t="n"/>
      <c r="H149" s="14" t="n"/>
      <c r="I149" s="8">
        <f>G149+H149</f>
        <v/>
      </c>
      <c r="J149" s="8">
        <f>D149+G149</f>
        <v/>
      </c>
      <c r="K149" s="8">
        <f>E149+H149</f>
        <v/>
      </c>
      <c r="L149" s="8">
        <f>J149+K149</f>
        <v/>
      </c>
      <c r="M149" s="9">
        <f>IF(C149=0,0,L149/C149*100)</f>
        <v/>
      </c>
    </row>
    <row r="150">
      <c r="A150" s="7" t="n">
        <v>2</v>
      </c>
      <c r="B150" s="8">
        <f>B6</f>
        <v/>
      </c>
      <c r="C150" s="8">
        <f>C6</f>
        <v/>
      </c>
      <c r="D150" s="14" t="n"/>
      <c r="E150" s="14" t="n"/>
      <c r="F150" s="8">
        <f>D150+E150</f>
        <v/>
      </c>
      <c r="G150" s="14" t="n"/>
      <c r="H150" s="14" t="n"/>
      <c r="I150" s="8">
        <f>G150+H150</f>
        <v/>
      </c>
      <c r="J150" s="8">
        <f>D150+G150</f>
        <v/>
      </c>
      <c r="K150" s="8">
        <f>E150+H150</f>
        <v/>
      </c>
      <c r="L150" s="8">
        <f>J150+K150</f>
        <v/>
      </c>
      <c r="M150" s="9">
        <f>IF(C150=0,0,L150/C150*100)</f>
        <v/>
      </c>
    </row>
    <row r="151">
      <c r="A151" s="7" t="n">
        <v>3</v>
      </c>
      <c r="B151" s="8">
        <f>B7</f>
        <v/>
      </c>
      <c r="C151" s="8">
        <f>C7</f>
        <v/>
      </c>
      <c r="D151" s="14" t="n"/>
      <c r="E151" s="14" t="n"/>
      <c r="F151" s="8">
        <f>D151+E151</f>
        <v/>
      </c>
      <c r="G151" s="14" t="n"/>
      <c r="H151" s="14" t="n"/>
      <c r="I151" s="8">
        <f>G151+H151</f>
        <v/>
      </c>
      <c r="J151" s="8">
        <f>D151+G151</f>
        <v/>
      </c>
      <c r="K151" s="8">
        <f>E151+H151</f>
        <v/>
      </c>
      <c r="L151" s="8">
        <f>J151+K151</f>
        <v/>
      </c>
      <c r="M151" s="9">
        <f>IF(C151=0,0,L151/C151*100)</f>
        <v/>
      </c>
    </row>
    <row r="152">
      <c r="A152" s="7" t="n">
        <v>4</v>
      </c>
      <c r="B152" s="8">
        <f>B8</f>
        <v/>
      </c>
      <c r="C152" s="8">
        <f>C8</f>
        <v/>
      </c>
      <c r="D152" s="14" t="n"/>
      <c r="E152" s="14" t="n"/>
      <c r="F152" s="8">
        <f>D152+E152</f>
        <v/>
      </c>
      <c r="G152" s="14" t="n"/>
      <c r="H152" s="14" t="n"/>
      <c r="I152" s="8">
        <f>G152+H152</f>
        <v/>
      </c>
      <c r="J152" s="8">
        <f>D152+G152</f>
        <v/>
      </c>
      <c r="K152" s="8">
        <f>E152+H152</f>
        <v/>
      </c>
      <c r="L152" s="8">
        <f>J152+K152</f>
        <v/>
      </c>
      <c r="M152" s="9">
        <f>IF(C152=0,0,L152/C152*100)</f>
        <v/>
      </c>
    </row>
    <row r="153">
      <c r="A153" s="7" t="n">
        <v>5</v>
      </c>
      <c r="B153" s="8">
        <f>B9</f>
        <v/>
      </c>
      <c r="C153" s="8">
        <f>C9</f>
        <v/>
      </c>
      <c r="D153" s="14" t="n"/>
      <c r="E153" s="14" t="n"/>
      <c r="F153" s="8">
        <f>D153+E153</f>
        <v/>
      </c>
      <c r="G153" s="14" t="n"/>
      <c r="H153" s="14" t="n"/>
      <c r="I153" s="8">
        <f>G153+H153</f>
        <v/>
      </c>
      <c r="J153" s="8">
        <f>D153+G153</f>
        <v/>
      </c>
      <c r="K153" s="8">
        <f>E153+H153</f>
        <v/>
      </c>
      <c r="L153" s="8">
        <f>J153+K153</f>
        <v/>
      </c>
      <c r="M153" s="9">
        <f>IF(C153=0,0,L153/C153*100)</f>
        <v/>
      </c>
    </row>
    <row r="154">
      <c r="A154" s="7" t="n">
        <v>6</v>
      </c>
      <c r="B154" s="8">
        <f>B10</f>
        <v/>
      </c>
      <c r="C154" s="8">
        <f>C10</f>
        <v/>
      </c>
      <c r="D154" s="14" t="n"/>
      <c r="E154" s="14" t="n"/>
      <c r="F154" s="8">
        <f>D154+E154</f>
        <v/>
      </c>
      <c r="G154" s="14" t="n"/>
      <c r="H154" s="14" t="n"/>
      <c r="I154" s="8">
        <f>G154+H154</f>
        <v/>
      </c>
      <c r="J154" s="8">
        <f>D154+G154</f>
        <v/>
      </c>
      <c r="K154" s="8">
        <f>E154+H154</f>
        <v/>
      </c>
      <c r="L154" s="8">
        <f>J154+K154</f>
        <v/>
      </c>
      <c r="M154" s="9">
        <f>IF(C154=0,0,L154/C154*100)</f>
        <v/>
      </c>
    </row>
    <row r="155">
      <c r="A155" s="7" t="n">
        <v>7</v>
      </c>
      <c r="B155" s="8">
        <f>B11</f>
        <v/>
      </c>
      <c r="C155" s="8">
        <f>C11</f>
        <v/>
      </c>
      <c r="D155" s="14" t="n"/>
      <c r="E155" s="14" t="n"/>
      <c r="F155" s="8">
        <f>D155+E155</f>
        <v/>
      </c>
      <c r="G155" s="14" t="n"/>
      <c r="H155" s="14" t="n"/>
      <c r="I155" s="8">
        <f>G155+H155</f>
        <v/>
      </c>
      <c r="J155" s="8">
        <f>D155+G155</f>
        <v/>
      </c>
      <c r="K155" s="8">
        <f>E155+H155</f>
        <v/>
      </c>
      <c r="L155" s="8">
        <f>J155+K155</f>
        <v/>
      </c>
      <c r="M155" s="9">
        <f>IF(C155=0,0,L155/C155*100)</f>
        <v/>
      </c>
    </row>
    <row r="156">
      <c r="A156" s="7" t="n">
        <v>8</v>
      </c>
      <c r="B156" s="8">
        <f>B12</f>
        <v/>
      </c>
      <c r="C156" s="8">
        <f>C12</f>
        <v/>
      </c>
      <c r="D156" s="14" t="n"/>
      <c r="E156" s="14" t="n"/>
      <c r="F156" s="8">
        <f>D156+E156</f>
        <v/>
      </c>
      <c r="G156" s="14" t="n"/>
      <c r="H156" s="14" t="n"/>
      <c r="I156" s="8">
        <f>G156+H156</f>
        <v/>
      </c>
      <c r="J156" s="8">
        <f>D156+G156</f>
        <v/>
      </c>
      <c r="K156" s="8">
        <f>E156+H156</f>
        <v/>
      </c>
      <c r="L156" s="8">
        <f>J156+K156</f>
        <v/>
      </c>
      <c r="M156" s="9">
        <f>IF(C156=0,0,L156/C156*100)</f>
        <v/>
      </c>
    </row>
    <row r="157">
      <c r="A157" s="7" t="n">
        <v>9</v>
      </c>
      <c r="B157" s="8">
        <f>B13</f>
        <v/>
      </c>
      <c r="C157" s="8">
        <f>C13</f>
        <v/>
      </c>
      <c r="D157" s="14" t="n"/>
      <c r="E157" s="14" t="n"/>
      <c r="F157" s="8">
        <f>D157+E157</f>
        <v/>
      </c>
      <c r="G157" s="14" t="n"/>
      <c r="H157" s="14" t="n"/>
      <c r="I157" s="8">
        <f>G157+H157</f>
        <v/>
      </c>
      <c r="J157" s="8">
        <f>D157+G157</f>
        <v/>
      </c>
      <c r="K157" s="8">
        <f>E157+H157</f>
        <v/>
      </c>
      <c r="L157" s="8">
        <f>J157+K157</f>
        <v/>
      </c>
      <c r="M157" s="9">
        <f>IF(C157=0,0,L157/C157*100)</f>
        <v/>
      </c>
    </row>
    <row r="158">
      <c r="A158" s="7" t="n">
        <v>10</v>
      </c>
      <c r="B158" s="8">
        <f>B14</f>
        <v/>
      </c>
      <c r="C158" s="8">
        <f>C14</f>
        <v/>
      </c>
      <c r="D158" s="14" t="n"/>
      <c r="E158" s="14" t="n"/>
      <c r="F158" s="8">
        <f>D158+E158</f>
        <v/>
      </c>
      <c r="G158" s="14" t="n"/>
      <c r="H158" s="14" t="n"/>
      <c r="I158" s="8">
        <f>G158+H158</f>
        <v/>
      </c>
      <c r="J158" s="8">
        <f>D158+G158</f>
        <v/>
      </c>
      <c r="K158" s="8">
        <f>E158+H158</f>
        <v/>
      </c>
      <c r="L158" s="8">
        <f>J158+K158</f>
        <v/>
      </c>
      <c r="M158" s="9">
        <f>IF(C158=0,0,L158/C158*100)</f>
        <v/>
      </c>
    </row>
    <row r="159">
      <c r="A159" s="10" t="inlineStr">
        <is>
          <t>Total</t>
        </is>
      </c>
      <c r="B159" s="11">
        <f>SUM(B149:B158)</f>
        <v/>
      </c>
      <c r="C159" s="11">
        <f>SUM(C149:C158)</f>
        <v/>
      </c>
      <c r="D159" s="11">
        <f>SUM(D149:D158)</f>
        <v/>
      </c>
      <c r="E159" s="11">
        <f>SUM(E149:E158)</f>
        <v/>
      </c>
      <c r="F159" s="11">
        <f>D159+E159</f>
        <v/>
      </c>
      <c r="G159" s="11">
        <f>SUM(G149:G158)</f>
        <v/>
      </c>
      <c r="H159" s="11">
        <f>SUM(H149:H158)</f>
        <v/>
      </c>
      <c r="I159" s="11">
        <f>G159+H159</f>
        <v/>
      </c>
      <c r="J159" s="11">
        <f>D159+G159</f>
        <v/>
      </c>
      <c r="K159" s="11">
        <f>E159+H159</f>
        <v/>
      </c>
      <c r="L159" s="11">
        <f>J159+K159</f>
        <v/>
      </c>
      <c r="M159" s="12">
        <f>IF(C159=0,0,L159/C159*100)</f>
        <v/>
      </c>
    </row>
    <row r="161">
      <c r="A161" s="13" t="inlineStr">
        <is>
          <t>Day 10 - 2026-10-14 (Wed 28 Aswin 2083)</t>
        </is>
      </c>
    </row>
    <row r="162">
      <c r="A162" s="6" t="inlineStr">
        <is>
          <t>Ward no.</t>
        </is>
      </c>
      <c r="B162" s="6" t="inlineStr">
        <is>
          <t>Total population</t>
        </is>
      </c>
      <c r="C162" s="6" t="inlineStr">
        <is>
          <t>JE target population</t>
        </is>
      </c>
      <c r="D162" s="6" t="inlineStr">
        <is>
          <t>Vaccinated</t>
        </is>
      </c>
      <c r="E162" s="6" t="n"/>
      <c r="F162" s="6" t="n"/>
      <c r="G162" s="6" t="n"/>
      <c r="H162" s="6" t="n"/>
      <c r="I162" s="6" t="n"/>
      <c r="J162" s="6" t="n"/>
      <c r="K162" s="6" t="n"/>
      <c r="L162" s="6" t="n"/>
      <c r="M162" s="6" t="inlineStr">
        <is>
          <t>Progress %</t>
        </is>
      </c>
    </row>
    <row r="163">
      <c r="A163" s="6" t="n"/>
      <c r="B163" s="6" t="n"/>
      <c r="C163" s="6" t="n"/>
      <c r="D163" s="6" t="inlineStr">
        <is>
          <t>Age 30-60 yrs</t>
        </is>
      </c>
      <c r="E163" s="6" t="n"/>
      <c r="F163" s="6" t="n"/>
      <c r="G163" s="6" t="inlineStr">
        <is>
          <t>Age 60 above</t>
        </is>
      </c>
      <c r="H163" s="6" t="n"/>
      <c r="I163" s="6" t="n"/>
      <c r="J163" s="6" t="inlineStr">
        <is>
          <t>Total</t>
        </is>
      </c>
      <c r="K163" s="6" t="n"/>
      <c r="L163" s="6" t="inlineStr">
        <is>
          <t>Grand Total</t>
        </is>
      </c>
      <c r="M163" s="6" t="n"/>
    </row>
    <row r="164">
      <c r="A164" s="6" t="n"/>
      <c r="B164" s="6" t="n"/>
      <c r="C164" s="6" t="n"/>
      <c r="D164" s="6" t="inlineStr">
        <is>
          <t>F</t>
        </is>
      </c>
      <c r="E164" s="6" t="inlineStr">
        <is>
          <t>M</t>
        </is>
      </c>
      <c r="F164" s="6" t="inlineStr">
        <is>
          <t>Total</t>
        </is>
      </c>
      <c r="G164" s="6" t="inlineStr">
        <is>
          <t>F</t>
        </is>
      </c>
      <c r="H164" s="6" t="inlineStr">
        <is>
          <t>M</t>
        </is>
      </c>
      <c r="I164" s="6" t="inlineStr">
        <is>
          <t>Total</t>
        </is>
      </c>
      <c r="J164" s="6" t="inlineStr">
        <is>
          <t>F</t>
        </is>
      </c>
      <c r="K164" s="6" t="inlineStr">
        <is>
          <t>M</t>
        </is>
      </c>
      <c r="L164" s="6" t="n"/>
      <c r="M164" s="6" t="n"/>
    </row>
    <row r="165">
      <c r="A165" s="7" t="n">
        <v>1</v>
      </c>
      <c r="B165" s="8">
        <f>B5</f>
        <v/>
      </c>
      <c r="C165" s="8">
        <f>C5</f>
        <v/>
      </c>
      <c r="D165" s="14" t="n"/>
      <c r="E165" s="14" t="n"/>
      <c r="F165" s="8">
        <f>D165+E165</f>
        <v/>
      </c>
      <c r="G165" s="14" t="n"/>
      <c r="H165" s="14" t="n"/>
      <c r="I165" s="8">
        <f>G165+H165</f>
        <v/>
      </c>
      <c r="J165" s="8">
        <f>D165+G165</f>
        <v/>
      </c>
      <c r="K165" s="8">
        <f>E165+H165</f>
        <v/>
      </c>
      <c r="L165" s="8">
        <f>J165+K165</f>
        <v/>
      </c>
      <c r="M165" s="9">
        <f>IF(C165=0,0,L165/C165*100)</f>
        <v/>
      </c>
    </row>
    <row r="166">
      <c r="A166" s="7" t="n">
        <v>2</v>
      </c>
      <c r="B166" s="8">
        <f>B6</f>
        <v/>
      </c>
      <c r="C166" s="8">
        <f>C6</f>
        <v/>
      </c>
      <c r="D166" s="14" t="n"/>
      <c r="E166" s="14" t="n"/>
      <c r="F166" s="8">
        <f>D166+E166</f>
        <v/>
      </c>
      <c r="G166" s="14" t="n"/>
      <c r="H166" s="14" t="n"/>
      <c r="I166" s="8">
        <f>G166+H166</f>
        <v/>
      </c>
      <c r="J166" s="8">
        <f>D166+G166</f>
        <v/>
      </c>
      <c r="K166" s="8">
        <f>E166+H166</f>
        <v/>
      </c>
      <c r="L166" s="8">
        <f>J166+K166</f>
        <v/>
      </c>
      <c r="M166" s="9">
        <f>IF(C166=0,0,L166/C166*100)</f>
        <v/>
      </c>
    </row>
    <row r="167">
      <c r="A167" s="7" t="n">
        <v>3</v>
      </c>
      <c r="B167" s="8">
        <f>B7</f>
        <v/>
      </c>
      <c r="C167" s="8">
        <f>C7</f>
        <v/>
      </c>
      <c r="D167" s="14" t="n"/>
      <c r="E167" s="14" t="n"/>
      <c r="F167" s="8">
        <f>D167+E167</f>
        <v/>
      </c>
      <c r="G167" s="14" t="n"/>
      <c r="H167" s="14" t="n"/>
      <c r="I167" s="8">
        <f>G167+H167</f>
        <v/>
      </c>
      <c r="J167" s="8">
        <f>D167+G167</f>
        <v/>
      </c>
      <c r="K167" s="8">
        <f>E167+H167</f>
        <v/>
      </c>
      <c r="L167" s="8">
        <f>J167+K167</f>
        <v/>
      </c>
      <c r="M167" s="9">
        <f>IF(C167=0,0,L167/C167*100)</f>
        <v/>
      </c>
    </row>
    <row r="168">
      <c r="A168" s="7" t="n">
        <v>4</v>
      </c>
      <c r="B168" s="8">
        <f>B8</f>
        <v/>
      </c>
      <c r="C168" s="8">
        <f>C8</f>
        <v/>
      </c>
      <c r="D168" s="14" t="n"/>
      <c r="E168" s="14" t="n"/>
      <c r="F168" s="8">
        <f>D168+E168</f>
        <v/>
      </c>
      <c r="G168" s="14" t="n"/>
      <c r="H168" s="14" t="n"/>
      <c r="I168" s="8">
        <f>G168+H168</f>
        <v/>
      </c>
      <c r="J168" s="8">
        <f>D168+G168</f>
        <v/>
      </c>
      <c r="K168" s="8">
        <f>E168+H168</f>
        <v/>
      </c>
      <c r="L168" s="8">
        <f>J168+K168</f>
        <v/>
      </c>
      <c r="M168" s="9">
        <f>IF(C168=0,0,L168/C168*100)</f>
        <v/>
      </c>
    </row>
    <row r="169">
      <c r="A169" s="7" t="n">
        <v>5</v>
      </c>
      <c r="B169" s="8">
        <f>B9</f>
        <v/>
      </c>
      <c r="C169" s="8">
        <f>C9</f>
        <v/>
      </c>
      <c r="D169" s="14" t="n"/>
      <c r="E169" s="14" t="n"/>
      <c r="F169" s="8">
        <f>D169+E169</f>
        <v/>
      </c>
      <c r="G169" s="14" t="n"/>
      <c r="H169" s="14" t="n"/>
      <c r="I169" s="8">
        <f>G169+H169</f>
        <v/>
      </c>
      <c r="J169" s="8">
        <f>D169+G169</f>
        <v/>
      </c>
      <c r="K169" s="8">
        <f>E169+H169</f>
        <v/>
      </c>
      <c r="L169" s="8">
        <f>J169+K169</f>
        <v/>
      </c>
      <c r="M169" s="9">
        <f>IF(C169=0,0,L169/C169*100)</f>
        <v/>
      </c>
    </row>
    <row r="170">
      <c r="A170" s="7" t="n">
        <v>6</v>
      </c>
      <c r="B170" s="8">
        <f>B10</f>
        <v/>
      </c>
      <c r="C170" s="8">
        <f>C10</f>
        <v/>
      </c>
      <c r="D170" s="14" t="n"/>
      <c r="E170" s="14" t="n"/>
      <c r="F170" s="8">
        <f>D170+E170</f>
        <v/>
      </c>
      <c r="G170" s="14" t="n"/>
      <c r="H170" s="14" t="n"/>
      <c r="I170" s="8">
        <f>G170+H170</f>
        <v/>
      </c>
      <c r="J170" s="8">
        <f>D170+G170</f>
        <v/>
      </c>
      <c r="K170" s="8">
        <f>E170+H170</f>
        <v/>
      </c>
      <c r="L170" s="8">
        <f>J170+K170</f>
        <v/>
      </c>
      <c r="M170" s="9">
        <f>IF(C170=0,0,L170/C170*100)</f>
        <v/>
      </c>
    </row>
    <row r="171">
      <c r="A171" s="7" t="n">
        <v>7</v>
      </c>
      <c r="B171" s="8">
        <f>B11</f>
        <v/>
      </c>
      <c r="C171" s="8">
        <f>C11</f>
        <v/>
      </c>
      <c r="D171" s="14" t="n"/>
      <c r="E171" s="14" t="n"/>
      <c r="F171" s="8">
        <f>D171+E171</f>
        <v/>
      </c>
      <c r="G171" s="14" t="n"/>
      <c r="H171" s="14" t="n"/>
      <c r="I171" s="8">
        <f>G171+H171</f>
        <v/>
      </c>
      <c r="J171" s="8">
        <f>D171+G171</f>
        <v/>
      </c>
      <c r="K171" s="8">
        <f>E171+H171</f>
        <v/>
      </c>
      <c r="L171" s="8">
        <f>J171+K171</f>
        <v/>
      </c>
      <c r="M171" s="9">
        <f>IF(C171=0,0,L171/C171*100)</f>
        <v/>
      </c>
    </row>
    <row r="172">
      <c r="A172" s="7" t="n">
        <v>8</v>
      </c>
      <c r="B172" s="8">
        <f>B12</f>
        <v/>
      </c>
      <c r="C172" s="8">
        <f>C12</f>
        <v/>
      </c>
      <c r="D172" s="14" t="n"/>
      <c r="E172" s="14" t="n"/>
      <c r="F172" s="8">
        <f>D172+E172</f>
        <v/>
      </c>
      <c r="G172" s="14" t="n"/>
      <c r="H172" s="14" t="n"/>
      <c r="I172" s="8">
        <f>G172+H172</f>
        <v/>
      </c>
      <c r="J172" s="8">
        <f>D172+G172</f>
        <v/>
      </c>
      <c r="K172" s="8">
        <f>E172+H172</f>
        <v/>
      </c>
      <c r="L172" s="8">
        <f>J172+K172</f>
        <v/>
      </c>
      <c r="M172" s="9">
        <f>IF(C172=0,0,L172/C172*100)</f>
        <v/>
      </c>
    </row>
    <row r="173">
      <c r="A173" s="7" t="n">
        <v>9</v>
      </c>
      <c r="B173" s="8">
        <f>B13</f>
        <v/>
      </c>
      <c r="C173" s="8">
        <f>C13</f>
        <v/>
      </c>
      <c r="D173" s="14" t="n"/>
      <c r="E173" s="14" t="n"/>
      <c r="F173" s="8">
        <f>D173+E173</f>
        <v/>
      </c>
      <c r="G173" s="14" t="n"/>
      <c r="H173" s="14" t="n"/>
      <c r="I173" s="8">
        <f>G173+H173</f>
        <v/>
      </c>
      <c r="J173" s="8">
        <f>D173+G173</f>
        <v/>
      </c>
      <c r="K173" s="8">
        <f>E173+H173</f>
        <v/>
      </c>
      <c r="L173" s="8">
        <f>J173+K173</f>
        <v/>
      </c>
      <c r="M173" s="9">
        <f>IF(C173=0,0,L173/C173*100)</f>
        <v/>
      </c>
    </row>
    <row r="174">
      <c r="A174" s="7" t="n">
        <v>10</v>
      </c>
      <c r="B174" s="8">
        <f>B14</f>
        <v/>
      </c>
      <c r="C174" s="8">
        <f>C14</f>
        <v/>
      </c>
      <c r="D174" s="14" t="n"/>
      <c r="E174" s="14" t="n"/>
      <c r="F174" s="8">
        <f>D174+E174</f>
        <v/>
      </c>
      <c r="G174" s="14" t="n"/>
      <c r="H174" s="14" t="n"/>
      <c r="I174" s="8">
        <f>G174+H174</f>
        <v/>
      </c>
      <c r="J174" s="8">
        <f>D174+G174</f>
        <v/>
      </c>
      <c r="K174" s="8">
        <f>E174+H174</f>
        <v/>
      </c>
      <c r="L174" s="8">
        <f>J174+K174</f>
        <v/>
      </c>
      <c r="M174" s="9">
        <f>IF(C174=0,0,L174/C174*100)</f>
        <v/>
      </c>
    </row>
    <row r="175">
      <c r="A175" s="10" t="inlineStr">
        <is>
          <t>Total</t>
        </is>
      </c>
      <c r="B175" s="11">
        <f>SUM(B165:B174)</f>
        <v/>
      </c>
      <c r="C175" s="11">
        <f>SUM(C165:C174)</f>
        <v/>
      </c>
      <c r="D175" s="11">
        <f>SUM(D165:D174)</f>
        <v/>
      </c>
      <c r="E175" s="11">
        <f>SUM(E165:E174)</f>
        <v/>
      </c>
      <c r="F175" s="11">
        <f>D175+E175</f>
        <v/>
      </c>
      <c r="G175" s="11">
        <f>SUM(G165:G174)</f>
        <v/>
      </c>
      <c r="H175" s="11">
        <f>SUM(H165:H174)</f>
        <v/>
      </c>
      <c r="I175" s="11">
        <f>G175+H175</f>
        <v/>
      </c>
      <c r="J175" s="11">
        <f>D175+G175</f>
        <v/>
      </c>
      <c r="K175" s="11">
        <f>E175+H175</f>
        <v/>
      </c>
      <c r="L175" s="11">
        <f>J175+K175</f>
        <v/>
      </c>
      <c r="M175" s="12">
        <f>IF(C175=0,0,L175/C175*100)</f>
        <v/>
      </c>
    </row>
    <row r="177">
      <c r="A177" s="13" t="inlineStr">
        <is>
          <t>Day 11 - 2026-10-15 (Thu 29 Aswin 2083)</t>
        </is>
      </c>
    </row>
    <row r="178">
      <c r="A178" s="6" t="inlineStr">
        <is>
          <t>Ward no.</t>
        </is>
      </c>
      <c r="B178" s="6" t="inlineStr">
        <is>
          <t>Total population</t>
        </is>
      </c>
      <c r="C178" s="6" t="inlineStr">
        <is>
          <t>JE target population</t>
        </is>
      </c>
      <c r="D178" s="6" t="inlineStr">
        <is>
          <t>Vaccinated</t>
        </is>
      </c>
      <c r="E178" s="6" t="n"/>
      <c r="F178" s="6" t="n"/>
      <c r="G178" s="6" t="n"/>
      <c r="H178" s="6" t="n"/>
      <c r="I178" s="6" t="n"/>
      <c r="J178" s="6" t="n"/>
      <c r="K178" s="6" t="n"/>
      <c r="L178" s="6" t="n"/>
      <c r="M178" s="6" t="inlineStr">
        <is>
          <t>Progress %</t>
        </is>
      </c>
    </row>
    <row r="179">
      <c r="A179" s="6" t="n"/>
      <c r="B179" s="6" t="n"/>
      <c r="C179" s="6" t="n"/>
      <c r="D179" s="6" t="inlineStr">
        <is>
          <t>Age 30-60 yrs</t>
        </is>
      </c>
      <c r="E179" s="6" t="n"/>
      <c r="F179" s="6" t="n"/>
      <c r="G179" s="6" t="inlineStr">
        <is>
          <t>Age 60 above</t>
        </is>
      </c>
      <c r="H179" s="6" t="n"/>
      <c r="I179" s="6" t="n"/>
      <c r="J179" s="6" t="inlineStr">
        <is>
          <t>Total</t>
        </is>
      </c>
      <c r="K179" s="6" t="n"/>
      <c r="L179" s="6" t="inlineStr">
        <is>
          <t>Grand Total</t>
        </is>
      </c>
      <c r="M179" s="6" t="n"/>
    </row>
    <row r="180">
      <c r="A180" s="6" t="n"/>
      <c r="B180" s="6" t="n"/>
      <c r="C180" s="6" t="n"/>
      <c r="D180" s="6" t="inlineStr">
        <is>
          <t>F</t>
        </is>
      </c>
      <c r="E180" s="6" t="inlineStr">
        <is>
          <t>M</t>
        </is>
      </c>
      <c r="F180" s="6" t="inlineStr">
        <is>
          <t>Total</t>
        </is>
      </c>
      <c r="G180" s="6" t="inlineStr">
        <is>
          <t>F</t>
        </is>
      </c>
      <c r="H180" s="6" t="inlineStr">
        <is>
          <t>M</t>
        </is>
      </c>
      <c r="I180" s="6" t="inlineStr">
        <is>
          <t>Total</t>
        </is>
      </c>
      <c r="J180" s="6" t="inlineStr">
        <is>
          <t>F</t>
        </is>
      </c>
      <c r="K180" s="6" t="inlineStr">
        <is>
          <t>M</t>
        </is>
      </c>
      <c r="L180" s="6" t="n"/>
      <c r="M180" s="6" t="n"/>
    </row>
    <row r="181">
      <c r="A181" s="7" t="n">
        <v>1</v>
      </c>
      <c r="B181" s="8">
        <f>B5</f>
        <v/>
      </c>
      <c r="C181" s="8">
        <f>C5</f>
        <v/>
      </c>
      <c r="D181" s="14" t="n"/>
      <c r="E181" s="14" t="n"/>
      <c r="F181" s="8">
        <f>D181+E181</f>
        <v/>
      </c>
      <c r="G181" s="14" t="n"/>
      <c r="H181" s="14" t="n"/>
      <c r="I181" s="8">
        <f>G181+H181</f>
        <v/>
      </c>
      <c r="J181" s="8">
        <f>D181+G181</f>
        <v/>
      </c>
      <c r="K181" s="8">
        <f>E181+H181</f>
        <v/>
      </c>
      <c r="L181" s="8">
        <f>J181+K181</f>
        <v/>
      </c>
      <c r="M181" s="9">
        <f>IF(C181=0,0,L181/C181*100)</f>
        <v/>
      </c>
    </row>
    <row r="182">
      <c r="A182" s="7" t="n">
        <v>2</v>
      </c>
      <c r="B182" s="8">
        <f>B6</f>
        <v/>
      </c>
      <c r="C182" s="8">
        <f>C6</f>
        <v/>
      </c>
      <c r="D182" s="14" t="n"/>
      <c r="E182" s="14" t="n"/>
      <c r="F182" s="8">
        <f>D182+E182</f>
        <v/>
      </c>
      <c r="G182" s="14" t="n"/>
      <c r="H182" s="14" t="n"/>
      <c r="I182" s="8">
        <f>G182+H182</f>
        <v/>
      </c>
      <c r="J182" s="8">
        <f>D182+G182</f>
        <v/>
      </c>
      <c r="K182" s="8">
        <f>E182+H182</f>
        <v/>
      </c>
      <c r="L182" s="8">
        <f>J182+K182</f>
        <v/>
      </c>
      <c r="M182" s="9">
        <f>IF(C182=0,0,L182/C182*100)</f>
        <v/>
      </c>
    </row>
    <row r="183">
      <c r="A183" s="7" t="n">
        <v>3</v>
      </c>
      <c r="B183" s="8">
        <f>B7</f>
        <v/>
      </c>
      <c r="C183" s="8">
        <f>C7</f>
        <v/>
      </c>
      <c r="D183" s="14" t="n"/>
      <c r="E183" s="14" t="n"/>
      <c r="F183" s="8">
        <f>D183+E183</f>
        <v/>
      </c>
      <c r="G183" s="14" t="n"/>
      <c r="H183" s="14" t="n"/>
      <c r="I183" s="8">
        <f>G183+H183</f>
        <v/>
      </c>
      <c r="J183" s="8">
        <f>D183+G183</f>
        <v/>
      </c>
      <c r="K183" s="8">
        <f>E183+H183</f>
        <v/>
      </c>
      <c r="L183" s="8">
        <f>J183+K183</f>
        <v/>
      </c>
      <c r="M183" s="9">
        <f>IF(C183=0,0,L183/C183*100)</f>
        <v/>
      </c>
    </row>
    <row r="184">
      <c r="A184" s="7" t="n">
        <v>4</v>
      </c>
      <c r="B184" s="8">
        <f>B8</f>
        <v/>
      </c>
      <c r="C184" s="8">
        <f>C8</f>
        <v/>
      </c>
      <c r="D184" s="14" t="n"/>
      <c r="E184" s="14" t="n"/>
      <c r="F184" s="8">
        <f>D184+E184</f>
        <v/>
      </c>
      <c r="G184" s="14" t="n"/>
      <c r="H184" s="14" t="n"/>
      <c r="I184" s="8">
        <f>G184+H184</f>
        <v/>
      </c>
      <c r="J184" s="8">
        <f>D184+G184</f>
        <v/>
      </c>
      <c r="K184" s="8">
        <f>E184+H184</f>
        <v/>
      </c>
      <c r="L184" s="8">
        <f>J184+K184</f>
        <v/>
      </c>
      <c r="M184" s="9">
        <f>IF(C184=0,0,L184/C184*100)</f>
        <v/>
      </c>
    </row>
    <row r="185">
      <c r="A185" s="7" t="n">
        <v>5</v>
      </c>
      <c r="B185" s="8">
        <f>B9</f>
        <v/>
      </c>
      <c r="C185" s="8">
        <f>C9</f>
        <v/>
      </c>
      <c r="D185" s="14" t="n"/>
      <c r="E185" s="14" t="n"/>
      <c r="F185" s="8">
        <f>D185+E185</f>
        <v/>
      </c>
      <c r="G185" s="14" t="n"/>
      <c r="H185" s="14" t="n"/>
      <c r="I185" s="8">
        <f>G185+H185</f>
        <v/>
      </c>
      <c r="J185" s="8">
        <f>D185+G185</f>
        <v/>
      </c>
      <c r="K185" s="8">
        <f>E185+H185</f>
        <v/>
      </c>
      <c r="L185" s="8">
        <f>J185+K185</f>
        <v/>
      </c>
      <c r="M185" s="9">
        <f>IF(C185=0,0,L185/C185*100)</f>
        <v/>
      </c>
    </row>
    <row r="186">
      <c r="A186" s="7" t="n">
        <v>6</v>
      </c>
      <c r="B186" s="8">
        <f>B10</f>
        <v/>
      </c>
      <c r="C186" s="8">
        <f>C10</f>
        <v/>
      </c>
      <c r="D186" s="14" t="n"/>
      <c r="E186" s="14" t="n"/>
      <c r="F186" s="8">
        <f>D186+E186</f>
        <v/>
      </c>
      <c r="G186" s="14" t="n"/>
      <c r="H186" s="14" t="n"/>
      <c r="I186" s="8">
        <f>G186+H186</f>
        <v/>
      </c>
      <c r="J186" s="8">
        <f>D186+G186</f>
        <v/>
      </c>
      <c r="K186" s="8">
        <f>E186+H186</f>
        <v/>
      </c>
      <c r="L186" s="8">
        <f>J186+K186</f>
        <v/>
      </c>
      <c r="M186" s="9">
        <f>IF(C186=0,0,L186/C186*100)</f>
        <v/>
      </c>
    </row>
    <row r="187">
      <c r="A187" s="7" t="n">
        <v>7</v>
      </c>
      <c r="B187" s="8">
        <f>B11</f>
        <v/>
      </c>
      <c r="C187" s="8">
        <f>C11</f>
        <v/>
      </c>
      <c r="D187" s="14" t="n"/>
      <c r="E187" s="14" t="n"/>
      <c r="F187" s="8">
        <f>D187+E187</f>
        <v/>
      </c>
      <c r="G187" s="14" t="n"/>
      <c r="H187" s="14" t="n"/>
      <c r="I187" s="8">
        <f>G187+H187</f>
        <v/>
      </c>
      <c r="J187" s="8">
        <f>D187+G187</f>
        <v/>
      </c>
      <c r="K187" s="8">
        <f>E187+H187</f>
        <v/>
      </c>
      <c r="L187" s="8">
        <f>J187+K187</f>
        <v/>
      </c>
      <c r="M187" s="9">
        <f>IF(C187=0,0,L187/C187*100)</f>
        <v/>
      </c>
    </row>
    <row r="188">
      <c r="A188" s="7" t="n">
        <v>8</v>
      </c>
      <c r="B188" s="8">
        <f>B12</f>
        <v/>
      </c>
      <c r="C188" s="8">
        <f>C12</f>
        <v/>
      </c>
      <c r="D188" s="14" t="n"/>
      <c r="E188" s="14" t="n"/>
      <c r="F188" s="8">
        <f>D188+E188</f>
        <v/>
      </c>
      <c r="G188" s="14" t="n"/>
      <c r="H188" s="14" t="n"/>
      <c r="I188" s="8">
        <f>G188+H188</f>
        <v/>
      </c>
      <c r="J188" s="8">
        <f>D188+G188</f>
        <v/>
      </c>
      <c r="K188" s="8">
        <f>E188+H188</f>
        <v/>
      </c>
      <c r="L188" s="8">
        <f>J188+K188</f>
        <v/>
      </c>
      <c r="M188" s="9">
        <f>IF(C188=0,0,L188/C188*100)</f>
        <v/>
      </c>
    </row>
    <row r="189">
      <c r="A189" s="7" t="n">
        <v>9</v>
      </c>
      <c r="B189" s="8">
        <f>B13</f>
        <v/>
      </c>
      <c r="C189" s="8">
        <f>C13</f>
        <v/>
      </c>
      <c r="D189" s="14" t="n"/>
      <c r="E189" s="14" t="n"/>
      <c r="F189" s="8">
        <f>D189+E189</f>
        <v/>
      </c>
      <c r="G189" s="14" t="n"/>
      <c r="H189" s="14" t="n"/>
      <c r="I189" s="8">
        <f>G189+H189</f>
        <v/>
      </c>
      <c r="J189" s="8">
        <f>D189+G189</f>
        <v/>
      </c>
      <c r="K189" s="8">
        <f>E189+H189</f>
        <v/>
      </c>
      <c r="L189" s="8">
        <f>J189+K189</f>
        <v/>
      </c>
      <c r="M189" s="9">
        <f>IF(C189=0,0,L189/C189*100)</f>
        <v/>
      </c>
    </row>
    <row r="190">
      <c r="A190" s="7" t="n">
        <v>10</v>
      </c>
      <c r="B190" s="8">
        <f>B14</f>
        <v/>
      </c>
      <c r="C190" s="8">
        <f>C14</f>
        <v/>
      </c>
      <c r="D190" s="14" t="n"/>
      <c r="E190" s="14" t="n"/>
      <c r="F190" s="8">
        <f>D190+E190</f>
        <v/>
      </c>
      <c r="G190" s="14" t="n"/>
      <c r="H190" s="14" t="n"/>
      <c r="I190" s="8">
        <f>G190+H190</f>
        <v/>
      </c>
      <c r="J190" s="8">
        <f>D190+G190</f>
        <v/>
      </c>
      <c r="K190" s="8">
        <f>E190+H190</f>
        <v/>
      </c>
      <c r="L190" s="8">
        <f>J190+K190</f>
        <v/>
      </c>
      <c r="M190" s="9">
        <f>IF(C190=0,0,L190/C190*100)</f>
        <v/>
      </c>
    </row>
    <row r="191">
      <c r="A191" s="10" t="inlineStr">
        <is>
          <t>Total</t>
        </is>
      </c>
      <c r="B191" s="11">
        <f>SUM(B181:B190)</f>
        <v/>
      </c>
      <c r="C191" s="11">
        <f>SUM(C181:C190)</f>
        <v/>
      </c>
      <c r="D191" s="11">
        <f>SUM(D181:D190)</f>
        <v/>
      </c>
      <c r="E191" s="11">
        <f>SUM(E181:E190)</f>
        <v/>
      </c>
      <c r="F191" s="11">
        <f>D191+E191</f>
        <v/>
      </c>
      <c r="G191" s="11">
        <f>SUM(G181:G190)</f>
        <v/>
      </c>
      <c r="H191" s="11">
        <f>SUM(H181:H190)</f>
        <v/>
      </c>
      <c r="I191" s="11">
        <f>G191+H191</f>
        <v/>
      </c>
      <c r="J191" s="11">
        <f>D191+G191</f>
        <v/>
      </c>
      <c r="K191" s="11">
        <f>E191+H191</f>
        <v/>
      </c>
      <c r="L191" s="11">
        <f>J191+K191</f>
        <v/>
      </c>
      <c r="M191" s="12">
        <f>IF(C191=0,0,L191/C191*100)</f>
        <v/>
      </c>
    </row>
    <row r="193">
      <c r="A193" s="13" t="inlineStr">
        <is>
          <t>Day 12 - 2026-10-16 (Fri 30 Aswin 2083)</t>
        </is>
      </c>
    </row>
    <row r="194">
      <c r="A194" s="6" t="inlineStr">
        <is>
          <t>Ward no.</t>
        </is>
      </c>
      <c r="B194" s="6" t="inlineStr">
        <is>
          <t>Total population</t>
        </is>
      </c>
      <c r="C194" s="6" t="inlineStr">
        <is>
          <t>JE target population</t>
        </is>
      </c>
      <c r="D194" s="6" t="inlineStr">
        <is>
          <t>Vaccinated</t>
        </is>
      </c>
      <c r="E194" s="6" t="n"/>
      <c r="F194" s="6" t="n"/>
      <c r="G194" s="6" t="n"/>
      <c r="H194" s="6" t="n"/>
      <c r="I194" s="6" t="n"/>
      <c r="J194" s="6" t="n"/>
      <c r="K194" s="6" t="n"/>
      <c r="L194" s="6" t="n"/>
      <c r="M194" s="6" t="inlineStr">
        <is>
          <t>Progress %</t>
        </is>
      </c>
    </row>
    <row r="195">
      <c r="A195" s="6" t="n"/>
      <c r="B195" s="6" t="n"/>
      <c r="C195" s="6" t="n"/>
      <c r="D195" s="6" t="inlineStr">
        <is>
          <t>Age 30-60 yrs</t>
        </is>
      </c>
      <c r="E195" s="6" t="n"/>
      <c r="F195" s="6" t="n"/>
      <c r="G195" s="6" t="inlineStr">
        <is>
          <t>Age 60 above</t>
        </is>
      </c>
      <c r="H195" s="6" t="n"/>
      <c r="I195" s="6" t="n"/>
      <c r="J195" s="6" t="inlineStr">
        <is>
          <t>Total</t>
        </is>
      </c>
      <c r="K195" s="6" t="n"/>
      <c r="L195" s="6" t="inlineStr">
        <is>
          <t>Grand Total</t>
        </is>
      </c>
      <c r="M195" s="6" t="n"/>
    </row>
    <row r="196">
      <c r="A196" s="6" t="n"/>
      <c r="B196" s="6" t="n"/>
      <c r="C196" s="6" t="n"/>
      <c r="D196" s="6" t="inlineStr">
        <is>
          <t>F</t>
        </is>
      </c>
      <c r="E196" s="6" t="inlineStr">
        <is>
          <t>M</t>
        </is>
      </c>
      <c r="F196" s="6" t="inlineStr">
        <is>
          <t>Total</t>
        </is>
      </c>
      <c r="G196" s="6" t="inlineStr">
        <is>
          <t>F</t>
        </is>
      </c>
      <c r="H196" s="6" t="inlineStr">
        <is>
          <t>M</t>
        </is>
      </c>
      <c r="I196" s="6" t="inlineStr">
        <is>
          <t>Total</t>
        </is>
      </c>
      <c r="J196" s="6" t="inlineStr">
        <is>
          <t>F</t>
        </is>
      </c>
      <c r="K196" s="6" t="inlineStr">
        <is>
          <t>M</t>
        </is>
      </c>
      <c r="L196" s="6" t="n"/>
      <c r="M196" s="6" t="n"/>
    </row>
    <row r="197">
      <c r="A197" s="7" t="n">
        <v>1</v>
      </c>
      <c r="B197" s="8">
        <f>B5</f>
        <v/>
      </c>
      <c r="C197" s="8">
        <f>C5</f>
        <v/>
      </c>
      <c r="D197" s="14" t="n"/>
      <c r="E197" s="14" t="n"/>
      <c r="F197" s="8">
        <f>D197+E197</f>
        <v/>
      </c>
      <c r="G197" s="14" t="n"/>
      <c r="H197" s="14" t="n"/>
      <c r="I197" s="8">
        <f>G197+H197</f>
        <v/>
      </c>
      <c r="J197" s="8">
        <f>D197+G197</f>
        <v/>
      </c>
      <c r="K197" s="8">
        <f>E197+H197</f>
        <v/>
      </c>
      <c r="L197" s="8">
        <f>J197+K197</f>
        <v/>
      </c>
      <c r="M197" s="9">
        <f>IF(C197=0,0,L197/C197*100)</f>
        <v/>
      </c>
    </row>
    <row r="198">
      <c r="A198" s="7" t="n">
        <v>2</v>
      </c>
      <c r="B198" s="8">
        <f>B6</f>
        <v/>
      </c>
      <c r="C198" s="8">
        <f>C6</f>
        <v/>
      </c>
      <c r="D198" s="14" t="n"/>
      <c r="E198" s="14" t="n"/>
      <c r="F198" s="8">
        <f>D198+E198</f>
        <v/>
      </c>
      <c r="G198" s="14" t="n"/>
      <c r="H198" s="14" t="n"/>
      <c r="I198" s="8">
        <f>G198+H198</f>
        <v/>
      </c>
      <c r="J198" s="8">
        <f>D198+G198</f>
        <v/>
      </c>
      <c r="K198" s="8">
        <f>E198+H198</f>
        <v/>
      </c>
      <c r="L198" s="8">
        <f>J198+K198</f>
        <v/>
      </c>
      <c r="M198" s="9">
        <f>IF(C198=0,0,L198/C198*100)</f>
        <v/>
      </c>
    </row>
    <row r="199">
      <c r="A199" s="7" t="n">
        <v>3</v>
      </c>
      <c r="B199" s="8">
        <f>B7</f>
        <v/>
      </c>
      <c r="C199" s="8">
        <f>C7</f>
        <v/>
      </c>
      <c r="D199" s="14" t="n"/>
      <c r="E199" s="14" t="n"/>
      <c r="F199" s="8">
        <f>D199+E199</f>
        <v/>
      </c>
      <c r="G199" s="14" t="n"/>
      <c r="H199" s="14" t="n"/>
      <c r="I199" s="8">
        <f>G199+H199</f>
        <v/>
      </c>
      <c r="J199" s="8">
        <f>D199+G199</f>
        <v/>
      </c>
      <c r="K199" s="8">
        <f>E199+H199</f>
        <v/>
      </c>
      <c r="L199" s="8">
        <f>J199+K199</f>
        <v/>
      </c>
      <c r="M199" s="9">
        <f>IF(C199=0,0,L199/C199*100)</f>
        <v/>
      </c>
    </row>
    <row r="200">
      <c r="A200" s="7" t="n">
        <v>4</v>
      </c>
      <c r="B200" s="8">
        <f>B8</f>
        <v/>
      </c>
      <c r="C200" s="8">
        <f>C8</f>
        <v/>
      </c>
      <c r="D200" s="14" t="n"/>
      <c r="E200" s="14" t="n"/>
      <c r="F200" s="8">
        <f>D200+E200</f>
        <v/>
      </c>
      <c r="G200" s="14" t="n"/>
      <c r="H200" s="14" t="n"/>
      <c r="I200" s="8">
        <f>G200+H200</f>
        <v/>
      </c>
      <c r="J200" s="8">
        <f>D200+G200</f>
        <v/>
      </c>
      <c r="K200" s="8">
        <f>E200+H200</f>
        <v/>
      </c>
      <c r="L200" s="8">
        <f>J200+K200</f>
        <v/>
      </c>
      <c r="M200" s="9">
        <f>IF(C200=0,0,L200/C200*100)</f>
        <v/>
      </c>
    </row>
    <row r="201">
      <c r="A201" s="7" t="n">
        <v>5</v>
      </c>
      <c r="B201" s="8">
        <f>B9</f>
        <v/>
      </c>
      <c r="C201" s="8">
        <f>C9</f>
        <v/>
      </c>
      <c r="D201" s="14" t="n"/>
      <c r="E201" s="14" t="n"/>
      <c r="F201" s="8">
        <f>D201+E201</f>
        <v/>
      </c>
      <c r="G201" s="14" t="n"/>
      <c r="H201" s="14" t="n"/>
      <c r="I201" s="8">
        <f>G201+H201</f>
        <v/>
      </c>
      <c r="J201" s="8">
        <f>D201+G201</f>
        <v/>
      </c>
      <c r="K201" s="8">
        <f>E201+H201</f>
        <v/>
      </c>
      <c r="L201" s="8">
        <f>J201+K201</f>
        <v/>
      </c>
      <c r="M201" s="9">
        <f>IF(C201=0,0,L201/C201*100)</f>
        <v/>
      </c>
    </row>
    <row r="202">
      <c r="A202" s="7" t="n">
        <v>6</v>
      </c>
      <c r="B202" s="8">
        <f>B10</f>
        <v/>
      </c>
      <c r="C202" s="8">
        <f>C10</f>
        <v/>
      </c>
      <c r="D202" s="14" t="n"/>
      <c r="E202" s="14" t="n"/>
      <c r="F202" s="8">
        <f>D202+E202</f>
        <v/>
      </c>
      <c r="G202" s="14" t="n"/>
      <c r="H202" s="14" t="n"/>
      <c r="I202" s="8">
        <f>G202+H202</f>
        <v/>
      </c>
      <c r="J202" s="8">
        <f>D202+G202</f>
        <v/>
      </c>
      <c r="K202" s="8">
        <f>E202+H202</f>
        <v/>
      </c>
      <c r="L202" s="8">
        <f>J202+K202</f>
        <v/>
      </c>
      <c r="M202" s="9">
        <f>IF(C202=0,0,L202/C202*100)</f>
        <v/>
      </c>
    </row>
    <row r="203">
      <c r="A203" s="7" t="n">
        <v>7</v>
      </c>
      <c r="B203" s="8">
        <f>B11</f>
        <v/>
      </c>
      <c r="C203" s="8">
        <f>C11</f>
        <v/>
      </c>
      <c r="D203" s="14" t="n"/>
      <c r="E203" s="14" t="n"/>
      <c r="F203" s="8">
        <f>D203+E203</f>
        <v/>
      </c>
      <c r="G203" s="14" t="n"/>
      <c r="H203" s="14" t="n"/>
      <c r="I203" s="8">
        <f>G203+H203</f>
        <v/>
      </c>
      <c r="J203" s="8">
        <f>D203+G203</f>
        <v/>
      </c>
      <c r="K203" s="8">
        <f>E203+H203</f>
        <v/>
      </c>
      <c r="L203" s="8">
        <f>J203+K203</f>
        <v/>
      </c>
      <c r="M203" s="9">
        <f>IF(C203=0,0,L203/C203*100)</f>
        <v/>
      </c>
    </row>
    <row r="204">
      <c r="A204" s="7" t="n">
        <v>8</v>
      </c>
      <c r="B204" s="8">
        <f>B12</f>
        <v/>
      </c>
      <c r="C204" s="8">
        <f>C12</f>
        <v/>
      </c>
      <c r="D204" s="14" t="n"/>
      <c r="E204" s="14" t="n"/>
      <c r="F204" s="8">
        <f>D204+E204</f>
        <v/>
      </c>
      <c r="G204" s="14" t="n"/>
      <c r="H204" s="14" t="n"/>
      <c r="I204" s="8">
        <f>G204+H204</f>
        <v/>
      </c>
      <c r="J204" s="8">
        <f>D204+G204</f>
        <v/>
      </c>
      <c r="K204" s="8">
        <f>E204+H204</f>
        <v/>
      </c>
      <c r="L204" s="8">
        <f>J204+K204</f>
        <v/>
      </c>
      <c r="M204" s="9">
        <f>IF(C204=0,0,L204/C204*100)</f>
        <v/>
      </c>
    </row>
    <row r="205">
      <c r="A205" s="7" t="n">
        <v>9</v>
      </c>
      <c r="B205" s="8">
        <f>B13</f>
        <v/>
      </c>
      <c r="C205" s="8">
        <f>C13</f>
        <v/>
      </c>
      <c r="D205" s="14" t="n"/>
      <c r="E205" s="14" t="n"/>
      <c r="F205" s="8">
        <f>D205+E205</f>
        <v/>
      </c>
      <c r="G205" s="14" t="n"/>
      <c r="H205" s="14" t="n"/>
      <c r="I205" s="8">
        <f>G205+H205</f>
        <v/>
      </c>
      <c r="J205" s="8">
        <f>D205+G205</f>
        <v/>
      </c>
      <c r="K205" s="8">
        <f>E205+H205</f>
        <v/>
      </c>
      <c r="L205" s="8">
        <f>J205+K205</f>
        <v/>
      </c>
      <c r="M205" s="9">
        <f>IF(C205=0,0,L205/C205*100)</f>
        <v/>
      </c>
    </row>
    <row r="206">
      <c r="A206" s="7" t="n">
        <v>10</v>
      </c>
      <c r="B206" s="8">
        <f>B14</f>
        <v/>
      </c>
      <c r="C206" s="8">
        <f>C14</f>
        <v/>
      </c>
      <c r="D206" s="14" t="n"/>
      <c r="E206" s="14" t="n"/>
      <c r="F206" s="8">
        <f>D206+E206</f>
        <v/>
      </c>
      <c r="G206" s="14" t="n"/>
      <c r="H206" s="14" t="n"/>
      <c r="I206" s="8">
        <f>G206+H206</f>
        <v/>
      </c>
      <c r="J206" s="8">
        <f>D206+G206</f>
        <v/>
      </c>
      <c r="K206" s="8">
        <f>E206+H206</f>
        <v/>
      </c>
      <c r="L206" s="8">
        <f>J206+K206</f>
        <v/>
      </c>
      <c r="M206" s="9">
        <f>IF(C206=0,0,L206/C206*100)</f>
        <v/>
      </c>
    </row>
    <row r="207">
      <c r="A207" s="10" t="inlineStr">
        <is>
          <t>Total</t>
        </is>
      </c>
      <c r="B207" s="11">
        <f>SUM(B197:B206)</f>
        <v/>
      </c>
      <c r="C207" s="11">
        <f>SUM(C197:C206)</f>
        <v/>
      </c>
      <c r="D207" s="11">
        <f>SUM(D197:D206)</f>
        <v/>
      </c>
      <c r="E207" s="11">
        <f>SUM(E197:E206)</f>
        <v/>
      </c>
      <c r="F207" s="11">
        <f>D207+E207</f>
        <v/>
      </c>
      <c r="G207" s="11">
        <f>SUM(G197:G206)</f>
        <v/>
      </c>
      <c r="H207" s="11">
        <f>SUM(H197:H206)</f>
        <v/>
      </c>
      <c r="I207" s="11">
        <f>G207+H207</f>
        <v/>
      </c>
      <c r="J207" s="11">
        <f>D207+G207</f>
        <v/>
      </c>
      <c r="K207" s="11">
        <f>E207+H207</f>
        <v/>
      </c>
      <c r="L207" s="11">
        <f>J207+K207</f>
        <v/>
      </c>
      <c r="M207" s="12">
        <f>IF(C207=0,0,L207/C207*100)</f>
        <v/>
      </c>
    </row>
    <row r="209">
      <c r="A209" s="13" t="inlineStr">
        <is>
          <t>Day 13 - 2026-10-17 (Sat 31 Aswin 2083)</t>
        </is>
      </c>
    </row>
    <row r="210">
      <c r="A210" s="6" t="inlineStr">
        <is>
          <t>Ward no.</t>
        </is>
      </c>
      <c r="B210" s="6" t="inlineStr">
        <is>
          <t>Total population</t>
        </is>
      </c>
      <c r="C210" s="6" t="inlineStr">
        <is>
          <t>JE target population</t>
        </is>
      </c>
      <c r="D210" s="6" t="inlineStr">
        <is>
          <t>Vaccinated</t>
        </is>
      </c>
      <c r="E210" s="6" t="n"/>
      <c r="F210" s="6" t="n"/>
      <c r="G210" s="6" t="n"/>
      <c r="H210" s="6" t="n"/>
      <c r="I210" s="6" t="n"/>
      <c r="J210" s="6" t="n"/>
      <c r="K210" s="6" t="n"/>
      <c r="L210" s="6" t="n"/>
      <c r="M210" s="6" t="inlineStr">
        <is>
          <t>Progress %</t>
        </is>
      </c>
    </row>
    <row r="211">
      <c r="A211" s="6" t="n"/>
      <c r="B211" s="6" t="n"/>
      <c r="C211" s="6" t="n"/>
      <c r="D211" s="6" t="inlineStr">
        <is>
          <t>Age 30-60 yrs</t>
        </is>
      </c>
      <c r="E211" s="6" t="n"/>
      <c r="F211" s="6" t="n"/>
      <c r="G211" s="6" t="inlineStr">
        <is>
          <t>Age 60 above</t>
        </is>
      </c>
      <c r="H211" s="6" t="n"/>
      <c r="I211" s="6" t="n"/>
      <c r="J211" s="6" t="inlineStr">
        <is>
          <t>Total</t>
        </is>
      </c>
      <c r="K211" s="6" t="n"/>
      <c r="L211" s="6" t="inlineStr">
        <is>
          <t>Grand Total</t>
        </is>
      </c>
      <c r="M211" s="6" t="n"/>
    </row>
    <row r="212">
      <c r="A212" s="6" t="n"/>
      <c r="B212" s="6" t="n"/>
      <c r="C212" s="6" t="n"/>
      <c r="D212" s="6" t="inlineStr">
        <is>
          <t>F</t>
        </is>
      </c>
      <c r="E212" s="6" t="inlineStr">
        <is>
          <t>M</t>
        </is>
      </c>
      <c r="F212" s="6" t="inlineStr">
        <is>
          <t>Total</t>
        </is>
      </c>
      <c r="G212" s="6" t="inlineStr">
        <is>
          <t>F</t>
        </is>
      </c>
      <c r="H212" s="6" t="inlineStr">
        <is>
          <t>M</t>
        </is>
      </c>
      <c r="I212" s="6" t="inlineStr">
        <is>
          <t>Total</t>
        </is>
      </c>
      <c r="J212" s="6" t="inlineStr">
        <is>
          <t>F</t>
        </is>
      </c>
      <c r="K212" s="6" t="inlineStr">
        <is>
          <t>M</t>
        </is>
      </c>
      <c r="L212" s="6" t="n"/>
      <c r="M212" s="6" t="n"/>
    </row>
    <row r="213">
      <c r="A213" s="7" t="n">
        <v>1</v>
      </c>
      <c r="B213" s="8">
        <f>B5</f>
        <v/>
      </c>
      <c r="C213" s="8">
        <f>C5</f>
        <v/>
      </c>
      <c r="D213" s="14" t="n"/>
      <c r="E213" s="14" t="n"/>
      <c r="F213" s="8">
        <f>D213+E213</f>
        <v/>
      </c>
      <c r="G213" s="14" t="n"/>
      <c r="H213" s="14" t="n"/>
      <c r="I213" s="8">
        <f>G213+H213</f>
        <v/>
      </c>
      <c r="J213" s="8">
        <f>D213+G213</f>
        <v/>
      </c>
      <c r="K213" s="8">
        <f>E213+H213</f>
        <v/>
      </c>
      <c r="L213" s="8">
        <f>J213+K213</f>
        <v/>
      </c>
      <c r="M213" s="9">
        <f>IF(C213=0,0,L213/C213*100)</f>
        <v/>
      </c>
    </row>
    <row r="214">
      <c r="A214" s="7" t="n">
        <v>2</v>
      </c>
      <c r="B214" s="8">
        <f>B6</f>
        <v/>
      </c>
      <c r="C214" s="8">
        <f>C6</f>
        <v/>
      </c>
      <c r="D214" s="14" t="n"/>
      <c r="E214" s="14" t="n"/>
      <c r="F214" s="8">
        <f>D214+E214</f>
        <v/>
      </c>
      <c r="G214" s="14" t="n"/>
      <c r="H214" s="14" t="n"/>
      <c r="I214" s="8">
        <f>G214+H214</f>
        <v/>
      </c>
      <c r="J214" s="8">
        <f>D214+G214</f>
        <v/>
      </c>
      <c r="K214" s="8">
        <f>E214+H214</f>
        <v/>
      </c>
      <c r="L214" s="8">
        <f>J214+K214</f>
        <v/>
      </c>
      <c r="M214" s="9">
        <f>IF(C214=0,0,L214/C214*100)</f>
        <v/>
      </c>
    </row>
    <row r="215">
      <c r="A215" s="7" t="n">
        <v>3</v>
      </c>
      <c r="B215" s="8">
        <f>B7</f>
        <v/>
      </c>
      <c r="C215" s="8">
        <f>C7</f>
        <v/>
      </c>
      <c r="D215" s="14" t="n"/>
      <c r="E215" s="14" t="n"/>
      <c r="F215" s="8">
        <f>D215+E215</f>
        <v/>
      </c>
      <c r="G215" s="14" t="n"/>
      <c r="H215" s="14" t="n"/>
      <c r="I215" s="8">
        <f>G215+H215</f>
        <v/>
      </c>
      <c r="J215" s="8">
        <f>D215+G215</f>
        <v/>
      </c>
      <c r="K215" s="8">
        <f>E215+H215</f>
        <v/>
      </c>
      <c r="L215" s="8">
        <f>J215+K215</f>
        <v/>
      </c>
      <c r="M215" s="9">
        <f>IF(C215=0,0,L215/C215*100)</f>
        <v/>
      </c>
    </row>
    <row r="216">
      <c r="A216" s="7" t="n">
        <v>4</v>
      </c>
      <c r="B216" s="8">
        <f>B8</f>
        <v/>
      </c>
      <c r="C216" s="8">
        <f>C8</f>
        <v/>
      </c>
      <c r="D216" s="14" t="n"/>
      <c r="E216" s="14" t="n"/>
      <c r="F216" s="8">
        <f>D216+E216</f>
        <v/>
      </c>
      <c r="G216" s="14" t="n"/>
      <c r="H216" s="14" t="n"/>
      <c r="I216" s="8">
        <f>G216+H216</f>
        <v/>
      </c>
      <c r="J216" s="8">
        <f>D216+G216</f>
        <v/>
      </c>
      <c r="K216" s="8">
        <f>E216+H216</f>
        <v/>
      </c>
      <c r="L216" s="8">
        <f>J216+K216</f>
        <v/>
      </c>
      <c r="M216" s="9">
        <f>IF(C216=0,0,L216/C216*100)</f>
        <v/>
      </c>
    </row>
    <row r="217">
      <c r="A217" s="7" t="n">
        <v>5</v>
      </c>
      <c r="B217" s="8">
        <f>B9</f>
        <v/>
      </c>
      <c r="C217" s="8">
        <f>C9</f>
        <v/>
      </c>
      <c r="D217" s="14" t="n"/>
      <c r="E217" s="14" t="n"/>
      <c r="F217" s="8">
        <f>D217+E217</f>
        <v/>
      </c>
      <c r="G217" s="14" t="n"/>
      <c r="H217" s="14" t="n"/>
      <c r="I217" s="8">
        <f>G217+H217</f>
        <v/>
      </c>
      <c r="J217" s="8">
        <f>D217+G217</f>
        <v/>
      </c>
      <c r="K217" s="8">
        <f>E217+H217</f>
        <v/>
      </c>
      <c r="L217" s="8">
        <f>J217+K217</f>
        <v/>
      </c>
      <c r="M217" s="9">
        <f>IF(C217=0,0,L217/C217*100)</f>
        <v/>
      </c>
    </row>
    <row r="218">
      <c r="A218" s="7" t="n">
        <v>6</v>
      </c>
      <c r="B218" s="8">
        <f>B10</f>
        <v/>
      </c>
      <c r="C218" s="8">
        <f>C10</f>
        <v/>
      </c>
      <c r="D218" s="14" t="n"/>
      <c r="E218" s="14" t="n"/>
      <c r="F218" s="8">
        <f>D218+E218</f>
        <v/>
      </c>
      <c r="G218" s="14" t="n"/>
      <c r="H218" s="14" t="n"/>
      <c r="I218" s="8">
        <f>G218+H218</f>
        <v/>
      </c>
      <c r="J218" s="8">
        <f>D218+G218</f>
        <v/>
      </c>
      <c r="K218" s="8">
        <f>E218+H218</f>
        <v/>
      </c>
      <c r="L218" s="8">
        <f>J218+K218</f>
        <v/>
      </c>
      <c r="M218" s="9">
        <f>IF(C218=0,0,L218/C218*100)</f>
        <v/>
      </c>
    </row>
    <row r="219">
      <c r="A219" s="7" t="n">
        <v>7</v>
      </c>
      <c r="B219" s="8">
        <f>B11</f>
        <v/>
      </c>
      <c r="C219" s="8">
        <f>C11</f>
        <v/>
      </c>
      <c r="D219" s="14" t="n"/>
      <c r="E219" s="14" t="n"/>
      <c r="F219" s="8">
        <f>D219+E219</f>
        <v/>
      </c>
      <c r="G219" s="14" t="n"/>
      <c r="H219" s="14" t="n"/>
      <c r="I219" s="8">
        <f>G219+H219</f>
        <v/>
      </c>
      <c r="J219" s="8">
        <f>D219+G219</f>
        <v/>
      </c>
      <c r="K219" s="8">
        <f>E219+H219</f>
        <v/>
      </c>
      <c r="L219" s="8">
        <f>J219+K219</f>
        <v/>
      </c>
      <c r="M219" s="9">
        <f>IF(C219=0,0,L219/C219*100)</f>
        <v/>
      </c>
    </row>
    <row r="220">
      <c r="A220" s="7" t="n">
        <v>8</v>
      </c>
      <c r="B220" s="8">
        <f>B12</f>
        <v/>
      </c>
      <c r="C220" s="8">
        <f>C12</f>
        <v/>
      </c>
      <c r="D220" s="14" t="n"/>
      <c r="E220" s="14" t="n"/>
      <c r="F220" s="8">
        <f>D220+E220</f>
        <v/>
      </c>
      <c r="G220" s="14" t="n"/>
      <c r="H220" s="14" t="n"/>
      <c r="I220" s="8">
        <f>G220+H220</f>
        <v/>
      </c>
      <c r="J220" s="8">
        <f>D220+G220</f>
        <v/>
      </c>
      <c r="K220" s="8">
        <f>E220+H220</f>
        <v/>
      </c>
      <c r="L220" s="8">
        <f>J220+K220</f>
        <v/>
      </c>
      <c r="M220" s="9">
        <f>IF(C220=0,0,L220/C220*100)</f>
        <v/>
      </c>
    </row>
    <row r="221">
      <c r="A221" s="7" t="n">
        <v>9</v>
      </c>
      <c r="B221" s="8">
        <f>B13</f>
        <v/>
      </c>
      <c r="C221" s="8">
        <f>C13</f>
        <v/>
      </c>
      <c r="D221" s="14" t="n"/>
      <c r="E221" s="14" t="n"/>
      <c r="F221" s="8">
        <f>D221+E221</f>
        <v/>
      </c>
      <c r="G221" s="14" t="n"/>
      <c r="H221" s="14" t="n"/>
      <c r="I221" s="8">
        <f>G221+H221</f>
        <v/>
      </c>
      <c r="J221" s="8">
        <f>D221+G221</f>
        <v/>
      </c>
      <c r="K221" s="8">
        <f>E221+H221</f>
        <v/>
      </c>
      <c r="L221" s="8">
        <f>J221+K221</f>
        <v/>
      </c>
      <c r="M221" s="9">
        <f>IF(C221=0,0,L221/C221*100)</f>
        <v/>
      </c>
    </row>
    <row r="222">
      <c r="A222" s="7" t="n">
        <v>10</v>
      </c>
      <c r="B222" s="8">
        <f>B14</f>
        <v/>
      </c>
      <c r="C222" s="8">
        <f>C14</f>
        <v/>
      </c>
      <c r="D222" s="14" t="n"/>
      <c r="E222" s="14" t="n"/>
      <c r="F222" s="8">
        <f>D222+E222</f>
        <v/>
      </c>
      <c r="G222" s="14" t="n"/>
      <c r="H222" s="14" t="n"/>
      <c r="I222" s="8">
        <f>G222+H222</f>
        <v/>
      </c>
      <c r="J222" s="8">
        <f>D222+G222</f>
        <v/>
      </c>
      <c r="K222" s="8">
        <f>E222+H222</f>
        <v/>
      </c>
      <c r="L222" s="8">
        <f>J222+K222</f>
        <v/>
      </c>
      <c r="M222" s="9">
        <f>IF(C222=0,0,L222/C222*100)</f>
        <v/>
      </c>
    </row>
    <row r="223">
      <c r="A223" s="10" t="inlineStr">
        <is>
          <t>Total</t>
        </is>
      </c>
      <c r="B223" s="11">
        <f>SUM(B213:B222)</f>
        <v/>
      </c>
      <c r="C223" s="11">
        <f>SUM(C213:C222)</f>
        <v/>
      </c>
      <c r="D223" s="11">
        <f>SUM(D213:D222)</f>
        <v/>
      </c>
      <c r="E223" s="11">
        <f>SUM(E213:E222)</f>
        <v/>
      </c>
      <c r="F223" s="11">
        <f>D223+E223</f>
        <v/>
      </c>
      <c r="G223" s="11">
        <f>SUM(G213:G222)</f>
        <v/>
      </c>
      <c r="H223" s="11">
        <f>SUM(H213:H222)</f>
        <v/>
      </c>
      <c r="I223" s="11">
        <f>G223+H223</f>
        <v/>
      </c>
      <c r="J223" s="11">
        <f>D223+G223</f>
        <v/>
      </c>
      <c r="K223" s="11">
        <f>E223+H223</f>
        <v/>
      </c>
      <c r="L223" s="11">
        <f>J223+K223</f>
        <v/>
      </c>
      <c r="M223" s="12">
        <f>IF(C223=0,0,L223/C223*100)</f>
        <v/>
      </c>
    </row>
    <row r="225">
      <c r="A225" s="13" t="inlineStr">
        <is>
          <t>Day 14 - 2026-10-18 (Sun 01 Kartik 2083)</t>
        </is>
      </c>
    </row>
    <row r="226">
      <c r="A226" s="6" t="inlineStr">
        <is>
          <t>Ward no.</t>
        </is>
      </c>
      <c r="B226" s="6" t="inlineStr">
        <is>
          <t>Total population</t>
        </is>
      </c>
      <c r="C226" s="6" t="inlineStr">
        <is>
          <t>JE target population</t>
        </is>
      </c>
      <c r="D226" s="6" t="inlineStr">
        <is>
          <t>Vaccinated</t>
        </is>
      </c>
      <c r="E226" s="6" t="n"/>
      <c r="F226" s="6" t="n"/>
      <c r="G226" s="6" t="n"/>
      <c r="H226" s="6" t="n"/>
      <c r="I226" s="6" t="n"/>
      <c r="J226" s="6" t="n"/>
      <c r="K226" s="6" t="n"/>
      <c r="L226" s="6" t="n"/>
      <c r="M226" s="6" t="inlineStr">
        <is>
          <t>Progress %</t>
        </is>
      </c>
    </row>
    <row r="227">
      <c r="A227" s="6" t="n"/>
      <c r="B227" s="6" t="n"/>
      <c r="C227" s="6" t="n"/>
      <c r="D227" s="6" t="inlineStr">
        <is>
          <t>Age 30-60 yrs</t>
        </is>
      </c>
      <c r="E227" s="6" t="n"/>
      <c r="F227" s="6" t="n"/>
      <c r="G227" s="6" t="inlineStr">
        <is>
          <t>Age 60 above</t>
        </is>
      </c>
      <c r="H227" s="6" t="n"/>
      <c r="I227" s="6" t="n"/>
      <c r="J227" s="6" t="inlineStr">
        <is>
          <t>Total</t>
        </is>
      </c>
      <c r="K227" s="6" t="n"/>
      <c r="L227" s="6" t="inlineStr">
        <is>
          <t>Grand Total</t>
        </is>
      </c>
      <c r="M227" s="6" t="n"/>
    </row>
    <row r="228">
      <c r="A228" s="6" t="n"/>
      <c r="B228" s="6" t="n"/>
      <c r="C228" s="6" t="n"/>
      <c r="D228" s="6" t="inlineStr">
        <is>
          <t>F</t>
        </is>
      </c>
      <c r="E228" s="6" t="inlineStr">
        <is>
          <t>M</t>
        </is>
      </c>
      <c r="F228" s="6" t="inlineStr">
        <is>
          <t>Total</t>
        </is>
      </c>
      <c r="G228" s="6" t="inlineStr">
        <is>
          <t>F</t>
        </is>
      </c>
      <c r="H228" s="6" t="inlineStr">
        <is>
          <t>M</t>
        </is>
      </c>
      <c r="I228" s="6" t="inlineStr">
        <is>
          <t>Total</t>
        </is>
      </c>
      <c r="J228" s="6" t="inlineStr">
        <is>
          <t>F</t>
        </is>
      </c>
      <c r="K228" s="6" t="inlineStr">
        <is>
          <t>M</t>
        </is>
      </c>
      <c r="L228" s="6" t="n"/>
      <c r="M228" s="6" t="n"/>
    </row>
    <row r="229">
      <c r="A229" s="7" t="n">
        <v>1</v>
      </c>
      <c r="B229" s="8">
        <f>B5</f>
        <v/>
      </c>
      <c r="C229" s="8">
        <f>C5</f>
        <v/>
      </c>
      <c r="D229" s="14" t="n"/>
      <c r="E229" s="14" t="n"/>
      <c r="F229" s="8">
        <f>D229+E229</f>
        <v/>
      </c>
      <c r="G229" s="14" t="n"/>
      <c r="H229" s="14" t="n"/>
      <c r="I229" s="8">
        <f>G229+H229</f>
        <v/>
      </c>
      <c r="J229" s="8">
        <f>D229+G229</f>
        <v/>
      </c>
      <c r="K229" s="8">
        <f>E229+H229</f>
        <v/>
      </c>
      <c r="L229" s="8">
        <f>J229+K229</f>
        <v/>
      </c>
      <c r="M229" s="9">
        <f>IF(C229=0,0,L229/C229*100)</f>
        <v/>
      </c>
    </row>
    <row r="230">
      <c r="A230" s="7" t="n">
        <v>2</v>
      </c>
      <c r="B230" s="8">
        <f>B6</f>
        <v/>
      </c>
      <c r="C230" s="8">
        <f>C6</f>
        <v/>
      </c>
      <c r="D230" s="14" t="n"/>
      <c r="E230" s="14" t="n"/>
      <c r="F230" s="8">
        <f>D230+E230</f>
        <v/>
      </c>
      <c r="G230" s="14" t="n"/>
      <c r="H230" s="14" t="n"/>
      <c r="I230" s="8">
        <f>G230+H230</f>
        <v/>
      </c>
      <c r="J230" s="8">
        <f>D230+G230</f>
        <v/>
      </c>
      <c r="K230" s="8">
        <f>E230+H230</f>
        <v/>
      </c>
      <c r="L230" s="8">
        <f>J230+K230</f>
        <v/>
      </c>
      <c r="M230" s="9">
        <f>IF(C230=0,0,L230/C230*100)</f>
        <v/>
      </c>
    </row>
    <row r="231">
      <c r="A231" s="7" t="n">
        <v>3</v>
      </c>
      <c r="B231" s="8">
        <f>B7</f>
        <v/>
      </c>
      <c r="C231" s="8">
        <f>C7</f>
        <v/>
      </c>
      <c r="D231" s="14" t="n"/>
      <c r="E231" s="14" t="n"/>
      <c r="F231" s="8">
        <f>D231+E231</f>
        <v/>
      </c>
      <c r="G231" s="14" t="n"/>
      <c r="H231" s="14" t="n"/>
      <c r="I231" s="8">
        <f>G231+H231</f>
        <v/>
      </c>
      <c r="J231" s="8">
        <f>D231+G231</f>
        <v/>
      </c>
      <c r="K231" s="8">
        <f>E231+H231</f>
        <v/>
      </c>
      <c r="L231" s="8">
        <f>J231+K231</f>
        <v/>
      </c>
      <c r="M231" s="9">
        <f>IF(C231=0,0,L231/C231*100)</f>
        <v/>
      </c>
    </row>
    <row r="232">
      <c r="A232" s="7" t="n">
        <v>4</v>
      </c>
      <c r="B232" s="8">
        <f>B8</f>
        <v/>
      </c>
      <c r="C232" s="8">
        <f>C8</f>
        <v/>
      </c>
      <c r="D232" s="14" t="n"/>
      <c r="E232" s="14" t="n"/>
      <c r="F232" s="8">
        <f>D232+E232</f>
        <v/>
      </c>
      <c r="G232" s="14" t="n"/>
      <c r="H232" s="14" t="n"/>
      <c r="I232" s="8">
        <f>G232+H232</f>
        <v/>
      </c>
      <c r="J232" s="8">
        <f>D232+G232</f>
        <v/>
      </c>
      <c r="K232" s="8">
        <f>E232+H232</f>
        <v/>
      </c>
      <c r="L232" s="8">
        <f>J232+K232</f>
        <v/>
      </c>
      <c r="M232" s="9">
        <f>IF(C232=0,0,L232/C232*100)</f>
        <v/>
      </c>
    </row>
    <row r="233">
      <c r="A233" s="7" t="n">
        <v>5</v>
      </c>
      <c r="B233" s="8">
        <f>B9</f>
        <v/>
      </c>
      <c r="C233" s="8">
        <f>C9</f>
        <v/>
      </c>
      <c r="D233" s="14" t="n"/>
      <c r="E233" s="14" t="n"/>
      <c r="F233" s="8">
        <f>D233+E233</f>
        <v/>
      </c>
      <c r="G233" s="14" t="n"/>
      <c r="H233" s="14" t="n"/>
      <c r="I233" s="8">
        <f>G233+H233</f>
        <v/>
      </c>
      <c r="J233" s="8">
        <f>D233+G233</f>
        <v/>
      </c>
      <c r="K233" s="8">
        <f>E233+H233</f>
        <v/>
      </c>
      <c r="L233" s="8">
        <f>J233+K233</f>
        <v/>
      </c>
      <c r="M233" s="9">
        <f>IF(C233=0,0,L233/C233*100)</f>
        <v/>
      </c>
    </row>
    <row r="234">
      <c r="A234" s="7" t="n">
        <v>6</v>
      </c>
      <c r="B234" s="8">
        <f>B10</f>
        <v/>
      </c>
      <c r="C234" s="8">
        <f>C10</f>
        <v/>
      </c>
      <c r="D234" s="14" t="n"/>
      <c r="E234" s="14" t="n"/>
      <c r="F234" s="8">
        <f>D234+E234</f>
        <v/>
      </c>
      <c r="G234" s="14" t="n"/>
      <c r="H234" s="14" t="n"/>
      <c r="I234" s="8">
        <f>G234+H234</f>
        <v/>
      </c>
      <c r="J234" s="8">
        <f>D234+G234</f>
        <v/>
      </c>
      <c r="K234" s="8">
        <f>E234+H234</f>
        <v/>
      </c>
      <c r="L234" s="8">
        <f>J234+K234</f>
        <v/>
      </c>
      <c r="M234" s="9">
        <f>IF(C234=0,0,L234/C234*100)</f>
        <v/>
      </c>
    </row>
    <row r="235">
      <c r="A235" s="7" t="n">
        <v>7</v>
      </c>
      <c r="B235" s="8">
        <f>B11</f>
        <v/>
      </c>
      <c r="C235" s="8">
        <f>C11</f>
        <v/>
      </c>
      <c r="D235" s="14" t="n"/>
      <c r="E235" s="14" t="n"/>
      <c r="F235" s="8">
        <f>D235+E235</f>
        <v/>
      </c>
      <c r="G235" s="14" t="n"/>
      <c r="H235" s="14" t="n"/>
      <c r="I235" s="8">
        <f>G235+H235</f>
        <v/>
      </c>
      <c r="J235" s="8">
        <f>D235+G235</f>
        <v/>
      </c>
      <c r="K235" s="8">
        <f>E235+H235</f>
        <v/>
      </c>
      <c r="L235" s="8">
        <f>J235+K235</f>
        <v/>
      </c>
      <c r="M235" s="9">
        <f>IF(C235=0,0,L235/C235*100)</f>
        <v/>
      </c>
    </row>
    <row r="236">
      <c r="A236" s="7" t="n">
        <v>8</v>
      </c>
      <c r="B236" s="8">
        <f>B12</f>
        <v/>
      </c>
      <c r="C236" s="8">
        <f>C12</f>
        <v/>
      </c>
      <c r="D236" s="14" t="n"/>
      <c r="E236" s="14" t="n"/>
      <c r="F236" s="8">
        <f>D236+E236</f>
        <v/>
      </c>
      <c r="G236" s="14" t="n"/>
      <c r="H236" s="14" t="n"/>
      <c r="I236" s="8">
        <f>G236+H236</f>
        <v/>
      </c>
      <c r="J236" s="8">
        <f>D236+G236</f>
        <v/>
      </c>
      <c r="K236" s="8">
        <f>E236+H236</f>
        <v/>
      </c>
      <c r="L236" s="8">
        <f>J236+K236</f>
        <v/>
      </c>
      <c r="M236" s="9">
        <f>IF(C236=0,0,L236/C236*100)</f>
        <v/>
      </c>
    </row>
    <row r="237">
      <c r="A237" s="7" t="n">
        <v>9</v>
      </c>
      <c r="B237" s="8">
        <f>B13</f>
        <v/>
      </c>
      <c r="C237" s="8">
        <f>C13</f>
        <v/>
      </c>
      <c r="D237" s="14" t="n"/>
      <c r="E237" s="14" t="n"/>
      <c r="F237" s="8">
        <f>D237+E237</f>
        <v/>
      </c>
      <c r="G237" s="14" t="n"/>
      <c r="H237" s="14" t="n"/>
      <c r="I237" s="8">
        <f>G237+H237</f>
        <v/>
      </c>
      <c r="J237" s="8">
        <f>D237+G237</f>
        <v/>
      </c>
      <c r="K237" s="8">
        <f>E237+H237</f>
        <v/>
      </c>
      <c r="L237" s="8">
        <f>J237+K237</f>
        <v/>
      </c>
      <c r="M237" s="9">
        <f>IF(C237=0,0,L237/C237*100)</f>
        <v/>
      </c>
    </row>
    <row r="238">
      <c r="A238" s="7" t="n">
        <v>10</v>
      </c>
      <c r="B238" s="8">
        <f>B14</f>
        <v/>
      </c>
      <c r="C238" s="8">
        <f>C14</f>
        <v/>
      </c>
      <c r="D238" s="14" t="n"/>
      <c r="E238" s="14" t="n"/>
      <c r="F238" s="8">
        <f>D238+E238</f>
        <v/>
      </c>
      <c r="G238" s="14" t="n"/>
      <c r="H238" s="14" t="n"/>
      <c r="I238" s="8">
        <f>G238+H238</f>
        <v/>
      </c>
      <c r="J238" s="8">
        <f>D238+G238</f>
        <v/>
      </c>
      <c r="K238" s="8">
        <f>E238+H238</f>
        <v/>
      </c>
      <c r="L238" s="8">
        <f>J238+K238</f>
        <v/>
      </c>
      <c r="M238" s="9">
        <f>IF(C238=0,0,L238/C238*100)</f>
        <v/>
      </c>
    </row>
    <row r="239">
      <c r="A239" s="10" t="inlineStr">
        <is>
          <t>Total</t>
        </is>
      </c>
      <c r="B239" s="11">
        <f>SUM(B229:B238)</f>
        <v/>
      </c>
      <c r="C239" s="11">
        <f>SUM(C229:C238)</f>
        <v/>
      </c>
      <c r="D239" s="11">
        <f>SUM(D229:D238)</f>
        <v/>
      </c>
      <c r="E239" s="11">
        <f>SUM(E229:E238)</f>
        <v/>
      </c>
      <c r="F239" s="11">
        <f>D239+E239</f>
        <v/>
      </c>
      <c r="G239" s="11">
        <f>SUM(G229:G238)</f>
        <v/>
      </c>
      <c r="H239" s="11">
        <f>SUM(H229:H238)</f>
        <v/>
      </c>
      <c r="I239" s="11">
        <f>G239+H239</f>
        <v/>
      </c>
      <c r="J239" s="11">
        <f>D239+G239</f>
        <v/>
      </c>
      <c r="K239" s="11">
        <f>E239+H239</f>
        <v/>
      </c>
      <c r="L239" s="11">
        <f>J239+K239</f>
        <v/>
      </c>
      <c r="M239" s="12">
        <f>IF(C239=0,0,L239/C239*100)</f>
        <v/>
      </c>
    </row>
    <row r="241">
      <c r="A241" s="13" t="inlineStr">
        <is>
          <t>Day 15 - 2026-10-19 (Mon 02 Kartik 2083)</t>
        </is>
      </c>
    </row>
    <row r="242">
      <c r="A242" s="6" t="inlineStr">
        <is>
          <t>Ward no.</t>
        </is>
      </c>
      <c r="B242" s="6" t="inlineStr">
        <is>
          <t>Total population</t>
        </is>
      </c>
      <c r="C242" s="6" t="inlineStr">
        <is>
          <t>JE target population</t>
        </is>
      </c>
      <c r="D242" s="6" t="inlineStr">
        <is>
          <t>Vaccinated</t>
        </is>
      </c>
      <c r="E242" s="6" t="n"/>
      <c r="F242" s="6" t="n"/>
      <c r="G242" s="6" t="n"/>
      <c r="H242" s="6" t="n"/>
      <c r="I242" s="6" t="n"/>
      <c r="J242" s="6" t="n"/>
      <c r="K242" s="6" t="n"/>
      <c r="L242" s="6" t="n"/>
      <c r="M242" s="6" t="inlineStr">
        <is>
          <t>Progress %</t>
        </is>
      </c>
    </row>
    <row r="243">
      <c r="A243" s="6" t="n"/>
      <c r="B243" s="6" t="n"/>
      <c r="C243" s="6" t="n"/>
      <c r="D243" s="6" t="inlineStr">
        <is>
          <t>Age 30-60 yrs</t>
        </is>
      </c>
      <c r="E243" s="6" t="n"/>
      <c r="F243" s="6" t="n"/>
      <c r="G243" s="6" t="inlineStr">
        <is>
          <t>Age 60 above</t>
        </is>
      </c>
      <c r="H243" s="6" t="n"/>
      <c r="I243" s="6" t="n"/>
      <c r="J243" s="6" t="inlineStr">
        <is>
          <t>Total</t>
        </is>
      </c>
      <c r="K243" s="6" t="n"/>
      <c r="L243" s="6" t="inlineStr">
        <is>
          <t>Grand Total</t>
        </is>
      </c>
      <c r="M243" s="6" t="n"/>
    </row>
    <row r="244">
      <c r="A244" s="6" t="n"/>
      <c r="B244" s="6" t="n"/>
      <c r="C244" s="6" t="n"/>
      <c r="D244" s="6" t="inlineStr">
        <is>
          <t>F</t>
        </is>
      </c>
      <c r="E244" s="6" t="inlineStr">
        <is>
          <t>M</t>
        </is>
      </c>
      <c r="F244" s="6" t="inlineStr">
        <is>
          <t>Total</t>
        </is>
      </c>
      <c r="G244" s="6" t="inlineStr">
        <is>
          <t>F</t>
        </is>
      </c>
      <c r="H244" s="6" t="inlineStr">
        <is>
          <t>M</t>
        </is>
      </c>
      <c r="I244" s="6" t="inlineStr">
        <is>
          <t>Total</t>
        </is>
      </c>
      <c r="J244" s="6" t="inlineStr">
        <is>
          <t>F</t>
        </is>
      </c>
      <c r="K244" s="6" t="inlineStr">
        <is>
          <t>M</t>
        </is>
      </c>
      <c r="L244" s="6" t="n"/>
      <c r="M244" s="6" t="n"/>
    </row>
    <row r="245">
      <c r="A245" s="7" t="n">
        <v>1</v>
      </c>
      <c r="B245" s="8">
        <f>B5</f>
        <v/>
      </c>
      <c r="C245" s="8">
        <f>C5</f>
        <v/>
      </c>
      <c r="D245" s="14" t="n"/>
      <c r="E245" s="14" t="n"/>
      <c r="F245" s="8">
        <f>D245+E245</f>
        <v/>
      </c>
      <c r="G245" s="14" t="n"/>
      <c r="H245" s="14" t="n"/>
      <c r="I245" s="8">
        <f>G245+H245</f>
        <v/>
      </c>
      <c r="J245" s="8">
        <f>D245+G245</f>
        <v/>
      </c>
      <c r="K245" s="8">
        <f>E245+H245</f>
        <v/>
      </c>
      <c r="L245" s="8">
        <f>J245+K245</f>
        <v/>
      </c>
      <c r="M245" s="9">
        <f>IF(C245=0,0,L245/C245*100)</f>
        <v/>
      </c>
    </row>
    <row r="246">
      <c r="A246" s="7" t="n">
        <v>2</v>
      </c>
      <c r="B246" s="8">
        <f>B6</f>
        <v/>
      </c>
      <c r="C246" s="8">
        <f>C6</f>
        <v/>
      </c>
      <c r="D246" s="14" t="n"/>
      <c r="E246" s="14" t="n"/>
      <c r="F246" s="8">
        <f>D246+E246</f>
        <v/>
      </c>
      <c r="G246" s="14" t="n"/>
      <c r="H246" s="14" t="n"/>
      <c r="I246" s="8">
        <f>G246+H246</f>
        <v/>
      </c>
      <c r="J246" s="8">
        <f>D246+G246</f>
        <v/>
      </c>
      <c r="K246" s="8">
        <f>E246+H246</f>
        <v/>
      </c>
      <c r="L246" s="8">
        <f>J246+K246</f>
        <v/>
      </c>
      <c r="M246" s="9">
        <f>IF(C246=0,0,L246/C246*100)</f>
        <v/>
      </c>
    </row>
    <row r="247">
      <c r="A247" s="7" t="n">
        <v>3</v>
      </c>
      <c r="B247" s="8">
        <f>B7</f>
        <v/>
      </c>
      <c r="C247" s="8">
        <f>C7</f>
        <v/>
      </c>
      <c r="D247" s="14" t="n"/>
      <c r="E247" s="14" t="n"/>
      <c r="F247" s="8">
        <f>D247+E247</f>
        <v/>
      </c>
      <c r="G247" s="14" t="n"/>
      <c r="H247" s="14" t="n"/>
      <c r="I247" s="8">
        <f>G247+H247</f>
        <v/>
      </c>
      <c r="J247" s="8">
        <f>D247+G247</f>
        <v/>
      </c>
      <c r="K247" s="8">
        <f>E247+H247</f>
        <v/>
      </c>
      <c r="L247" s="8">
        <f>J247+K247</f>
        <v/>
      </c>
      <c r="M247" s="9">
        <f>IF(C247=0,0,L247/C247*100)</f>
        <v/>
      </c>
    </row>
    <row r="248">
      <c r="A248" s="7" t="n">
        <v>4</v>
      </c>
      <c r="B248" s="8">
        <f>B8</f>
        <v/>
      </c>
      <c r="C248" s="8">
        <f>C8</f>
        <v/>
      </c>
      <c r="D248" s="14" t="n"/>
      <c r="E248" s="14" t="n"/>
      <c r="F248" s="8">
        <f>D248+E248</f>
        <v/>
      </c>
      <c r="G248" s="14" t="n"/>
      <c r="H248" s="14" t="n"/>
      <c r="I248" s="8">
        <f>G248+H248</f>
        <v/>
      </c>
      <c r="J248" s="8">
        <f>D248+G248</f>
        <v/>
      </c>
      <c r="K248" s="8">
        <f>E248+H248</f>
        <v/>
      </c>
      <c r="L248" s="8">
        <f>J248+K248</f>
        <v/>
      </c>
      <c r="M248" s="9">
        <f>IF(C248=0,0,L248/C248*100)</f>
        <v/>
      </c>
    </row>
    <row r="249">
      <c r="A249" s="7" t="n">
        <v>5</v>
      </c>
      <c r="B249" s="8">
        <f>B9</f>
        <v/>
      </c>
      <c r="C249" s="8">
        <f>C9</f>
        <v/>
      </c>
      <c r="D249" s="14" t="n"/>
      <c r="E249" s="14" t="n"/>
      <c r="F249" s="8">
        <f>D249+E249</f>
        <v/>
      </c>
      <c r="G249" s="14" t="n"/>
      <c r="H249" s="14" t="n"/>
      <c r="I249" s="8">
        <f>G249+H249</f>
        <v/>
      </c>
      <c r="J249" s="8">
        <f>D249+G249</f>
        <v/>
      </c>
      <c r="K249" s="8">
        <f>E249+H249</f>
        <v/>
      </c>
      <c r="L249" s="8">
        <f>J249+K249</f>
        <v/>
      </c>
      <c r="M249" s="9">
        <f>IF(C249=0,0,L249/C249*100)</f>
        <v/>
      </c>
    </row>
    <row r="250">
      <c r="A250" s="7" t="n">
        <v>6</v>
      </c>
      <c r="B250" s="8">
        <f>B10</f>
        <v/>
      </c>
      <c r="C250" s="8">
        <f>C10</f>
        <v/>
      </c>
      <c r="D250" s="14" t="n"/>
      <c r="E250" s="14" t="n"/>
      <c r="F250" s="8">
        <f>D250+E250</f>
        <v/>
      </c>
      <c r="G250" s="14" t="n"/>
      <c r="H250" s="14" t="n"/>
      <c r="I250" s="8">
        <f>G250+H250</f>
        <v/>
      </c>
      <c r="J250" s="8">
        <f>D250+G250</f>
        <v/>
      </c>
      <c r="K250" s="8">
        <f>E250+H250</f>
        <v/>
      </c>
      <c r="L250" s="8">
        <f>J250+K250</f>
        <v/>
      </c>
      <c r="M250" s="9">
        <f>IF(C250=0,0,L250/C250*100)</f>
        <v/>
      </c>
    </row>
    <row r="251">
      <c r="A251" s="7" t="n">
        <v>7</v>
      </c>
      <c r="B251" s="8">
        <f>B11</f>
        <v/>
      </c>
      <c r="C251" s="8">
        <f>C11</f>
        <v/>
      </c>
      <c r="D251" s="14" t="n"/>
      <c r="E251" s="14" t="n"/>
      <c r="F251" s="8">
        <f>D251+E251</f>
        <v/>
      </c>
      <c r="G251" s="14" t="n"/>
      <c r="H251" s="14" t="n"/>
      <c r="I251" s="8">
        <f>G251+H251</f>
        <v/>
      </c>
      <c r="J251" s="8">
        <f>D251+G251</f>
        <v/>
      </c>
      <c r="K251" s="8">
        <f>E251+H251</f>
        <v/>
      </c>
      <c r="L251" s="8">
        <f>J251+K251</f>
        <v/>
      </c>
      <c r="M251" s="9">
        <f>IF(C251=0,0,L251/C251*100)</f>
        <v/>
      </c>
    </row>
    <row r="252">
      <c r="A252" s="7" t="n">
        <v>8</v>
      </c>
      <c r="B252" s="8">
        <f>B12</f>
        <v/>
      </c>
      <c r="C252" s="8">
        <f>C12</f>
        <v/>
      </c>
      <c r="D252" s="14" t="n"/>
      <c r="E252" s="14" t="n"/>
      <c r="F252" s="8">
        <f>D252+E252</f>
        <v/>
      </c>
      <c r="G252" s="14" t="n"/>
      <c r="H252" s="14" t="n"/>
      <c r="I252" s="8">
        <f>G252+H252</f>
        <v/>
      </c>
      <c r="J252" s="8">
        <f>D252+G252</f>
        <v/>
      </c>
      <c r="K252" s="8">
        <f>E252+H252</f>
        <v/>
      </c>
      <c r="L252" s="8">
        <f>J252+K252</f>
        <v/>
      </c>
      <c r="M252" s="9">
        <f>IF(C252=0,0,L252/C252*100)</f>
        <v/>
      </c>
    </row>
    <row r="253">
      <c r="A253" s="7" t="n">
        <v>9</v>
      </c>
      <c r="B253" s="8">
        <f>B13</f>
        <v/>
      </c>
      <c r="C253" s="8">
        <f>C13</f>
        <v/>
      </c>
      <c r="D253" s="14" t="n"/>
      <c r="E253" s="14" t="n"/>
      <c r="F253" s="8">
        <f>D253+E253</f>
        <v/>
      </c>
      <c r="G253" s="14" t="n"/>
      <c r="H253" s="14" t="n"/>
      <c r="I253" s="8">
        <f>G253+H253</f>
        <v/>
      </c>
      <c r="J253" s="8">
        <f>D253+G253</f>
        <v/>
      </c>
      <c r="K253" s="8">
        <f>E253+H253</f>
        <v/>
      </c>
      <c r="L253" s="8">
        <f>J253+K253</f>
        <v/>
      </c>
      <c r="M253" s="9">
        <f>IF(C253=0,0,L253/C253*100)</f>
        <v/>
      </c>
    </row>
    <row r="254">
      <c r="A254" s="7" t="n">
        <v>10</v>
      </c>
      <c r="B254" s="8">
        <f>B14</f>
        <v/>
      </c>
      <c r="C254" s="8">
        <f>C14</f>
        <v/>
      </c>
      <c r="D254" s="14" t="n"/>
      <c r="E254" s="14" t="n"/>
      <c r="F254" s="8">
        <f>D254+E254</f>
        <v/>
      </c>
      <c r="G254" s="14" t="n"/>
      <c r="H254" s="14" t="n"/>
      <c r="I254" s="8">
        <f>G254+H254</f>
        <v/>
      </c>
      <c r="J254" s="8">
        <f>D254+G254</f>
        <v/>
      </c>
      <c r="K254" s="8">
        <f>E254+H254</f>
        <v/>
      </c>
      <c r="L254" s="8">
        <f>J254+K254</f>
        <v/>
      </c>
      <c r="M254" s="9">
        <f>IF(C254=0,0,L254/C254*100)</f>
        <v/>
      </c>
    </row>
    <row r="255">
      <c r="A255" s="10" t="inlineStr">
        <is>
          <t>Total</t>
        </is>
      </c>
      <c r="B255" s="11">
        <f>SUM(B245:B254)</f>
        <v/>
      </c>
      <c r="C255" s="11">
        <f>SUM(C245:C254)</f>
        <v/>
      </c>
      <c r="D255" s="11">
        <f>SUM(D245:D254)</f>
        <v/>
      </c>
      <c r="E255" s="11">
        <f>SUM(E245:E254)</f>
        <v/>
      </c>
      <c r="F255" s="11">
        <f>D255+E255</f>
        <v/>
      </c>
      <c r="G255" s="11">
        <f>SUM(G245:G254)</f>
        <v/>
      </c>
      <c r="H255" s="11">
        <f>SUM(H245:H254)</f>
        <v/>
      </c>
      <c r="I255" s="11">
        <f>G255+H255</f>
        <v/>
      </c>
      <c r="J255" s="11">
        <f>D255+G255</f>
        <v/>
      </c>
      <c r="K255" s="11">
        <f>E255+H255</f>
        <v/>
      </c>
      <c r="L255" s="11">
        <f>J255+K255</f>
        <v/>
      </c>
      <c r="M255" s="12">
        <f>IF(C255=0,0,L255/C255*100)</f>
        <v/>
      </c>
    </row>
  </sheetData>
  <sheetProtection selectLockedCells="0" selectUnlockedCells="0" sheet="1" objects="0" insertRows="1" insertHyperlinks="1" autoFilter="1" scenarios="0" formatColumns="0" deleteColumns="1" insertColumns="1" pivotTables="1" deleteRows="1" formatCells="0" formatRows="0" sort="1"/>
  <mergeCells count="160">
    <mergeCell ref="B146:B148"/>
    <mergeCell ref="D195:F195"/>
    <mergeCell ref="M242:M244"/>
    <mergeCell ref="A210:A212"/>
    <mergeCell ref="B34:B36"/>
    <mergeCell ref="L3:L4"/>
    <mergeCell ref="A97:M97"/>
    <mergeCell ref="L83:L84"/>
    <mergeCell ref="J19:K19"/>
    <mergeCell ref="D179:F179"/>
    <mergeCell ref="A194:A196"/>
    <mergeCell ref="C194:C196"/>
    <mergeCell ref="A81:M81"/>
    <mergeCell ref="A130:A132"/>
    <mergeCell ref="A161:M161"/>
    <mergeCell ref="G195:I195"/>
    <mergeCell ref="M162:M164"/>
    <mergeCell ref="L147:L148"/>
    <mergeCell ref="A226:A228"/>
    <mergeCell ref="D114:L114"/>
    <mergeCell ref="C18:C20"/>
    <mergeCell ref="M146:M148"/>
    <mergeCell ref="D98:L98"/>
    <mergeCell ref="D226:L226"/>
    <mergeCell ref="L211:L212"/>
    <mergeCell ref="J147:K147"/>
    <mergeCell ref="A241:M241"/>
    <mergeCell ref="B242:B244"/>
    <mergeCell ref="M82:M84"/>
    <mergeCell ref="G131:I131"/>
    <mergeCell ref="A50:A52"/>
    <mergeCell ref="C50:C52"/>
    <mergeCell ref="G115:I115"/>
    <mergeCell ref="D34:L34"/>
    <mergeCell ref="B210:B212"/>
    <mergeCell ref="B98:B100"/>
    <mergeCell ref="G179:I179"/>
    <mergeCell ref="B178:B180"/>
    <mergeCell ref="J163:K163"/>
    <mergeCell ref="A33:M33"/>
    <mergeCell ref="D2:L2"/>
    <mergeCell ref="B162:B164"/>
    <mergeCell ref="C130:C132"/>
    <mergeCell ref="J243:K243"/>
    <mergeCell ref="D163:F163"/>
    <mergeCell ref="D66:L66"/>
    <mergeCell ref="C178:C180"/>
    <mergeCell ref="D147:F147"/>
    <mergeCell ref="D227:F227"/>
    <mergeCell ref="J99:K99"/>
    <mergeCell ref="D211:F211"/>
    <mergeCell ref="A114:A116"/>
    <mergeCell ref="D3:F3"/>
    <mergeCell ref="J83:K83"/>
    <mergeCell ref="D83:F83"/>
    <mergeCell ref="G51:I51"/>
    <mergeCell ref="A98:A100"/>
    <mergeCell ref="G227:I227"/>
    <mergeCell ref="C98:C100"/>
    <mergeCell ref="L35:L36"/>
    <mergeCell ref="L163:L164"/>
    <mergeCell ref="A225:M225"/>
    <mergeCell ref="D67:F67"/>
    <mergeCell ref="G211:I211"/>
    <mergeCell ref="A82:A84"/>
    <mergeCell ref="B130:B132"/>
    <mergeCell ref="L99:L100"/>
    <mergeCell ref="M226:M228"/>
    <mergeCell ref="M178:M180"/>
    <mergeCell ref="A146:A148"/>
    <mergeCell ref="A177:M177"/>
    <mergeCell ref="C146:C148"/>
    <mergeCell ref="J3:K3"/>
    <mergeCell ref="J51:K51"/>
    <mergeCell ref="A145:M145"/>
    <mergeCell ref="A129:M129"/>
    <mergeCell ref="G147:I147"/>
    <mergeCell ref="A18:A20"/>
    <mergeCell ref="L243:L244"/>
    <mergeCell ref="L131:L132"/>
    <mergeCell ref="M18:M20"/>
    <mergeCell ref="D242:L242"/>
    <mergeCell ref="A2:A4"/>
    <mergeCell ref="G19:I19"/>
    <mergeCell ref="C2:C4"/>
    <mergeCell ref="D194:L194"/>
    <mergeCell ref="A17:M17"/>
    <mergeCell ref="C82:C84"/>
    <mergeCell ref="G3:I3"/>
    <mergeCell ref="B226:B228"/>
    <mergeCell ref="L195:L196"/>
    <mergeCell ref="J131:K131"/>
    <mergeCell ref="G83:I83"/>
    <mergeCell ref="D162:L162"/>
    <mergeCell ref="C66:C68"/>
    <mergeCell ref="J211:K211"/>
    <mergeCell ref="A34:A36"/>
    <mergeCell ref="D146:L146"/>
    <mergeCell ref="J195:K195"/>
    <mergeCell ref="C34:C36"/>
    <mergeCell ref="B66:B68"/>
    <mergeCell ref="B194:B196"/>
    <mergeCell ref="B50:B52"/>
    <mergeCell ref="J179:K179"/>
    <mergeCell ref="A49:M49"/>
    <mergeCell ref="D51:F51"/>
    <mergeCell ref="J35:K35"/>
    <mergeCell ref="A1:M1"/>
    <mergeCell ref="C210:C212"/>
    <mergeCell ref="M114:M116"/>
    <mergeCell ref="D35:F35"/>
    <mergeCell ref="A178:A180"/>
    <mergeCell ref="D115:F115"/>
    <mergeCell ref="B2:B4"/>
    <mergeCell ref="A65:M65"/>
    <mergeCell ref="M98:M100"/>
    <mergeCell ref="L115:L116"/>
    <mergeCell ref="A162:A164"/>
    <mergeCell ref="D243:F243"/>
    <mergeCell ref="D99:F99"/>
    <mergeCell ref="C162:C164"/>
    <mergeCell ref="A193:M193"/>
    <mergeCell ref="A242:A244"/>
    <mergeCell ref="C114:C116"/>
    <mergeCell ref="C242:C244"/>
    <mergeCell ref="L179:L180"/>
    <mergeCell ref="J115:K115"/>
    <mergeCell ref="C226:C228"/>
    <mergeCell ref="A113:M113"/>
    <mergeCell ref="G243:I243"/>
    <mergeCell ref="J67:K67"/>
    <mergeCell ref="M210:M212"/>
    <mergeCell ref="M66:M68"/>
    <mergeCell ref="D210:L210"/>
    <mergeCell ref="A209:M209"/>
    <mergeCell ref="M194:M196"/>
    <mergeCell ref="B114:B116"/>
    <mergeCell ref="D18:L18"/>
    <mergeCell ref="G35:I35"/>
    <mergeCell ref="G163:I163"/>
    <mergeCell ref="M130:M132"/>
    <mergeCell ref="M50:M52"/>
    <mergeCell ref="D130:L130"/>
    <mergeCell ref="D82:L82"/>
    <mergeCell ref="G99:I99"/>
    <mergeCell ref="M34:M36"/>
    <mergeCell ref="J227:K227"/>
    <mergeCell ref="L51:L52"/>
    <mergeCell ref="L227:L228"/>
    <mergeCell ref="D50:L50"/>
    <mergeCell ref="M2:M4"/>
    <mergeCell ref="D178:L178"/>
    <mergeCell ref="B18:B20"/>
    <mergeCell ref="A66:A68"/>
    <mergeCell ref="D19:F19"/>
    <mergeCell ref="G67:I67"/>
    <mergeCell ref="B82:B84"/>
    <mergeCell ref="D131:F131"/>
    <mergeCell ref="L67:L68"/>
    <mergeCell ref="L19:L20"/>
  </mergeCells>
  <dataValidations count="1">
    <dataValidation sqref="D21 D22 D23 D24 D25 D26 D27 D28 D29 D30 D37 D38 D39 D40 D41 D42 D43 D44 D45 D46 D53 D54 D55 D56 D57 D58 D59 D60 D61 D62 D69 D70 D71 D72 D73 D74 D75 D76 D77 D78 D85 D86 D87 D88 D89 D90 D91 D92 D93 D94 D101 D102 D103 D104 D105 D106 D107 D108 D109 D110 D117 D118 D119 D120 D121 D122 D123 D124 D125 D126 D133 D134 D135 D136 D137 D138 D139 D140 D141 D142 D149 D150 D151 D152 D153 D154 D155 D156 D157 D158 D165 D166 D167 D168 D169 D170 D171 D172 D173 D174 D181 D182 D183 D184 D185 D186 D187 D188 D189 D190 D197 D198 D199 D200 D201 D202 D203 D204 D205 D206 D213 D214 D215 D216 D217 D218 D219 D220 D221 D222 D229 D230 D231 D232 D233 D234 D235 D236 D237 D238 D245 D246 D247 D248 D249 D250 D251 D252 D253 D254 E21 E22 E23 E24 E25 E26 E27 E28 E29 E30 E37 E38 E39 E40 E41 E42 E43 E44 E45 E46 E53 E54 E55 E56 E57 E58 E59 E60 E61 E62 E69 E70 E71 E72 E73 E74 E75 E76 E77 E78 E85 E86 E87 E88 E89 E90 E91 E92 E93 E94 E101 E102 E103 E104 E105 E106 E107 E108 E109 E110 E117 E118 E119 E120 E121 E122 E123 E124 E125 E126 E133 E134 E135 E136 E137 E138 E139 E140 E141 E142 E149 E150 E151 E152 E153 E154 E155 E156 E157 E158 E165 E166 E167 E168 E169 E170 E171 E172 E173 E174 E181 E182 E183 E184 E185 E186 E187 E188 E189 E190 E197 E198 E199 E200 E201 E202 E203 E204 E205 E206 E213 E214 E215 E216 E217 E218 E219 E220 E221 E222 E229 E230 E231 E232 E233 E234 E235 E236 E237 E238 E245 E246 E247 E248 E249 E250 E251 E252 E253 E254 G21 G22 G23 G24 G25 G26 G27 G28 G29 G30 G37 G38 G39 G40 G41 G42 G43 G44 G45 G46 G53 G54 G55 G56 G57 G58 G59 G60 G61 G62 G69 G70 G71 G72 G73 G74 G75 G76 G77 G78 G85 G86 G87 G88 G89 G90 G91 G92 G93 G94 G101 G102 G103 G104 G105 G106 G107 G108 G109 G110 G117 G118 G119 G120 G121 G122 G123 G124 G125 G126 G133 G134 G135 G136 G137 G138 G139 G140 G141 G142 G149 G150 G151 G152 G153 G154 G155 G156 G157 G158 G165 G166 G167 G168 G169 G170 G171 G172 G173 G174 G181 G182 G183 G184 G185 G186 G187 G188 G189 G190 G197 G198 G199 G200 G201 G202 G203 G204 G205 G206 G213 G214 G215 G216 G217 G218 G219 G220 G221 G222 G229 G230 G231 G232 G233 G234 G235 G236 G237 G238 G245 G246 G247 G248 G249 G250 G251 G252 G253 G254 H21 H22 H23 H24 H25 H26 H27 H28 H29 H30 H37 H38 H39 H40 H41 H42 H43 H44 H45 H46 H53 H54 H55 H56 H57 H58 H59 H60 H61 H62 H69 H70 H71 H72 H73 H74 H75 H76 H77 H78 H85 H86 H87 H88 H89 H90 H91 H92 H93 H94 H101 H102 H103 H104 H105 H106 H107 H108 H109 H110 H117 H118 H119 H120 H121 H122 H123 H124 H125 H126 H133 H134 H135 H136 H137 H138 H139 H140 H141 H142 H149 H150 H151 H152 H153 H154 H155 H156 H157 H158 H165 H166 H167 H168 H169 H170 H171 H172 H173 H174 H181 H182 H183 H184 H185 H186 H187 H188 H189 H190 H197 H198 H199 H200 H201 H202 H203 H204 H205 H206 H213 H214 H215 H216 H217 H218 H219 H220 H221 H222 H229 H230 H231 H232 H233 H234 H235 H236 H237 H238 H245 H246 H247 H248 H249 H250 H251 H252 H253 H254" showDropDown="0" showInputMessage="0" showErrorMessage="1" allowBlank="0" errorTitle="Whole number only" error="Enter a whole number of 0 or more." type="whole" operator="greaterThanOrEqual">
      <formula1>0</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175"/>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13"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10" customWidth="1" min="12" max="12"/>
    <col width="9" customWidth="1" min="13" max="13"/>
  </cols>
  <sheetData>
    <row r="1">
      <c r="A1" s="5" t="inlineStr">
        <is>
          <t>Haldibari Gaunpalika - Campaign Total (5-19 Oct 2026)</t>
        </is>
      </c>
    </row>
    <row r="2">
      <c r="A2" s="6" t="inlineStr">
        <is>
          <t>Ward no.</t>
        </is>
      </c>
      <c r="B2" s="6" t="inlineStr">
        <is>
          <t>Total population</t>
        </is>
      </c>
      <c r="C2" s="6" t="inlineStr">
        <is>
          <t>JE target population</t>
        </is>
      </c>
      <c r="D2" s="6" t="inlineStr">
        <is>
          <t>Vaccinated</t>
        </is>
      </c>
      <c r="E2" s="6" t="n"/>
      <c r="F2" s="6" t="n"/>
      <c r="G2" s="6" t="n"/>
      <c r="H2" s="6" t="n"/>
      <c r="I2" s="6" t="n"/>
      <c r="J2" s="6" t="n"/>
      <c r="K2" s="6" t="n"/>
      <c r="L2" s="6" t="n"/>
      <c r="M2" s="6" t="inlineStr">
        <is>
          <t>Progress %</t>
        </is>
      </c>
    </row>
    <row r="3">
      <c r="A3" s="6" t="n"/>
      <c r="B3" s="6" t="n"/>
      <c r="C3" s="6" t="n"/>
      <c r="D3" s="6" t="inlineStr">
        <is>
          <t>Age 30-60 yrs</t>
        </is>
      </c>
      <c r="E3" s="6" t="n"/>
      <c r="F3" s="6" t="n"/>
      <c r="G3" s="6" t="inlineStr">
        <is>
          <t>Age 60 above</t>
        </is>
      </c>
      <c r="H3" s="6" t="n"/>
      <c r="I3" s="6" t="n"/>
      <c r="J3" s="6" t="inlineStr">
        <is>
          <t>Total</t>
        </is>
      </c>
      <c r="K3" s="6" t="n"/>
      <c r="L3" s="6" t="inlineStr">
        <is>
          <t>Grand Total</t>
        </is>
      </c>
      <c r="M3" s="6" t="n"/>
    </row>
    <row r="4">
      <c r="A4" s="6" t="n"/>
      <c r="B4" s="6" t="n"/>
      <c r="C4" s="6" t="n"/>
      <c r="D4" s="6" t="inlineStr">
        <is>
          <t>F</t>
        </is>
      </c>
      <c r="E4" s="6" t="inlineStr">
        <is>
          <t>M</t>
        </is>
      </c>
      <c r="F4" s="6" t="inlineStr">
        <is>
          <t>Total</t>
        </is>
      </c>
      <c r="G4" s="6" t="inlineStr">
        <is>
          <t>F</t>
        </is>
      </c>
      <c r="H4" s="6" t="inlineStr">
        <is>
          <t>M</t>
        </is>
      </c>
      <c r="I4" s="6" t="inlineStr">
        <is>
          <t>Total</t>
        </is>
      </c>
      <c r="J4" s="6" t="inlineStr">
        <is>
          <t>F</t>
        </is>
      </c>
      <c r="K4" s="6" t="inlineStr">
        <is>
          <t>M</t>
        </is>
      </c>
      <c r="L4" s="6" t="n"/>
      <c r="M4" s="6" t="n"/>
    </row>
    <row r="5">
      <c r="A5" s="7" t="n">
        <v>1</v>
      </c>
      <c r="B5" s="8" t="n">
        <v>8307</v>
      </c>
      <c r="C5" s="8" t="n">
        <v>3987.36</v>
      </c>
      <c r="D5" s="8">
        <f>D16+D27+D38+D49+D60+D71+D82+D93+D104+D115+D126+D137+D148+D159+D170</f>
        <v/>
      </c>
      <c r="E5" s="8">
        <f>E16+E27+E38+E49+E60+E71+E82+E93+E104+E115+E126+E137+E148+E159+E170</f>
        <v/>
      </c>
      <c r="F5" s="8">
        <f>D5+E5</f>
        <v/>
      </c>
      <c r="G5" s="8">
        <f>G16+G27+G38+G49+G60+G71+G82+G93+G104+G115+G126+G137+G148+G159+G170</f>
        <v/>
      </c>
      <c r="H5" s="8">
        <f>H16+H27+H38+H49+H60+H71+H82+H93+H104+H115+H126+H137+H148+H159+H170</f>
        <v/>
      </c>
      <c r="I5" s="8">
        <f>G5+H5</f>
        <v/>
      </c>
      <c r="J5" s="8">
        <f>D5+G5</f>
        <v/>
      </c>
      <c r="K5" s="8">
        <f>E5+H5</f>
        <v/>
      </c>
      <c r="L5" s="8">
        <f>J5+K5</f>
        <v/>
      </c>
      <c r="M5" s="9">
        <f>IF(C5=0,0,L5/C5*100)</f>
        <v/>
      </c>
    </row>
    <row r="6">
      <c r="A6" s="7" t="n">
        <v>2</v>
      </c>
      <c r="B6" s="8" t="n">
        <v>9433</v>
      </c>
      <c r="C6" s="8" t="n">
        <v>4527.84</v>
      </c>
      <c r="D6" s="8">
        <f>D17+D28+D39+D50+D61+D72+D83+D94+D105+D116+D127+D138+D149+D160+D171</f>
        <v/>
      </c>
      <c r="E6" s="8">
        <f>E17+E28+E39+E50+E61+E72+E83+E94+E105+E116+E127+E138+E149+E160+E171</f>
        <v/>
      </c>
      <c r="F6" s="8">
        <f>D6+E6</f>
        <v/>
      </c>
      <c r="G6" s="8">
        <f>G17+G28+G39+G50+G61+G72+G83+G94+G105+G116+G127+G138+G149+G160+G171</f>
        <v/>
      </c>
      <c r="H6" s="8">
        <f>H17+H28+H39+H50+H61+H72+H83+H94+H105+H116+H127+H138+H149+H160+H171</f>
        <v/>
      </c>
      <c r="I6" s="8">
        <f>G6+H6</f>
        <v/>
      </c>
      <c r="J6" s="8">
        <f>D6+G6</f>
        <v/>
      </c>
      <c r="K6" s="8">
        <f>E6+H6</f>
        <v/>
      </c>
      <c r="L6" s="8">
        <f>J6+K6</f>
        <v/>
      </c>
      <c r="M6" s="9">
        <f>IF(C6=0,0,L6/C6*100)</f>
        <v/>
      </c>
    </row>
    <row r="7">
      <c r="A7" s="7" t="n">
        <v>3</v>
      </c>
      <c r="B7" s="8" t="n">
        <v>5330</v>
      </c>
      <c r="C7" s="8" t="n">
        <v>2558.4</v>
      </c>
      <c r="D7" s="8">
        <f>D18+D29+D40+D51+D62+D73+D84+D95+D106+D117+D128+D139+D150+D161+D172</f>
        <v/>
      </c>
      <c r="E7" s="8">
        <f>E18+E29+E40+E51+E62+E73+E84+E95+E106+E117+E128+E139+E150+E161+E172</f>
        <v/>
      </c>
      <c r="F7" s="8">
        <f>D7+E7</f>
        <v/>
      </c>
      <c r="G7" s="8">
        <f>G18+G29+G40+G51+G62+G73+G84+G95+G106+G117+G128+G139+G150+G161+G172</f>
        <v/>
      </c>
      <c r="H7" s="8">
        <f>H18+H29+H40+H51+H62+H73+H84+H95+H106+H117+H128+H139+H150+H161+H172</f>
        <v/>
      </c>
      <c r="I7" s="8">
        <f>G7+H7</f>
        <v/>
      </c>
      <c r="J7" s="8">
        <f>D7+G7</f>
        <v/>
      </c>
      <c r="K7" s="8">
        <f>E7+H7</f>
        <v/>
      </c>
      <c r="L7" s="8">
        <f>J7+K7</f>
        <v/>
      </c>
      <c r="M7" s="9">
        <f>IF(C7=0,0,L7/C7*100)</f>
        <v/>
      </c>
    </row>
    <row r="8">
      <c r="A8" s="7" t="n">
        <v>4</v>
      </c>
      <c r="B8" s="8" t="n">
        <v>5863</v>
      </c>
      <c r="C8" s="8" t="n">
        <v>2814.24</v>
      </c>
      <c r="D8" s="8">
        <f>D19+D30+D41+D52+D63+D74+D85+D96+D107+D118+D129+D140+D151+D162+D173</f>
        <v/>
      </c>
      <c r="E8" s="8">
        <f>E19+E30+E41+E52+E63+E74+E85+E96+E107+E118+E129+E140+E151+E162+E173</f>
        <v/>
      </c>
      <c r="F8" s="8">
        <f>D8+E8</f>
        <v/>
      </c>
      <c r="G8" s="8">
        <f>G19+G30+G41+G52+G63+G74+G85+G96+G107+G118+G129+G140+G151+G162+G173</f>
        <v/>
      </c>
      <c r="H8" s="8">
        <f>H19+H30+H41+H52+H63+H74+H85+H96+H107+H118+H129+H140+H151+H162+H173</f>
        <v/>
      </c>
      <c r="I8" s="8">
        <f>G8+H8</f>
        <v/>
      </c>
      <c r="J8" s="8">
        <f>D8+G8</f>
        <v/>
      </c>
      <c r="K8" s="8">
        <f>E8+H8</f>
        <v/>
      </c>
      <c r="L8" s="8">
        <f>J8+K8</f>
        <v/>
      </c>
      <c r="M8" s="9">
        <f>IF(C8=0,0,L8/C8*100)</f>
        <v/>
      </c>
    </row>
    <row r="9">
      <c r="A9" s="7" t="n">
        <v>5</v>
      </c>
      <c r="B9" s="8" t="n">
        <v>3791</v>
      </c>
      <c r="C9" s="8" t="n">
        <v>1819.68</v>
      </c>
      <c r="D9" s="8">
        <f>D20+D31+D42+D53+D64+D75+D86+D97+D108+D119+D130+D141+D152+D163+D174</f>
        <v/>
      </c>
      <c r="E9" s="8">
        <f>E20+E31+E42+E53+E64+E75+E86+E97+E108+E119+E130+E141+E152+E163+E174</f>
        <v/>
      </c>
      <c r="F9" s="8">
        <f>D9+E9</f>
        <v/>
      </c>
      <c r="G9" s="8">
        <f>G20+G31+G42+G53+G64+G75+G86+G97+G108+G119+G130+G141+G152+G163+G174</f>
        <v/>
      </c>
      <c r="H9" s="8">
        <f>H20+H31+H42+H53+H64+H75+H86+H97+H108+H119+H130+H141+H152+H163+H174</f>
        <v/>
      </c>
      <c r="I9" s="8">
        <f>G9+H9</f>
        <v/>
      </c>
      <c r="J9" s="8">
        <f>D9+G9</f>
        <v/>
      </c>
      <c r="K9" s="8">
        <f>E9+H9</f>
        <v/>
      </c>
      <c r="L9" s="8">
        <f>J9+K9</f>
        <v/>
      </c>
      <c r="M9" s="9">
        <f>IF(C9=0,0,L9/C9*100)</f>
        <v/>
      </c>
    </row>
    <row r="10">
      <c r="A10" s="10" t="inlineStr">
        <is>
          <t>Total</t>
        </is>
      </c>
      <c r="B10" s="11">
        <f>SUM(B5:B9)</f>
        <v/>
      </c>
      <c r="C10" s="11">
        <f>SUM(C5:C9)</f>
        <v/>
      </c>
      <c r="D10" s="11">
        <f>SUM(D5:D9)</f>
        <v/>
      </c>
      <c r="E10" s="11">
        <f>SUM(E5:E9)</f>
        <v/>
      </c>
      <c r="F10" s="11">
        <f>D10+E10</f>
        <v/>
      </c>
      <c r="G10" s="11">
        <f>SUM(G5:G9)</f>
        <v/>
      </c>
      <c r="H10" s="11">
        <f>SUM(H5:H9)</f>
        <v/>
      </c>
      <c r="I10" s="11">
        <f>G10+H10</f>
        <v/>
      </c>
      <c r="J10" s="11">
        <f>D10+G10</f>
        <v/>
      </c>
      <c r="K10" s="11">
        <f>E10+H10</f>
        <v/>
      </c>
      <c r="L10" s="11">
        <f>J10+K10</f>
        <v/>
      </c>
      <c r="M10" s="12">
        <f>IF(C10=0,0,L10/C10*100)</f>
        <v/>
      </c>
    </row>
    <row r="12">
      <c r="A12" s="13" t="inlineStr">
        <is>
          <t>Day 1 - 2026-10-05 (Mon 19 Aswin 2083)</t>
        </is>
      </c>
    </row>
    <row r="13">
      <c r="A13" s="6" t="inlineStr">
        <is>
          <t>Ward no.</t>
        </is>
      </c>
      <c r="B13" s="6" t="inlineStr">
        <is>
          <t>Total population</t>
        </is>
      </c>
      <c r="C13" s="6" t="inlineStr">
        <is>
          <t>JE target population</t>
        </is>
      </c>
      <c r="D13" s="6" t="inlineStr">
        <is>
          <t>Vaccinated</t>
        </is>
      </c>
      <c r="E13" s="6" t="n"/>
      <c r="F13" s="6" t="n"/>
      <c r="G13" s="6" t="n"/>
      <c r="H13" s="6" t="n"/>
      <c r="I13" s="6" t="n"/>
      <c r="J13" s="6" t="n"/>
      <c r="K13" s="6" t="n"/>
      <c r="L13" s="6" t="n"/>
      <c r="M13" s="6" t="inlineStr">
        <is>
          <t>Progress %</t>
        </is>
      </c>
    </row>
    <row r="14">
      <c r="A14" s="6" t="n"/>
      <c r="B14" s="6" t="n"/>
      <c r="C14" s="6" t="n"/>
      <c r="D14" s="6" t="inlineStr">
        <is>
          <t>Age 30-60 yrs</t>
        </is>
      </c>
      <c r="E14" s="6" t="n"/>
      <c r="F14" s="6" t="n"/>
      <c r="G14" s="6" t="inlineStr">
        <is>
          <t>Age 60 above</t>
        </is>
      </c>
      <c r="H14" s="6" t="n"/>
      <c r="I14" s="6" t="n"/>
      <c r="J14" s="6" t="inlineStr">
        <is>
          <t>Total</t>
        </is>
      </c>
      <c r="K14" s="6" t="n"/>
      <c r="L14" s="6" t="inlineStr">
        <is>
          <t>Grand Total</t>
        </is>
      </c>
      <c r="M14" s="6" t="n"/>
    </row>
    <row r="15">
      <c r="A15" s="6" t="n"/>
      <c r="B15" s="6" t="n"/>
      <c r="C15" s="6" t="n"/>
      <c r="D15" s="6" t="inlineStr">
        <is>
          <t>F</t>
        </is>
      </c>
      <c r="E15" s="6" t="inlineStr">
        <is>
          <t>M</t>
        </is>
      </c>
      <c r="F15" s="6" t="inlineStr">
        <is>
          <t>Total</t>
        </is>
      </c>
      <c r="G15" s="6" t="inlineStr">
        <is>
          <t>F</t>
        </is>
      </c>
      <c r="H15" s="6" t="inlineStr">
        <is>
          <t>M</t>
        </is>
      </c>
      <c r="I15" s="6" t="inlineStr">
        <is>
          <t>Total</t>
        </is>
      </c>
      <c r="J15" s="6" t="inlineStr">
        <is>
          <t>F</t>
        </is>
      </c>
      <c r="K15" s="6" t="inlineStr">
        <is>
          <t>M</t>
        </is>
      </c>
      <c r="L15" s="6" t="n"/>
      <c r="M15" s="6" t="n"/>
    </row>
    <row r="16">
      <c r="A16" s="7" t="n">
        <v>1</v>
      </c>
      <c r="B16" s="8">
        <f>B5</f>
        <v/>
      </c>
      <c r="C16" s="8">
        <f>C5</f>
        <v/>
      </c>
      <c r="D16" s="14" t="n"/>
      <c r="E16" s="14" t="n"/>
      <c r="F16" s="8">
        <f>D16+E16</f>
        <v/>
      </c>
      <c r="G16" s="14" t="n"/>
      <c r="H16" s="14" t="n"/>
      <c r="I16" s="8">
        <f>G16+H16</f>
        <v/>
      </c>
      <c r="J16" s="8">
        <f>D16+G16</f>
        <v/>
      </c>
      <c r="K16" s="8">
        <f>E16+H16</f>
        <v/>
      </c>
      <c r="L16" s="8">
        <f>J16+K16</f>
        <v/>
      </c>
      <c r="M16" s="9">
        <f>IF(C16=0,0,L16/C16*100)</f>
        <v/>
      </c>
    </row>
    <row r="17">
      <c r="A17" s="7" t="n">
        <v>2</v>
      </c>
      <c r="B17" s="8">
        <f>B6</f>
        <v/>
      </c>
      <c r="C17" s="8">
        <f>C6</f>
        <v/>
      </c>
      <c r="D17" s="14" t="n"/>
      <c r="E17" s="14" t="n"/>
      <c r="F17" s="8">
        <f>D17+E17</f>
        <v/>
      </c>
      <c r="G17" s="14" t="n"/>
      <c r="H17" s="14" t="n"/>
      <c r="I17" s="8">
        <f>G17+H17</f>
        <v/>
      </c>
      <c r="J17" s="8">
        <f>D17+G17</f>
        <v/>
      </c>
      <c r="K17" s="8">
        <f>E17+H17</f>
        <v/>
      </c>
      <c r="L17" s="8">
        <f>J17+K17</f>
        <v/>
      </c>
      <c r="M17" s="9">
        <f>IF(C17=0,0,L17/C17*100)</f>
        <v/>
      </c>
    </row>
    <row r="18">
      <c r="A18" s="7" t="n">
        <v>3</v>
      </c>
      <c r="B18" s="8">
        <f>B7</f>
        <v/>
      </c>
      <c r="C18" s="8">
        <f>C7</f>
        <v/>
      </c>
      <c r="D18" s="14" t="n"/>
      <c r="E18" s="14" t="n"/>
      <c r="F18" s="8">
        <f>D18+E18</f>
        <v/>
      </c>
      <c r="G18" s="14" t="n"/>
      <c r="H18" s="14" t="n"/>
      <c r="I18" s="8">
        <f>G18+H18</f>
        <v/>
      </c>
      <c r="J18" s="8">
        <f>D18+G18</f>
        <v/>
      </c>
      <c r="K18" s="8">
        <f>E18+H18</f>
        <v/>
      </c>
      <c r="L18" s="8">
        <f>J18+K18</f>
        <v/>
      </c>
      <c r="M18" s="9">
        <f>IF(C18=0,0,L18/C18*100)</f>
        <v/>
      </c>
    </row>
    <row r="19">
      <c r="A19" s="7" t="n">
        <v>4</v>
      </c>
      <c r="B19" s="8">
        <f>B8</f>
        <v/>
      </c>
      <c r="C19" s="8">
        <f>C8</f>
        <v/>
      </c>
      <c r="D19" s="14" t="n"/>
      <c r="E19" s="14" t="n"/>
      <c r="F19" s="8">
        <f>D19+E19</f>
        <v/>
      </c>
      <c r="G19" s="14" t="n"/>
      <c r="H19" s="14" t="n"/>
      <c r="I19" s="8">
        <f>G19+H19</f>
        <v/>
      </c>
      <c r="J19" s="8">
        <f>D19+G19</f>
        <v/>
      </c>
      <c r="K19" s="8">
        <f>E19+H19</f>
        <v/>
      </c>
      <c r="L19" s="8">
        <f>J19+K19</f>
        <v/>
      </c>
      <c r="M19" s="9">
        <f>IF(C19=0,0,L19/C19*100)</f>
        <v/>
      </c>
    </row>
    <row r="20">
      <c r="A20" s="7" t="n">
        <v>5</v>
      </c>
      <c r="B20" s="8">
        <f>B9</f>
        <v/>
      </c>
      <c r="C20" s="8">
        <f>C9</f>
        <v/>
      </c>
      <c r="D20" s="14" t="n"/>
      <c r="E20" s="14" t="n"/>
      <c r="F20" s="8">
        <f>D20+E20</f>
        <v/>
      </c>
      <c r="G20" s="14" t="n"/>
      <c r="H20" s="14" t="n"/>
      <c r="I20" s="8">
        <f>G20+H20</f>
        <v/>
      </c>
      <c r="J20" s="8">
        <f>D20+G20</f>
        <v/>
      </c>
      <c r="K20" s="8">
        <f>E20+H20</f>
        <v/>
      </c>
      <c r="L20" s="8">
        <f>J20+K20</f>
        <v/>
      </c>
      <c r="M20" s="9">
        <f>IF(C20=0,0,L20/C20*100)</f>
        <v/>
      </c>
    </row>
    <row r="21">
      <c r="A21" s="10" t="inlineStr">
        <is>
          <t>Total</t>
        </is>
      </c>
      <c r="B21" s="11">
        <f>SUM(B16:B20)</f>
        <v/>
      </c>
      <c r="C21" s="11">
        <f>SUM(C16:C20)</f>
        <v/>
      </c>
      <c r="D21" s="11">
        <f>SUM(D16:D20)</f>
        <v/>
      </c>
      <c r="E21" s="11">
        <f>SUM(E16:E20)</f>
        <v/>
      </c>
      <c r="F21" s="11">
        <f>D21+E21</f>
        <v/>
      </c>
      <c r="G21" s="11">
        <f>SUM(G16:G20)</f>
        <v/>
      </c>
      <c r="H21" s="11">
        <f>SUM(H16:H20)</f>
        <v/>
      </c>
      <c r="I21" s="11">
        <f>G21+H21</f>
        <v/>
      </c>
      <c r="J21" s="11">
        <f>D21+G21</f>
        <v/>
      </c>
      <c r="K21" s="11">
        <f>E21+H21</f>
        <v/>
      </c>
      <c r="L21" s="11">
        <f>J21+K21</f>
        <v/>
      </c>
      <c r="M21" s="12">
        <f>IF(C21=0,0,L21/C21*100)</f>
        <v/>
      </c>
    </row>
    <row r="23">
      <c r="A23" s="13" t="inlineStr">
        <is>
          <t>Day 2 - 2026-10-06 (Tue 20 Aswin 2083)</t>
        </is>
      </c>
    </row>
    <row r="24">
      <c r="A24" s="6" t="inlineStr">
        <is>
          <t>Ward no.</t>
        </is>
      </c>
      <c r="B24" s="6" t="inlineStr">
        <is>
          <t>Total population</t>
        </is>
      </c>
      <c r="C24" s="6" t="inlineStr">
        <is>
          <t>JE target population</t>
        </is>
      </c>
      <c r="D24" s="6" t="inlineStr">
        <is>
          <t>Vaccinated</t>
        </is>
      </c>
      <c r="E24" s="6" t="n"/>
      <c r="F24" s="6" t="n"/>
      <c r="G24" s="6" t="n"/>
      <c r="H24" s="6" t="n"/>
      <c r="I24" s="6" t="n"/>
      <c r="J24" s="6" t="n"/>
      <c r="K24" s="6" t="n"/>
      <c r="L24" s="6" t="n"/>
      <c r="M24" s="6" t="inlineStr">
        <is>
          <t>Progress %</t>
        </is>
      </c>
    </row>
    <row r="25">
      <c r="A25" s="6" t="n"/>
      <c r="B25" s="6" t="n"/>
      <c r="C25" s="6" t="n"/>
      <c r="D25" s="6" t="inlineStr">
        <is>
          <t>Age 30-60 yrs</t>
        </is>
      </c>
      <c r="E25" s="6" t="n"/>
      <c r="F25" s="6" t="n"/>
      <c r="G25" s="6" t="inlineStr">
        <is>
          <t>Age 60 above</t>
        </is>
      </c>
      <c r="H25" s="6" t="n"/>
      <c r="I25" s="6" t="n"/>
      <c r="J25" s="6" t="inlineStr">
        <is>
          <t>Total</t>
        </is>
      </c>
      <c r="K25" s="6" t="n"/>
      <c r="L25" s="6" t="inlineStr">
        <is>
          <t>Grand Total</t>
        </is>
      </c>
      <c r="M25" s="6" t="n"/>
    </row>
    <row r="26">
      <c r="A26" s="6" t="n"/>
      <c r="B26" s="6" t="n"/>
      <c r="C26" s="6" t="n"/>
      <c r="D26" s="6" t="inlineStr">
        <is>
          <t>F</t>
        </is>
      </c>
      <c r="E26" s="6" t="inlineStr">
        <is>
          <t>M</t>
        </is>
      </c>
      <c r="F26" s="6" t="inlineStr">
        <is>
          <t>Total</t>
        </is>
      </c>
      <c r="G26" s="6" t="inlineStr">
        <is>
          <t>F</t>
        </is>
      </c>
      <c r="H26" s="6" t="inlineStr">
        <is>
          <t>M</t>
        </is>
      </c>
      <c r="I26" s="6" t="inlineStr">
        <is>
          <t>Total</t>
        </is>
      </c>
      <c r="J26" s="6" t="inlineStr">
        <is>
          <t>F</t>
        </is>
      </c>
      <c r="K26" s="6" t="inlineStr">
        <is>
          <t>M</t>
        </is>
      </c>
      <c r="L26" s="6" t="n"/>
      <c r="M26" s="6" t="n"/>
    </row>
    <row r="27">
      <c r="A27" s="7" t="n">
        <v>1</v>
      </c>
      <c r="B27" s="8">
        <f>B5</f>
        <v/>
      </c>
      <c r="C27" s="8">
        <f>C5</f>
        <v/>
      </c>
      <c r="D27" s="14" t="n"/>
      <c r="E27" s="14" t="n"/>
      <c r="F27" s="8">
        <f>D27+E27</f>
        <v/>
      </c>
      <c r="G27" s="14" t="n"/>
      <c r="H27" s="14" t="n"/>
      <c r="I27" s="8">
        <f>G27+H27</f>
        <v/>
      </c>
      <c r="J27" s="8">
        <f>D27+G27</f>
        <v/>
      </c>
      <c r="K27" s="8">
        <f>E27+H27</f>
        <v/>
      </c>
      <c r="L27" s="8">
        <f>J27+K27</f>
        <v/>
      </c>
      <c r="M27" s="9">
        <f>IF(C27=0,0,L27/C27*100)</f>
        <v/>
      </c>
    </row>
    <row r="28">
      <c r="A28" s="7" t="n">
        <v>2</v>
      </c>
      <c r="B28" s="8">
        <f>B6</f>
        <v/>
      </c>
      <c r="C28" s="8">
        <f>C6</f>
        <v/>
      </c>
      <c r="D28" s="14" t="n"/>
      <c r="E28" s="14" t="n"/>
      <c r="F28" s="8">
        <f>D28+E28</f>
        <v/>
      </c>
      <c r="G28" s="14" t="n"/>
      <c r="H28" s="14" t="n"/>
      <c r="I28" s="8">
        <f>G28+H28</f>
        <v/>
      </c>
      <c r="J28" s="8">
        <f>D28+G28</f>
        <v/>
      </c>
      <c r="K28" s="8">
        <f>E28+H28</f>
        <v/>
      </c>
      <c r="L28" s="8">
        <f>J28+K28</f>
        <v/>
      </c>
      <c r="M28" s="9">
        <f>IF(C28=0,0,L28/C28*100)</f>
        <v/>
      </c>
    </row>
    <row r="29">
      <c r="A29" s="7" t="n">
        <v>3</v>
      </c>
      <c r="B29" s="8">
        <f>B7</f>
        <v/>
      </c>
      <c r="C29" s="8">
        <f>C7</f>
        <v/>
      </c>
      <c r="D29" s="14" t="n"/>
      <c r="E29" s="14" t="n"/>
      <c r="F29" s="8">
        <f>D29+E29</f>
        <v/>
      </c>
      <c r="G29" s="14" t="n"/>
      <c r="H29" s="14" t="n"/>
      <c r="I29" s="8">
        <f>G29+H29</f>
        <v/>
      </c>
      <c r="J29" s="8">
        <f>D29+G29</f>
        <v/>
      </c>
      <c r="K29" s="8">
        <f>E29+H29</f>
        <v/>
      </c>
      <c r="L29" s="8">
        <f>J29+K29</f>
        <v/>
      </c>
      <c r="M29" s="9">
        <f>IF(C29=0,0,L29/C29*100)</f>
        <v/>
      </c>
    </row>
    <row r="30">
      <c r="A30" s="7" t="n">
        <v>4</v>
      </c>
      <c r="B30" s="8">
        <f>B8</f>
        <v/>
      </c>
      <c r="C30" s="8">
        <f>C8</f>
        <v/>
      </c>
      <c r="D30" s="14" t="n"/>
      <c r="E30" s="14" t="n"/>
      <c r="F30" s="8">
        <f>D30+E30</f>
        <v/>
      </c>
      <c r="G30" s="14" t="n"/>
      <c r="H30" s="14" t="n"/>
      <c r="I30" s="8">
        <f>G30+H30</f>
        <v/>
      </c>
      <c r="J30" s="8">
        <f>D30+G30</f>
        <v/>
      </c>
      <c r="K30" s="8">
        <f>E30+H30</f>
        <v/>
      </c>
      <c r="L30" s="8">
        <f>J30+K30</f>
        <v/>
      </c>
      <c r="M30" s="9">
        <f>IF(C30=0,0,L30/C30*100)</f>
        <v/>
      </c>
    </row>
    <row r="31">
      <c r="A31" s="7" t="n">
        <v>5</v>
      </c>
      <c r="B31" s="8">
        <f>B9</f>
        <v/>
      </c>
      <c r="C31" s="8">
        <f>C9</f>
        <v/>
      </c>
      <c r="D31" s="14" t="n"/>
      <c r="E31" s="14" t="n"/>
      <c r="F31" s="8">
        <f>D31+E31</f>
        <v/>
      </c>
      <c r="G31" s="14" t="n"/>
      <c r="H31" s="14" t="n"/>
      <c r="I31" s="8">
        <f>G31+H31</f>
        <v/>
      </c>
      <c r="J31" s="8">
        <f>D31+G31</f>
        <v/>
      </c>
      <c r="K31" s="8">
        <f>E31+H31</f>
        <v/>
      </c>
      <c r="L31" s="8">
        <f>J31+K31</f>
        <v/>
      </c>
      <c r="M31" s="9">
        <f>IF(C31=0,0,L31/C31*100)</f>
        <v/>
      </c>
    </row>
    <row r="32">
      <c r="A32" s="10" t="inlineStr">
        <is>
          <t>Total</t>
        </is>
      </c>
      <c r="B32" s="11">
        <f>SUM(B27:B31)</f>
        <v/>
      </c>
      <c r="C32" s="11">
        <f>SUM(C27:C31)</f>
        <v/>
      </c>
      <c r="D32" s="11">
        <f>SUM(D27:D31)</f>
        <v/>
      </c>
      <c r="E32" s="11">
        <f>SUM(E27:E31)</f>
        <v/>
      </c>
      <c r="F32" s="11">
        <f>D32+E32</f>
        <v/>
      </c>
      <c r="G32" s="11">
        <f>SUM(G27:G31)</f>
        <v/>
      </c>
      <c r="H32" s="11">
        <f>SUM(H27:H31)</f>
        <v/>
      </c>
      <c r="I32" s="11">
        <f>G32+H32</f>
        <v/>
      </c>
      <c r="J32" s="11">
        <f>D32+G32</f>
        <v/>
      </c>
      <c r="K32" s="11">
        <f>E32+H32</f>
        <v/>
      </c>
      <c r="L32" s="11">
        <f>J32+K32</f>
        <v/>
      </c>
      <c r="M32" s="12">
        <f>IF(C32=0,0,L32/C32*100)</f>
        <v/>
      </c>
    </row>
    <row r="34">
      <c r="A34" s="13" t="inlineStr">
        <is>
          <t>Day 3 - 2026-10-07 (Wed 21 Aswin 2083)</t>
        </is>
      </c>
    </row>
    <row r="35">
      <c r="A35" s="6" t="inlineStr">
        <is>
          <t>Ward no.</t>
        </is>
      </c>
      <c r="B35" s="6" t="inlineStr">
        <is>
          <t>Total population</t>
        </is>
      </c>
      <c r="C35" s="6" t="inlineStr">
        <is>
          <t>JE target population</t>
        </is>
      </c>
      <c r="D35" s="6" t="inlineStr">
        <is>
          <t>Vaccinated</t>
        </is>
      </c>
      <c r="E35" s="6" t="n"/>
      <c r="F35" s="6" t="n"/>
      <c r="G35" s="6" t="n"/>
      <c r="H35" s="6" t="n"/>
      <c r="I35" s="6" t="n"/>
      <c r="J35" s="6" t="n"/>
      <c r="K35" s="6" t="n"/>
      <c r="L35" s="6" t="n"/>
      <c r="M35" s="6" t="inlineStr">
        <is>
          <t>Progress %</t>
        </is>
      </c>
    </row>
    <row r="36">
      <c r="A36" s="6" t="n"/>
      <c r="B36" s="6" t="n"/>
      <c r="C36" s="6" t="n"/>
      <c r="D36" s="6" t="inlineStr">
        <is>
          <t>Age 30-60 yrs</t>
        </is>
      </c>
      <c r="E36" s="6" t="n"/>
      <c r="F36" s="6" t="n"/>
      <c r="G36" s="6" t="inlineStr">
        <is>
          <t>Age 60 above</t>
        </is>
      </c>
      <c r="H36" s="6" t="n"/>
      <c r="I36" s="6" t="n"/>
      <c r="J36" s="6" t="inlineStr">
        <is>
          <t>Total</t>
        </is>
      </c>
      <c r="K36" s="6" t="n"/>
      <c r="L36" s="6" t="inlineStr">
        <is>
          <t>Grand Total</t>
        </is>
      </c>
      <c r="M36" s="6" t="n"/>
    </row>
    <row r="37">
      <c r="A37" s="6" t="n"/>
      <c r="B37" s="6" t="n"/>
      <c r="C37" s="6" t="n"/>
      <c r="D37" s="6" t="inlineStr">
        <is>
          <t>F</t>
        </is>
      </c>
      <c r="E37" s="6" t="inlineStr">
        <is>
          <t>M</t>
        </is>
      </c>
      <c r="F37" s="6" t="inlineStr">
        <is>
          <t>Total</t>
        </is>
      </c>
      <c r="G37" s="6" t="inlineStr">
        <is>
          <t>F</t>
        </is>
      </c>
      <c r="H37" s="6" t="inlineStr">
        <is>
          <t>M</t>
        </is>
      </c>
      <c r="I37" s="6" t="inlineStr">
        <is>
          <t>Total</t>
        </is>
      </c>
      <c r="J37" s="6" t="inlineStr">
        <is>
          <t>F</t>
        </is>
      </c>
      <c r="K37" s="6" t="inlineStr">
        <is>
          <t>M</t>
        </is>
      </c>
      <c r="L37" s="6" t="n"/>
      <c r="M37" s="6" t="n"/>
    </row>
    <row r="38">
      <c r="A38" s="7" t="n">
        <v>1</v>
      </c>
      <c r="B38" s="8">
        <f>B5</f>
        <v/>
      </c>
      <c r="C38" s="8">
        <f>C5</f>
        <v/>
      </c>
      <c r="D38" s="14" t="n"/>
      <c r="E38" s="14" t="n"/>
      <c r="F38" s="8">
        <f>D38+E38</f>
        <v/>
      </c>
      <c r="G38" s="14" t="n"/>
      <c r="H38" s="14" t="n"/>
      <c r="I38" s="8">
        <f>G38+H38</f>
        <v/>
      </c>
      <c r="J38" s="8">
        <f>D38+G38</f>
        <v/>
      </c>
      <c r="K38" s="8">
        <f>E38+H38</f>
        <v/>
      </c>
      <c r="L38" s="8">
        <f>J38+K38</f>
        <v/>
      </c>
      <c r="M38" s="9">
        <f>IF(C38=0,0,L38/C38*100)</f>
        <v/>
      </c>
    </row>
    <row r="39">
      <c r="A39" s="7" t="n">
        <v>2</v>
      </c>
      <c r="B39" s="8">
        <f>B6</f>
        <v/>
      </c>
      <c r="C39" s="8">
        <f>C6</f>
        <v/>
      </c>
      <c r="D39" s="14" t="n"/>
      <c r="E39" s="14" t="n"/>
      <c r="F39" s="8">
        <f>D39+E39</f>
        <v/>
      </c>
      <c r="G39" s="14" t="n"/>
      <c r="H39" s="14" t="n"/>
      <c r="I39" s="8">
        <f>G39+H39</f>
        <v/>
      </c>
      <c r="J39" s="8">
        <f>D39+G39</f>
        <v/>
      </c>
      <c r="K39" s="8">
        <f>E39+H39</f>
        <v/>
      </c>
      <c r="L39" s="8">
        <f>J39+K39</f>
        <v/>
      </c>
      <c r="M39" s="9">
        <f>IF(C39=0,0,L39/C39*100)</f>
        <v/>
      </c>
    </row>
    <row r="40">
      <c r="A40" s="7" t="n">
        <v>3</v>
      </c>
      <c r="B40" s="8">
        <f>B7</f>
        <v/>
      </c>
      <c r="C40" s="8">
        <f>C7</f>
        <v/>
      </c>
      <c r="D40" s="14" t="n"/>
      <c r="E40" s="14" t="n"/>
      <c r="F40" s="8">
        <f>D40+E40</f>
        <v/>
      </c>
      <c r="G40" s="14" t="n"/>
      <c r="H40" s="14" t="n"/>
      <c r="I40" s="8">
        <f>G40+H40</f>
        <v/>
      </c>
      <c r="J40" s="8">
        <f>D40+G40</f>
        <v/>
      </c>
      <c r="K40" s="8">
        <f>E40+H40</f>
        <v/>
      </c>
      <c r="L40" s="8">
        <f>J40+K40</f>
        <v/>
      </c>
      <c r="M40" s="9">
        <f>IF(C40=0,0,L40/C40*100)</f>
        <v/>
      </c>
    </row>
    <row r="41">
      <c r="A41" s="7" t="n">
        <v>4</v>
      </c>
      <c r="B41" s="8">
        <f>B8</f>
        <v/>
      </c>
      <c r="C41" s="8">
        <f>C8</f>
        <v/>
      </c>
      <c r="D41" s="14" t="n"/>
      <c r="E41" s="14" t="n"/>
      <c r="F41" s="8">
        <f>D41+E41</f>
        <v/>
      </c>
      <c r="G41" s="14" t="n"/>
      <c r="H41" s="14" t="n"/>
      <c r="I41" s="8">
        <f>G41+H41</f>
        <v/>
      </c>
      <c r="J41" s="8">
        <f>D41+G41</f>
        <v/>
      </c>
      <c r="K41" s="8">
        <f>E41+H41</f>
        <v/>
      </c>
      <c r="L41" s="8">
        <f>J41+K41</f>
        <v/>
      </c>
      <c r="M41" s="9">
        <f>IF(C41=0,0,L41/C41*100)</f>
        <v/>
      </c>
    </row>
    <row r="42">
      <c r="A42" s="7" t="n">
        <v>5</v>
      </c>
      <c r="B42" s="8">
        <f>B9</f>
        <v/>
      </c>
      <c r="C42" s="8">
        <f>C9</f>
        <v/>
      </c>
      <c r="D42" s="14" t="n"/>
      <c r="E42" s="14" t="n"/>
      <c r="F42" s="8">
        <f>D42+E42</f>
        <v/>
      </c>
      <c r="G42" s="14" t="n"/>
      <c r="H42" s="14" t="n"/>
      <c r="I42" s="8">
        <f>G42+H42</f>
        <v/>
      </c>
      <c r="J42" s="8">
        <f>D42+G42</f>
        <v/>
      </c>
      <c r="K42" s="8">
        <f>E42+H42</f>
        <v/>
      </c>
      <c r="L42" s="8">
        <f>J42+K42</f>
        <v/>
      </c>
      <c r="M42" s="9">
        <f>IF(C42=0,0,L42/C42*100)</f>
        <v/>
      </c>
    </row>
    <row r="43">
      <c r="A43" s="10" t="inlineStr">
        <is>
          <t>Total</t>
        </is>
      </c>
      <c r="B43" s="11">
        <f>SUM(B38:B42)</f>
        <v/>
      </c>
      <c r="C43" s="11">
        <f>SUM(C38:C42)</f>
        <v/>
      </c>
      <c r="D43" s="11">
        <f>SUM(D38:D42)</f>
        <v/>
      </c>
      <c r="E43" s="11">
        <f>SUM(E38:E42)</f>
        <v/>
      </c>
      <c r="F43" s="11">
        <f>D43+E43</f>
        <v/>
      </c>
      <c r="G43" s="11">
        <f>SUM(G38:G42)</f>
        <v/>
      </c>
      <c r="H43" s="11">
        <f>SUM(H38:H42)</f>
        <v/>
      </c>
      <c r="I43" s="11">
        <f>G43+H43</f>
        <v/>
      </c>
      <c r="J43" s="11">
        <f>D43+G43</f>
        <v/>
      </c>
      <c r="K43" s="11">
        <f>E43+H43</f>
        <v/>
      </c>
      <c r="L43" s="11">
        <f>J43+K43</f>
        <v/>
      </c>
      <c r="M43" s="12">
        <f>IF(C43=0,0,L43/C43*100)</f>
        <v/>
      </c>
    </row>
    <row r="45">
      <c r="A45" s="13" t="inlineStr">
        <is>
          <t>Day 4 - 2026-10-08 (Thu 22 Aswin 2083)</t>
        </is>
      </c>
    </row>
    <row r="46">
      <c r="A46" s="6" t="inlineStr">
        <is>
          <t>Ward no.</t>
        </is>
      </c>
      <c r="B46" s="6" t="inlineStr">
        <is>
          <t>Total population</t>
        </is>
      </c>
      <c r="C46" s="6" t="inlineStr">
        <is>
          <t>JE target population</t>
        </is>
      </c>
      <c r="D46" s="6" t="inlineStr">
        <is>
          <t>Vaccinated</t>
        </is>
      </c>
      <c r="E46" s="6" t="n"/>
      <c r="F46" s="6" t="n"/>
      <c r="G46" s="6" t="n"/>
      <c r="H46" s="6" t="n"/>
      <c r="I46" s="6" t="n"/>
      <c r="J46" s="6" t="n"/>
      <c r="K46" s="6" t="n"/>
      <c r="L46" s="6" t="n"/>
      <c r="M46" s="6" t="inlineStr">
        <is>
          <t>Progress %</t>
        </is>
      </c>
    </row>
    <row r="47">
      <c r="A47" s="6" t="n"/>
      <c r="B47" s="6" t="n"/>
      <c r="C47" s="6" t="n"/>
      <c r="D47" s="6" t="inlineStr">
        <is>
          <t>Age 30-60 yrs</t>
        </is>
      </c>
      <c r="E47" s="6" t="n"/>
      <c r="F47" s="6" t="n"/>
      <c r="G47" s="6" t="inlineStr">
        <is>
          <t>Age 60 above</t>
        </is>
      </c>
      <c r="H47" s="6" t="n"/>
      <c r="I47" s="6" t="n"/>
      <c r="J47" s="6" t="inlineStr">
        <is>
          <t>Total</t>
        </is>
      </c>
      <c r="K47" s="6" t="n"/>
      <c r="L47" s="6" t="inlineStr">
        <is>
          <t>Grand Total</t>
        </is>
      </c>
      <c r="M47" s="6" t="n"/>
    </row>
    <row r="48">
      <c r="A48" s="6" t="n"/>
      <c r="B48" s="6" t="n"/>
      <c r="C48" s="6" t="n"/>
      <c r="D48" s="6" t="inlineStr">
        <is>
          <t>F</t>
        </is>
      </c>
      <c r="E48" s="6" t="inlineStr">
        <is>
          <t>M</t>
        </is>
      </c>
      <c r="F48" s="6" t="inlineStr">
        <is>
          <t>Total</t>
        </is>
      </c>
      <c r="G48" s="6" t="inlineStr">
        <is>
          <t>F</t>
        </is>
      </c>
      <c r="H48" s="6" t="inlineStr">
        <is>
          <t>M</t>
        </is>
      </c>
      <c r="I48" s="6" t="inlineStr">
        <is>
          <t>Total</t>
        </is>
      </c>
      <c r="J48" s="6" t="inlineStr">
        <is>
          <t>F</t>
        </is>
      </c>
      <c r="K48" s="6" t="inlineStr">
        <is>
          <t>M</t>
        </is>
      </c>
      <c r="L48" s="6" t="n"/>
      <c r="M48" s="6" t="n"/>
    </row>
    <row r="49">
      <c r="A49" s="7" t="n">
        <v>1</v>
      </c>
      <c r="B49" s="8">
        <f>B5</f>
        <v/>
      </c>
      <c r="C49" s="8">
        <f>C5</f>
        <v/>
      </c>
      <c r="D49" s="14" t="n"/>
      <c r="E49" s="14" t="n"/>
      <c r="F49" s="8">
        <f>D49+E49</f>
        <v/>
      </c>
      <c r="G49" s="14" t="n"/>
      <c r="H49" s="14" t="n"/>
      <c r="I49" s="8">
        <f>G49+H49</f>
        <v/>
      </c>
      <c r="J49" s="8">
        <f>D49+G49</f>
        <v/>
      </c>
      <c r="K49" s="8">
        <f>E49+H49</f>
        <v/>
      </c>
      <c r="L49" s="8">
        <f>J49+K49</f>
        <v/>
      </c>
      <c r="M49" s="9">
        <f>IF(C49=0,0,L49/C49*100)</f>
        <v/>
      </c>
    </row>
    <row r="50">
      <c r="A50" s="7" t="n">
        <v>2</v>
      </c>
      <c r="B50" s="8">
        <f>B6</f>
        <v/>
      </c>
      <c r="C50" s="8">
        <f>C6</f>
        <v/>
      </c>
      <c r="D50" s="14" t="n"/>
      <c r="E50" s="14" t="n"/>
      <c r="F50" s="8">
        <f>D50+E50</f>
        <v/>
      </c>
      <c r="G50" s="14" t="n"/>
      <c r="H50" s="14" t="n"/>
      <c r="I50" s="8">
        <f>G50+H50</f>
        <v/>
      </c>
      <c r="J50" s="8">
        <f>D50+G50</f>
        <v/>
      </c>
      <c r="K50" s="8">
        <f>E50+H50</f>
        <v/>
      </c>
      <c r="L50" s="8">
        <f>J50+K50</f>
        <v/>
      </c>
      <c r="M50" s="9">
        <f>IF(C50=0,0,L50/C50*100)</f>
        <v/>
      </c>
    </row>
    <row r="51">
      <c r="A51" s="7" t="n">
        <v>3</v>
      </c>
      <c r="B51" s="8">
        <f>B7</f>
        <v/>
      </c>
      <c r="C51" s="8">
        <f>C7</f>
        <v/>
      </c>
      <c r="D51" s="14" t="n"/>
      <c r="E51" s="14" t="n"/>
      <c r="F51" s="8">
        <f>D51+E51</f>
        <v/>
      </c>
      <c r="G51" s="14" t="n"/>
      <c r="H51" s="14" t="n"/>
      <c r="I51" s="8">
        <f>G51+H51</f>
        <v/>
      </c>
      <c r="J51" s="8">
        <f>D51+G51</f>
        <v/>
      </c>
      <c r="K51" s="8">
        <f>E51+H51</f>
        <v/>
      </c>
      <c r="L51" s="8">
        <f>J51+K51</f>
        <v/>
      </c>
      <c r="M51" s="9">
        <f>IF(C51=0,0,L51/C51*100)</f>
        <v/>
      </c>
    </row>
    <row r="52">
      <c r="A52" s="7" t="n">
        <v>4</v>
      </c>
      <c r="B52" s="8">
        <f>B8</f>
        <v/>
      </c>
      <c r="C52" s="8">
        <f>C8</f>
        <v/>
      </c>
      <c r="D52" s="14" t="n"/>
      <c r="E52" s="14" t="n"/>
      <c r="F52" s="8">
        <f>D52+E52</f>
        <v/>
      </c>
      <c r="G52" s="14" t="n"/>
      <c r="H52" s="14" t="n"/>
      <c r="I52" s="8">
        <f>G52+H52</f>
        <v/>
      </c>
      <c r="J52" s="8">
        <f>D52+G52</f>
        <v/>
      </c>
      <c r="K52" s="8">
        <f>E52+H52</f>
        <v/>
      </c>
      <c r="L52" s="8">
        <f>J52+K52</f>
        <v/>
      </c>
      <c r="M52" s="9">
        <f>IF(C52=0,0,L52/C52*100)</f>
        <v/>
      </c>
    </row>
    <row r="53">
      <c r="A53" s="7" t="n">
        <v>5</v>
      </c>
      <c r="B53" s="8">
        <f>B9</f>
        <v/>
      </c>
      <c r="C53" s="8">
        <f>C9</f>
        <v/>
      </c>
      <c r="D53" s="14" t="n"/>
      <c r="E53" s="14" t="n"/>
      <c r="F53" s="8">
        <f>D53+E53</f>
        <v/>
      </c>
      <c r="G53" s="14" t="n"/>
      <c r="H53" s="14" t="n"/>
      <c r="I53" s="8">
        <f>G53+H53</f>
        <v/>
      </c>
      <c r="J53" s="8">
        <f>D53+G53</f>
        <v/>
      </c>
      <c r="K53" s="8">
        <f>E53+H53</f>
        <v/>
      </c>
      <c r="L53" s="8">
        <f>J53+K53</f>
        <v/>
      </c>
      <c r="M53" s="9">
        <f>IF(C53=0,0,L53/C53*100)</f>
        <v/>
      </c>
    </row>
    <row r="54">
      <c r="A54" s="10" t="inlineStr">
        <is>
          <t>Total</t>
        </is>
      </c>
      <c r="B54" s="11">
        <f>SUM(B49:B53)</f>
        <v/>
      </c>
      <c r="C54" s="11">
        <f>SUM(C49:C53)</f>
        <v/>
      </c>
      <c r="D54" s="11">
        <f>SUM(D49:D53)</f>
        <v/>
      </c>
      <c r="E54" s="11">
        <f>SUM(E49:E53)</f>
        <v/>
      </c>
      <c r="F54" s="11">
        <f>D54+E54</f>
        <v/>
      </c>
      <c r="G54" s="11">
        <f>SUM(G49:G53)</f>
        <v/>
      </c>
      <c r="H54" s="11">
        <f>SUM(H49:H53)</f>
        <v/>
      </c>
      <c r="I54" s="11">
        <f>G54+H54</f>
        <v/>
      </c>
      <c r="J54" s="11">
        <f>D54+G54</f>
        <v/>
      </c>
      <c r="K54" s="11">
        <f>E54+H54</f>
        <v/>
      </c>
      <c r="L54" s="11">
        <f>J54+K54</f>
        <v/>
      </c>
      <c r="M54" s="12">
        <f>IF(C54=0,0,L54/C54*100)</f>
        <v/>
      </c>
    </row>
    <row r="56">
      <c r="A56" s="13" t="inlineStr">
        <is>
          <t>Day 5 - 2026-10-09 (Fri 23 Aswin 2083)</t>
        </is>
      </c>
    </row>
    <row r="57">
      <c r="A57" s="6" t="inlineStr">
        <is>
          <t>Ward no.</t>
        </is>
      </c>
      <c r="B57" s="6" t="inlineStr">
        <is>
          <t>Total population</t>
        </is>
      </c>
      <c r="C57" s="6" t="inlineStr">
        <is>
          <t>JE target population</t>
        </is>
      </c>
      <c r="D57" s="6" t="inlineStr">
        <is>
          <t>Vaccinated</t>
        </is>
      </c>
      <c r="E57" s="6" t="n"/>
      <c r="F57" s="6" t="n"/>
      <c r="G57" s="6" t="n"/>
      <c r="H57" s="6" t="n"/>
      <c r="I57" s="6" t="n"/>
      <c r="J57" s="6" t="n"/>
      <c r="K57" s="6" t="n"/>
      <c r="L57" s="6" t="n"/>
      <c r="M57" s="6" t="inlineStr">
        <is>
          <t>Progress %</t>
        </is>
      </c>
    </row>
    <row r="58">
      <c r="A58" s="6" t="n"/>
      <c r="B58" s="6" t="n"/>
      <c r="C58" s="6" t="n"/>
      <c r="D58" s="6" t="inlineStr">
        <is>
          <t>Age 30-60 yrs</t>
        </is>
      </c>
      <c r="E58" s="6" t="n"/>
      <c r="F58" s="6" t="n"/>
      <c r="G58" s="6" t="inlineStr">
        <is>
          <t>Age 60 above</t>
        </is>
      </c>
      <c r="H58" s="6" t="n"/>
      <c r="I58" s="6" t="n"/>
      <c r="J58" s="6" t="inlineStr">
        <is>
          <t>Total</t>
        </is>
      </c>
      <c r="K58" s="6" t="n"/>
      <c r="L58" s="6" t="inlineStr">
        <is>
          <t>Grand Total</t>
        </is>
      </c>
      <c r="M58" s="6" t="n"/>
    </row>
    <row r="59">
      <c r="A59" s="6" t="n"/>
      <c r="B59" s="6" t="n"/>
      <c r="C59" s="6" t="n"/>
      <c r="D59" s="6" t="inlineStr">
        <is>
          <t>F</t>
        </is>
      </c>
      <c r="E59" s="6" t="inlineStr">
        <is>
          <t>M</t>
        </is>
      </c>
      <c r="F59" s="6" t="inlineStr">
        <is>
          <t>Total</t>
        </is>
      </c>
      <c r="G59" s="6" t="inlineStr">
        <is>
          <t>F</t>
        </is>
      </c>
      <c r="H59" s="6" t="inlineStr">
        <is>
          <t>M</t>
        </is>
      </c>
      <c r="I59" s="6" t="inlineStr">
        <is>
          <t>Total</t>
        </is>
      </c>
      <c r="J59" s="6" t="inlineStr">
        <is>
          <t>F</t>
        </is>
      </c>
      <c r="K59" s="6" t="inlineStr">
        <is>
          <t>M</t>
        </is>
      </c>
      <c r="L59" s="6" t="n"/>
      <c r="M59" s="6" t="n"/>
    </row>
    <row r="60">
      <c r="A60" s="7" t="n">
        <v>1</v>
      </c>
      <c r="B60" s="8">
        <f>B5</f>
        <v/>
      </c>
      <c r="C60" s="8">
        <f>C5</f>
        <v/>
      </c>
      <c r="D60" s="14" t="n"/>
      <c r="E60" s="14" t="n"/>
      <c r="F60" s="8">
        <f>D60+E60</f>
        <v/>
      </c>
      <c r="G60" s="14" t="n"/>
      <c r="H60" s="14" t="n"/>
      <c r="I60" s="8">
        <f>G60+H60</f>
        <v/>
      </c>
      <c r="J60" s="8">
        <f>D60+G60</f>
        <v/>
      </c>
      <c r="K60" s="8">
        <f>E60+H60</f>
        <v/>
      </c>
      <c r="L60" s="8">
        <f>J60+K60</f>
        <v/>
      </c>
      <c r="M60" s="9">
        <f>IF(C60=0,0,L60/C60*100)</f>
        <v/>
      </c>
    </row>
    <row r="61">
      <c r="A61" s="7" t="n">
        <v>2</v>
      </c>
      <c r="B61" s="8">
        <f>B6</f>
        <v/>
      </c>
      <c r="C61" s="8">
        <f>C6</f>
        <v/>
      </c>
      <c r="D61" s="14" t="n"/>
      <c r="E61" s="14" t="n"/>
      <c r="F61" s="8">
        <f>D61+E61</f>
        <v/>
      </c>
      <c r="G61" s="14" t="n"/>
      <c r="H61" s="14" t="n"/>
      <c r="I61" s="8">
        <f>G61+H61</f>
        <v/>
      </c>
      <c r="J61" s="8">
        <f>D61+G61</f>
        <v/>
      </c>
      <c r="K61" s="8">
        <f>E61+H61</f>
        <v/>
      </c>
      <c r="L61" s="8">
        <f>J61+K61</f>
        <v/>
      </c>
      <c r="M61" s="9">
        <f>IF(C61=0,0,L61/C61*100)</f>
        <v/>
      </c>
    </row>
    <row r="62">
      <c r="A62" s="7" t="n">
        <v>3</v>
      </c>
      <c r="B62" s="8">
        <f>B7</f>
        <v/>
      </c>
      <c r="C62" s="8">
        <f>C7</f>
        <v/>
      </c>
      <c r="D62" s="14" t="n"/>
      <c r="E62" s="14" t="n"/>
      <c r="F62" s="8">
        <f>D62+E62</f>
        <v/>
      </c>
      <c r="G62" s="14" t="n"/>
      <c r="H62" s="14" t="n"/>
      <c r="I62" s="8">
        <f>G62+H62</f>
        <v/>
      </c>
      <c r="J62" s="8">
        <f>D62+G62</f>
        <v/>
      </c>
      <c r="K62" s="8">
        <f>E62+H62</f>
        <v/>
      </c>
      <c r="L62" s="8">
        <f>J62+K62</f>
        <v/>
      </c>
      <c r="M62" s="9">
        <f>IF(C62=0,0,L62/C62*100)</f>
        <v/>
      </c>
    </row>
    <row r="63">
      <c r="A63" s="7" t="n">
        <v>4</v>
      </c>
      <c r="B63" s="8">
        <f>B8</f>
        <v/>
      </c>
      <c r="C63" s="8">
        <f>C8</f>
        <v/>
      </c>
      <c r="D63" s="14" t="n"/>
      <c r="E63" s="14" t="n"/>
      <c r="F63" s="8">
        <f>D63+E63</f>
        <v/>
      </c>
      <c r="G63" s="14" t="n"/>
      <c r="H63" s="14" t="n"/>
      <c r="I63" s="8">
        <f>G63+H63</f>
        <v/>
      </c>
      <c r="J63" s="8">
        <f>D63+G63</f>
        <v/>
      </c>
      <c r="K63" s="8">
        <f>E63+H63</f>
        <v/>
      </c>
      <c r="L63" s="8">
        <f>J63+K63</f>
        <v/>
      </c>
      <c r="M63" s="9">
        <f>IF(C63=0,0,L63/C63*100)</f>
        <v/>
      </c>
    </row>
    <row r="64">
      <c r="A64" s="7" t="n">
        <v>5</v>
      </c>
      <c r="B64" s="8">
        <f>B9</f>
        <v/>
      </c>
      <c r="C64" s="8">
        <f>C9</f>
        <v/>
      </c>
      <c r="D64" s="14" t="n"/>
      <c r="E64" s="14" t="n"/>
      <c r="F64" s="8">
        <f>D64+E64</f>
        <v/>
      </c>
      <c r="G64" s="14" t="n"/>
      <c r="H64" s="14" t="n"/>
      <c r="I64" s="8">
        <f>G64+H64</f>
        <v/>
      </c>
      <c r="J64" s="8">
        <f>D64+G64</f>
        <v/>
      </c>
      <c r="K64" s="8">
        <f>E64+H64</f>
        <v/>
      </c>
      <c r="L64" s="8">
        <f>J64+K64</f>
        <v/>
      </c>
      <c r="M64" s="9">
        <f>IF(C64=0,0,L64/C64*100)</f>
        <v/>
      </c>
    </row>
    <row r="65">
      <c r="A65" s="10" t="inlineStr">
        <is>
          <t>Total</t>
        </is>
      </c>
      <c r="B65" s="11">
        <f>SUM(B60:B64)</f>
        <v/>
      </c>
      <c r="C65" s="11">
        <f>SUM(C60:C64)</f>
        <v/>
      </c>
      <c r="D65" s="11">
        <f>SUM(D60:D64)</f>
        <v/>
      </c>
      <c r="E65" s="11">
        <f>SUM(E60:E64)</f>
        <v/>
      </c>
      <c r="F65" s="11">
        <f>D65+E65</f>
        <v/>
      </c>
      <c r="G65" s="11">
        <f>SUM(G60:G64)</f>
        <v/>
      </c>
      <c r="H65" s="11">
        <f>SUM(H60:H64)</f>
        <v/>
      </c>
      <c r="I65" s="11">
        <f>G65+H65</f>
        <v/>
      </c>
      <c r="J65" s="11">
        <f>D65+G65</f>
        <v/>
      </c>
      <c r="K65" s="11">
        <f>E65+H65</f>
        <v/>
      </c>
      <c r="L65" s="11">
        <f>J65+K65</f>
        <v/>
      </c>
      <c r="M65" s="12">
        <f>IF(C65=0,0,L65/C65*100)</f>
        <v/>
      </c>
    </row>
    <row r="67">
      <c r="A67" s="13" t="inlineStr">
        <is>
          <t>Day 6 - 2026-10-10 (Sat 24 Aswin 2083)</t>
        </is>
      </c>
    </row>
    <row r="68">
      <c r="A68" s="6" t="inlineStr">
        <is>
          <t>Ward no.</t>
        </is>
      </c>
      <c r="B68" s="6" t="inlineStr">
        <is>
          <t>Total population</t>
        </is>
      </c>
      <c r="C68" s="6" t="inlineStr">
        <is>
          <t>JE target population</t>
        </is>
      </c>
      <c r="D68" s="6" t="inlineStr">
        <is>
          <t>Vaccinated</t>
        </is>
      </c>
      <c r="E68" s="6" t="n"/>
      <c r="F68" s="6" t="n"/>
      <c r="G68" s="6" t="n"/>
      <c r="H68" s="6" t="n"/>
      <c r="I68" s="6" t="n"/>
      <c r="J68" s="6" t="n"/>
      <c r="K68" s="6" t="n"/>
      <c r="L68" s="6" t="n"/>
      <c r="M68" s="6" t="inlineStr">
        <is>
          <t>Progress %</t>
        </is>
      </c>
    </row>
    <row r="69">
      <c r="A69" s="6" t="n"/>
      <c r="B69" s="6" t="n"/>
      <c r="C69" s="6" t="n"/>
      <c r="D69" s="6" t="inlineStr">
        <is>
          <t>Age 30-60 yrs</t>
        </is>
      </c>
      <c r="E69" s="6" t="n"/>
      <c r="F69" s="6" t="n"/>
      <c r="G69" s="6" t="inlineStr">
        <is>
          <t>Age 60 above</t>
        </is>
      </c>
      <c r="H69" s="6" t="n"/>
      <c r="I69" s="6" t="n"/>
      <c r="J69" s="6" t="inlineStr">
        <is>
          <t>Total</t>
        </is>
      </c>
      <c r="K69" s="6" t="n"/>
      <c r="L69" s="6" t="inlineStr">
        <is>
          <t>Grand Total</t>
        </is>
      </c>
      <c r="M69" s="6" t="n"/>
    </row>
    <row r="70">
      <c r="A70" s="6" t="n"/>
      <c r="B70" s="6" t="n"/>
      <c r="C70" s="6" t="n"/>
      <c r="D70" s="6" t="inlineStr">
        <is>
          <t>F</t>
        </is>
      </c>
      <c r="E70" s="6" t="inlineStr">
        <is>
          <t>M</t>
        </is>
      </c>
      <c r="F70" s="6" t="inlineStr">
        <is>
          <t>Total</t>
        </is>
      </c>
      <c r="G70" s="6" t="inlineStr">
        <is>
          <t>F</t>
        </is>
      </c>
      <c r="H70" s="6" t="inlineStr">
        <is>
          <t>M</t>
        </is>
      </c>
      <c r="I70" s="6" t="inlineStr">
        <is>
          <t>Total</t>
        </is>
      </c>
      <c r="J70" s="6" t="inlineStr">
        <is>
          <t>F</t>
        </is>
      </c>
      <c r="K70" s="6" t="inlineStr">
        <is>
          <t>M</t>
        </is>
      </c>
      <c r="L70" s="6" t="n"/>
      <c r="M70" s="6" t="n"/>
    </row>
    <row r="71">
      <c r="A71" s="7" t="n">
        <v>1</v>
      </c>
      <c r="B71" s="8">
        <f>B5</f>
        <v/>
      </c>
      <c r="C71" s="8">
        <f>C5</f>
        <v/>
      </c>
      <c r="D71" s="14" t="n"/>
      <c r="E71" s="14" t="n"/>
      <c r="F71" s="8">
        <f>D71+E71</f>
        <v/>
      </c>
      <c r="G71" s="14" t="n"/>
      <c r="H71" s="14" t="n"/>
      <c r="I71" s="8">
        <f>G71+H71</f>
        <v/>
      </c>
      <c r="J71" s="8">
        <f>D71+G71</f>
        <v/>
      </c>
      <c r="K71" s="8">
        <f>E71+H71</f>
        <v/>
      </c>
      <c r="L71" s="8">
        <f>J71+K71</f>
        <v/>
      </c>
      <c r="M71" s="9">
        <f>IF(C71=0,0,L71/C71*100)</f>
        <v/>
      </c>
    </row>
    <row r="72">
      <c r="A72" s="7" t="n">
        <v>2</v>
      </c>
      <c r="B72" s="8">
        <f>B6</f>
        <v/>
      </c>
      <c r="C72" s="8">
        <f>C6</f>
        <v/>
      </c>
      <c r="D72" s="14" t="n"/>
      <c r="E72" s="14" t="n"/>
      <c r="F72" s="8">
        <f>D72+E72</f>
        <v/>
      </c>
      <c r="G72" s="14" t="n"/>
      <c r="H72" s="14" t="n"/>
      <c r="I72" s="8">
        <f>G72+H72</f>
        <v/>
      </c>
      <c r="J72" s="8">
        <f>D72+G72</f>
        <v/>
      </c>
      <c r="K72" s="8">
        <f>E72+H72</f>
        <v/>
      </c>
      <c r="L72" s="8">
        <f>J72+K72</f>
        <v/>
      </c>
      <c r="M72" s="9">
        <f>IF(C72=0,0,L72/C72*100)</f>
        <v/>
      </c>
    </row>
    <row r="73">
      <c r="A73" s="7" t="n">
        <v>3</v>
      </c>
      <c r="B73" s="8">
        <f>B7</f>
        <v/>
      </c>
      <c r="C73" s="8">
        <f>C7</f>
        <v/>
      </c>
      <c r="D73" s="14" t="n"/>
      <c r="E73" s="14" t="n"/>
      <c r="F73" s="8">
        <f>D73+E73</f>
        <v/>
      </c>
      <c r="G73" s="14" t="n"/>
      <c r="H73" s="14" t="n"/>
      <c r="I73" s="8">
        <f>G73+H73</f>
        <v/>
      </c>
      <c r="J73" s="8">
        <f>D73+G73</f>
        <v/>
      </c>
      <c r="K73" s="8">
        <f>E73+H73</f>
        <v/>
      </c>
      <c r="L73" s="8">
        <f>J73+K73</f>
        <v/>
      </c>
      <c r="M73" s="9">
        <f>IF(C73=0,0,L73/C73*100)</f>
        <v/>
      </c>
    </row>
    <row r="74">
      <c r="A74" s="7" t="n">
        <v>4</v>
      </c>
      <c r="B74" s="8">
        <f>B8</f>
        <v/>
      </c>
      <c r="C74" s="8">
        <f>C8</f>
        <v/>
      </c>
      <c r="D74" s="14" t="n"/>
      <c r="E74" s="14" t="n"/>
      <c r="F74" s="8">
        <f>D74+E74</f>
        <v/>
      </c>
      <c r="G74" s="14" t="n"/>
      <c r="H74" s="14" t="n"/>
      <c r="I74" s="8">
        <f>G74+H74</f>
        <v/>
      </c>
      <c r="J74" s="8">
        <f>D74+G74</f>
        <v/>
      </c>
      <c r="K74" s="8">
        <f>E74+H74</f>
        <v/>
      </c>
      <c r="L74" s="8">
        <f>J74+K74</f>
        <v/>
      </c>
      <c r="M74" s="9">
        <f>IF(C74=0,0,L74/C74*100)</f>
        <v/>
      </c>
    </row>
    <row r="75">
      <c r="A75" s="7" t="n">
        <v>5</v>
      </c>
      <c r="B75" s="8">
        <f>B9</f>
        <v/>
      </c>
      <c r="C75" s="8">
        <f>C9</f>
        <v/>
      </c>
      <c r="D75" s="14" t="n"/>
      <c r="E75" s="14" t="n"/>
      <c r="F75" s="8">
        <f>D75+E75</f>
        <v/>
      </c>
      <c r="G75" s="14" t="n"/>
      <c r="H75" s="14" t="n"/>
      <c r="I75" s="8">
        <f>G75+H75</f>
        <v/>
      </c>
      <c r="J75" s="8">
        <f>D75+G75</f>
        <v/>
      </c>
      <c r="K75" s="8">
        <f>E75+H75</f>
        <v/>
      </c>
      <c r="L75" s="8">
        <f>J75+K75</f>
        <v/>
      </c>
      <c r="M75" s="9">
        <f>IF(C75=0,0,L75/C75*100)</f>
        <v/>
      </c>
    </row>
    <row r="76">
      <c r="A76" s="10" t="inlineStr">
        <is>
          <t>Total</t>
        </is>
      </c>
      <c r="B76" s="11">
        <f>SUM(B71:B75)</f>
        <v/>
      </c>
      <c r="C76" s="11">
        <f>SUM(C71:C75)</f>
        <v/>
      </c>
      <c r="D76" s="11">
        <f>SUM(D71:D75)</f>
        <v/>
      </c>
      <c r="E76" s="11">
        <f>SUM(E71:E75)</f>
        <v/>
      </c>
      <c r="F76" s="11">
        <f>D76+E76</f>
        <v/>
      </c>
      <c r="G76" s="11">
        <f>SUM(G71:G75)</f>
        <v/>
      </c>
      <c r="H76" s="11">
        <f>SUM(H71:H75)</f>
        <v/>
      </c>
      <c r="I76" s="11">
        <f>G76+H76</f>
        <v/>
      </c>
      <c r="J76" s="11">
        <f>D76+G76</f>
        <v/>
      </c>
      <c r="K76" s="11">
        <f>E76+H76</f>
        <v/>
      </c>
      <c r="L76" s="11">
        <f>J76+K76</f>
        <v/>
      </c>
      <c r="M76" s="12">
        <f>IF(C76=0,0,L76/C76*100)</f>
        <v/>
      </c>
    </row>
    <row r="78">
      <c r="A78" s="13" t="inlineStr">
        <is>
          <t>Day 7 - 2026-10-11 (Sun 25 Aswin 2083)</t>
        </is>
      </c>
    </row>
    <row r="79">
      <c r="A79" s="6" t="inlineStr">
        <is>
          <t>Ward no.</t>
        </is>
      </c>
      <c r="B79" s="6" t="inlineStr">
        <is>
          <t>Total population</t>
        </is>
      </c>
      <c r="C79" s="6" t="inlineStr">
        <is>
          <t>JE target population</t>
        </is>
      </c>
      <c r="D79" s="6" t="inlineStr">
        <is>
          <t>Vaccinated</t>
        </is>
      </c>
      <c r="E79" s="6" t="n"/>
      <c r="F79" s="6" t="n"/>
      <c r="G79" s="6" t="n"/>
      <c r="H79" s="6" t="n"/>
      <c r="I79" s="6" t="n"/>
      <c r="J79" s="6" t="n"/>
      <c r="K79" s="6" t="n"/>
      <c r="L79" s="6" t="n"/>
      <c r="M79" s="6" t="inlineStr">
        <is>
          <t>Progress %</t>
        </is>
      </c>
    </row>
    <row r="80">
      <c r="A80" s="6" t="n"/>
      <c r="B80" s="6" t="n"/>
      <c r="C80" s="6" t="n"/>
      <c r="D80" s="6" t="inlineStr">
        <is>
          <t>Age 30-60 yrs</t>
        </is>
      </c>
      <c r="E80" s="6" t="n"/>
      <c r="F80" s="6" t="n"/>
      <c r="G80" s="6" t="inlineStr">
        <is>
          <t>Age 60 above</t>
        </is>
      </c>
      <c r="H80" s="6" t="n"/>
      <c r="I80" s="6" t="n"/>
      <c r="J80" s="6" t="inlineStr">
        <is>
          <t>Total</t>
        </is>
      </c>
      <c r="K80" s="6" t="n"/>
      <c r="L80" s="6" t="inlineStr">
        <is>
          <t>Grand Total</t>
        </is>
      </c>
      <c r="M80" s="6" t="n"/>
    </row>
    <row r="81">
      <c r="A81" s="6" t="n"/>
      <c r="B81" s="6" t="n"/>
      <c r="C81" s="6" t="n"/>
      <c r="D81" s="6" t="inlineStr">
        <is>
          <t>F</t>
        </is>
      </c>
      <c r="E81" s="6" t="inlineStr">
        <is>
          <t>M</t>
        </is>
      </c>
      <c r="F81" s="6" t="inlineStr">
        <is>
          <t>Total</t>
        </is>
      </c>
      <c r="G81" s="6" t="inlineStr">
        <is>
          <t>F</t>
        </is>
      </c>
      <c r="H81" s="6" t="inlineStr">
        <is>
          <t>M</t>
        </is>
      </c>
      <c r="I81" s="6" t="inlineStr">
        <is>
          <t>Total</t>
        </is>
      </c>
      <c r="J81" s="6" t="inlineStr">
        <is>
          <t>F</t>
        </is>
      </c>
      <c r="K81" s="6" t="inlineStr">
        <is>
          <t>M</t>
        </is>
      </c>
      <c r="L81" s="6" t="n"/>
      <c r="M81" s="6" t="n"/>
    </row>
    <row r="82">
      <c r="A82" s="7" t="n">
        <v>1</v>
      </c>
      <c r="B82" s="8">
        <f>B5</f>
        <v/>
      </c>
      <c r="C82" s="8">
        <f>C5</f>
        <v/>
      </c>
      <c r="D82" s="14" t="n"/>
      <c r="E82" s="14" t="n"/>
      <c r="F82" s="8">
        <f>D82+E82</f>
        <v/>
      </c>
      <c r="G82" s="14" t="n"/>
      <c r="H82" s="14" t="n"/>
      <c r="I82" s="8">
        <f>G82+H82</f>
        <v/>
      </c>
      <c r="J82" s="8">
        <f>D82+G82</f>
        <v/>
      </c>
      <c r="K82" s="8">
        <f>E82+H82</f>
        <v/>
      </c>
      <c r="L82" s="8">
        <f>J82+K82</f>
        <v/>
      </c>
      <c r="M82" s="9">
        <f>IF(C82=0,0,L82/C82*100)</f>
        <v/>
      </c>
    </row>
    <row r="83">
      <c r="A83" s="7" t="n">
        <v>2</v>
      </c>
      <c r="B83" s="8">
        <f>B6</f>
        <v/>
      </c>
      <c r="C83" s="8">
        <f>C6</f>
        <v/>
      </c>
      <c r="D83" s="14" t="n"/>
      <c r="E83" s="14" t="n"/>
      <c r="F83" s="8">
        <f>D83+E83</f>
        <v/>
      </c>
      <c r="G83" s="14" t="n"/>
      <c r="H83" s="14" t="n"/>
      <c r="I83" s="8">
        <f>G83+H83</f>
        <v/>
      </c>
      <c r="J83" s="8">
        <f>D83+G83</f>
        <v/>
      </c>
      <c r="K83" s="8">
        <f>E83+H83</f>
        <v/>
      </c>
      <c r="L83" s="8">
        <f>J83+K83</f>
        <v/>
      </c>
      <c r="M83" s="9">
        <f>IF(C83=0,0,L83/C83*100)</f>
        <v/>
      </c>
    </row>
    <row r="84">
      <c r="A84" s="7" t="n">
        <v>3</v>
      </c>
      <c r="B84" s="8">
        <f>B7</f>
        <v/>
      </c>
      <c r="C84" s="8">
        <f>C7</f>
        <v/>
      </c>
      <c r="D84" s="14" t="n"/>
      <c r="E84" s="14" t="n"/>
      <c r="F84" s="8">
        <f>D84+E84</f>
        <v/>
      </c>
      <c r="G84" s="14" t="n"/>
      <c r="H84" s="14" t="n"/>
      <c r="I84" s="8">
        <f>G84+H84</f>
        <v/>
      </c>
      <c r="J84" s="8">
        <f>D84+G84</f>
        <v/>
      </c>
      <c r="K84" s="8">
        <f>E84+H84</f>
        <v/>
      </c>
      <c r="L84" s="8">
        <f>J84+K84</f>
        <v/>
      </c>
      <c r="M84" s="9">
        <f>IF(C84=0,0,L84/C84*100)</f>
        <v/>
      </c>
    </row>
    <row r="85">
      <c r="A85" s="7" t="n">
        <v>4</v>
      </c>
      <c r="B85" s="8">
        <f>B8</f>
        <v/>
      </c>
      <c r="C85" s="8">
        <f>C8</f>
        <v/>
      </c>
      <c r="D85" s="14" t="n"/>
      <c r="E85" s="14" t="n"/>
      <c r="F85" s="8">
        <f>D85+E85</f>
        <v/>
      </c>
      <c r="G85" s="14" t="n"/>
      <c r="H85" s="14" t="n"/>
      <c r="I85" s="8">
        <f>G85+H85</f>
        <v/>
      </c>
      <c r="J85" s="8">
        <f>D85+G85</f>
        <v/>
      </c>
      <c r="K85" s="8">
        <f>E85+H85</f>
        <v/>
      </c>
      <c r="L85" s="8">
        <f>J85+K85</f>
        <v/>
      </c>
      <c r="M85" s="9">
        <f>IF(C85=0,0,L85/C85*100)</f>
        <v/>
      </c>
    </row>
    <row r="86">
      <c r="A86" s="7" t="n">
        <v>5</v>
      </c>
      <c r="B86" s="8">
        <f>B9</f>
        <v/>
      </c>
      <c r="C86" s="8">
        <f>C9</f>
        <v/>
      </c>
      <c r="D86" s="14" t="n"/>
      <c r="E86" s="14" t="n"/>
      <c r="F86" s="8">
        <f>D86+E86</f>
        <v/>
      </c>
      <c r="G86" s="14" t="n"/>
      <c r="H86" s="14" t="n"/>
      <c r="I86" s="8">
        <f>G86+H86</f>
        <v/>
      </c>
      <c r="J86" s="8">
        <f>D86+G86</f>
        <v/>
      </c>
      <c r="K86" s="8">
        <f>E86+H86</f>
        <v/>
      </c>
      <c r="L86" s="8">
        <f>J86+K86</f>
        <v/>
      </c>
      <c r="M86" s="9">
        <f>IF(C86=0,0,L86/C86*100)</f>
        <v/>
      </c>
    </row>
    <row r="87">
      <c r="A87" s="10" t="inlineStr">
        <is>
          <t>Total</t>
        </is>
      </c>
      <c r="B87" s="11">
        <f>SUM(B82:B86)</f>
        <v/>
      </c>
      <c r="C87" s="11">
        <f>SUM(C82:C86)</f>
        <v/>
      </c>
      <c r="D87" s="11">
        <f>SUM(D82:D86)</f>
        <v/>
      </c>
      <c r="E87" s="11">
        <f>SUM(E82:E86)</f>
        <v/>
      </c>
      <c r="F87" s="11">
        <f>D87+E87</f>
        <v/>
      </c>
      <c r="G87" s="11">
        <f>SUM(G82:G86)</f>
        <v/>
      </c>
      <c r="H87" s="11">
        <f>SUM(H82:H86)</f>
        <v/>
      </c>
      <c r="I87" s="11">
        <f>G87+H87</f>
        <v/>
      </c>
      <c r="J87" s="11">
        <f>D87+G87</f>
        <v/>
      </c>
      <c r="K87" s="11">
        <f>E87+H87</f>
        <v/>
      </c>
      <c r="L87" s="11">
        <f>J87+K87</f>
        <v/>
      </c>
      <c r="M87" s="12">
        <f>IF(C87=0,0,L87/C87*100)</f>
        <v/>
      </c>
    </row>
    <row r="89">
      <c r="A89" s="13" t="inlineStr">
        <is>
          <t>Day 8 - 2026-10-12 (Mon 26 Aswin 2083)</t>
        </is>
      </c>
    </row>
    <row r="90">
      <c r="A90" s="6" t="inlineStr">
        <is>
          <t>Ward no.</t>
        </is>
      </c>
      <c r="B90" s="6" t="inlineStr">
        <is>
          <t>Total population</t>
        </is>
      </c>
      <c r="C90" s="6" t="inlineStr">
        <is>
          <t>JE target population</t>
        </is>
      </c>
      <c r="D90" s="6" t="inlineStr">
        <is>
          <t>Vaccinated</t>
        </is>
      </c>
      <c r="E90" s="6" t="n"/>
      <c r="F90" s="6" t="n"/>
      <c r="G90" s="6" t="n"/>
      <c r="H90" s="6" t="n"/>
      <c r="I90" s="6" t="n"/>
      <c r="J90" s="6" t="n"/>
      <c r="K90" s="6" t="n"/>
      <c r="L90" s="6" t="n"/>
      <c r="M90" s="6" t="inlineStr">
        <is>
          <t>Progress %</t>
        </is>
      </c>
    </row>
    <row r="91">
      <c r="A91" s="6" t="n"/>
      <c r="B91" s="6" t="n"/>
      <c r="C91" s="6" t="n"/>
      <c r="D91" s="6" t="inlineStr">
        <is>
          <t>Age 30-60 yrs</t>
        </is>
      </c>
      <c r="E91" s="6" t="n"/>
      <c r="F91" s="6" t="n"/>
      <c r="G91" s="6" t="inlineStr">
        <is>
          <t>Age 60 above</t>
        </is>
      </c>
      <c r="H91" s="6" t="n"/>
      <c r="I91" s="6" t="n"/>
      <c r="J91" s="6" t="inlineStr">
        <is>
          <t>Total</t>
        </is>
      </c>
      <c r="K91" s="6" t="n"/>
      <c r="L91" s="6" t="inlineStr">
        <is>
          <t>Grand Total</t>
        </is>
      </c>
      <c r="M91" s="6" t="n"/>
    </row>
    <row r="92">
      <c r="A92" s="6" t="n"/>
      <c r="B92" s="6" t="n"/>
      <c r="C92" s="6" t="n"/>
      <c r="D92" s="6" t="inlineStr">
        <is>
          <t>F</t>
        </is>
      </c>
      <c r="E92" s="6" t="inlineStr">
        <is>
          <t>M</t>
        </is>
      </c>
      <c r="F92" s="6" t="inlineStr">
        <is>
          <t>Total</t>
        </is>
      </c>
      <c r="G92" s="6" t="inlineStr">
        <is>
          <t>F</t>
        </is>
      </c>
      <c r="H92" s="6" t="inlineStr">
        <is>
          <t>M</t>
        </is>
      </c>
      <c r="I92" s="6" t="inlineStr">
        <is>
          <t>Total</t>
        </is>
      </c>
      <c r="J92" s="6" t="inlineStr">
        <is>
          <t>F</t>
        </is>
      </c>
      <c r="K92" s="6" t="inlineStr">
        <is>
          <t>M</t>
        </is>
      </c>
      <c r="L92" s="6" t="n"/>
      <c r="M92" s="6" t="n"/>
    </row>
    <row r="93">
      <c r="A93" s="7" t="n">
        <v>1</v>
      </c>
      <c r="B93" s="8">
        <f>B5</f>
        <v/>
      </c>
      <c r="C93" s="8">
        <f>C5</f>
        <v/>
      </c>
      <c r="D93" s="14" t="n"/>
      <c r="E93" s="14" t="n"/>
      <c r="F93" s="8">
        <f>D93+E93</f>
        <v/>
      </c>
      <c r="G93" s="14" t="n"/>
      <c r="H93" s="14" t="n"/>
      <c r="I93" s="8">
        <f>G93+H93</f>
        <v/>
      </c>
      <c r="J93" s="8">
        <f>D93+G93</f>
        <v/>
      </c>
      <c r="K93" s="8">
        <f>E93+H93</f>
        <v/>
      </c>
      <c r="L93" s="8">
        <f>J93+K93</f>
        <v/>
      </c>
      <c r="M93" s="9">
        <f>IF(C93=0,0,L93/C93*100)</f>
        <v/>
      </c>
    </row>
    <row r="94">
      <c r="A94" s="7" t="n">
        <v>2</v>
      </c>
      <c r="B94" s="8">
        <f>B6</f>
        <v/>
      </c>
      <c r="C94" s="8">
        <f>C6</f>
        <v/>
      </c>
      <c r="D94" s="14" t="n"/>
      <c r="E94" s="14" t="n"/>
      <c r="F94" s="8">
        <f>D94+E94</f>
        <v/>
      </c>
      <c r="G94" s="14" t="n"/>
      <c r="H94" s="14" t="n"/>
      <c r="I94" s="8">
        <f>G94+H94</f>
        <v/>
      </c>
      <c r="J94" s="8">
        <f>D94+G94</f>
        <v/>
      </c>
      <c r="K94" s="8">
        <f>E94+H94</f>
        <v/>
      </c>
      <c r="L94" s="8">
        <f>J94+K94</f>
        <v/>
      </c>
      <c r="M94" s="9">
        <f>IF(C94=0,0,L94/C94*100)</f>
        <v/>
      </c>
    </row>
    <row r="95">
      <c r="A95" s="7" t="n">
        <v>3</v>
      </c>
      <c r="B95" s="8">
        <f>B7</f>
        <v/>
      </c>
      <c r="C95" s="8">
        <f>C7</f>
        <v/>
      </c>
      <c r="D95" s="14" t="n"/>
      <c r="E95" s="14" t="n"/>
      <c r="F95" s="8">
        <f>D95+E95</f>
        <v/>
      </c>
      <c r="G95" s="14" t="n"/>
      <c r="H95" s="14" t="n"/>
      <c r="I95" s="8">
        <f>G95+H95</f>
        <v/>
      </c>
      <c r="J95" s="8">
        <f>D95+G95</f>
        <v/>
      </c>
      <c r="K95" s="8">
        <f>E95+H95</f>
        <v/>
      </c>
      <c r="L95" s="8">
        <f>J95+K95</f>
        <v/>
      </c>
      <c r="M95" s="9">
        <f>IF(C95=0,0,L95/C95*100)</f>
        <v/>
      </c>
    </row>
    <row r="96">
      <c r="A96" s="7" t="n">
        <v>4</v>
      </c>
      <c r="B96" s="8">
        <f>B8</f>
        <v/>
      </c>
      <c r="C96" s="8">
        <f>C8</f>
        <v/>
      </c>
      <c r="D96" s="14" t="n"/>
      <c r="E96" s="14" t="n"/>
      <c r="F96" s="8">
        <f>D96+E96</f>
        <v/>
      </c>
      <c r="G96" s="14" t="n"/>
      <c r="H96" s="14" t="n"/>
      <c r="I96" s="8">
        <f>G96+H96</f>
        <v/>
      </c>
      <c r="J96" s="8">
        <f>D96+G96</f>
        <v/>
      </c>
      <c r="K96" s="8">
        <f>E96+H96</f>
        <v/>
      </c>
      <c r="L96" s="8">
        <f>J96+K96</f>
        <v/>
      </c>
      <c r="M96" s="9">
        <f>IF(C96=0,0,L96/C96*100)</f>
        <v/>
      </c>
    </row>
    <row r="97">
      <c r="A97" s="7" t="n">
        <v>5</v>
      </c>
      <c r="B97" s="8">
        <f>B9</f>
        <v/>
      </c>
      <c r="C97" s="8">
        <f>C9</f>
        <v/>
      </c>
      <c r="D97" s="14" t="n"/>
      <c r="E97" s="14" t="n"/>
      <c r="F97" s="8">
        <f>D97+E97</f>
        <v/>
      </c>
      <c r="G97" s="14" t="n"/>
      <c r="H97" s="14" t="n"/>
      <c r="I97" s="8">
        <f>G97+H97</f>
        <v/>
      </c>
      <c r="J97" s="8">
        <f>D97+G97</f>
        <v/>
      </c>
      <c r="K97" s="8">
        <f>E97+H97</f>
        <v/>
      </c>
      <c r="L97" s="8">
        <f>J97+K97</f>
        <v/>
      </c>
      <c r="M97" s="9">
        <f>IF(C97=0,0,L97/C97*100)</f>
        <v/>
      </c>
    </row>
    <row r="98">
      <c r="A98" s="10" t="inlineStr">
        <is>
          <t>Total</t>
        </is>
      </c>
      <c r="B98" s="11">
        <f>SUM(B93:B97)</f>
        <v/>
      </c>
      <c r="C98" s="11">
        <f>SUM(C93:C97)</f>
        <v/>
      </c>
      <c r="D98" s="11">
        <f>SUM(D93:D97)</f>
        <v/>
      </c>
      <c r="E98" s="11">
        <f>SUM(E93:E97)</f>
        <v/>
      </c>
      <c r="F98" s="11">
        <f>D98+E98</f>
        <v/>
      </c>
      <c r="G98" s="11">
        <f>SUM(G93:G97)</f>
        <v/>
      </c>
      <c r="H98" s="11">
        <f>SUM(H93:H97)</f>
        <v/>
      </c>
      <c r="I98" s="11">
        <f>G98+H98</f>
        <v/>
      </c>
      <c r="J98" s="11">
        <f>D98+G98</f>
        <v/>
      </c>
      <c r="K98" s="11">
        <f>E98+H98</f>
        <v/>
      </c>
      <c r="L98" s="11">
        <f>J98+K98</f>
        <v/>
      </c>
      <c r="M98" s="12">
        <f>IF(C98=0,0,L98/C98*100)</f>
        <v/>
      </c>
    </row>
    <row r="100">
      <c r="A100" s="13" t="inlineStr">
        <is>
          <t>Day 9 - 2026-10-13 (Tue 27 Aswin 2083)</t>
        </is>
      </c>
    </row>
    <row r="101">
      <c r="A101" s="6" t="inlineStr">
        <is>
          <t>Ward no.</t>
        </is>
      </c>
      <c r="B101" s="6" t="inlineStr">
        <is>
          <t>Total population</t>
        </is>
      </c>
      <c r="C101" s="6" t="inlineStr">
        <is>
          <t>JE target population</t>
        </is>
      </c>
      <c r="D101" s="6" t="inlineStr">
        <is>
          <t>Vaccinated</t>
        </is>
      </c>
      <c r="E101" s="6" t="n"/>
      <c r="F101" s="6" t="n"/>
      <c r="G101" s="6" t="n"/>
      <c r="H101" s="6" t="n"/>
      <c r="I101" s="6" t="n"/>
      <c r="J101" s="6" t="n"/>
      <c r="K101" s="6" t="n"/>
      <c r="L101" s="6" t="n"/>
      <c r="M101" s="6" t="inlineStr">
        <is>
          <t>Progress %</t>
        </is>
      </c>
    </row>
    <row r="102">
      <c r="A102" s="6" t="n"/>
      <c r="B102" s="6" t="n"/>
      <c r="C102" s="6" t="n"/>
      <c r="D102" s="6" t="inlineStr">
        <is>
          <t>Age 30-60 yrs</t>
        </is>
      </c>
      <c r="E102" s="6" t="n"/>
      <c r="F102" s="6" t="n"/>
      <c r="G102" s="6" t="inlineStr">
        <is>
          <t>Age 60 above</t>
        </is>
      </c>
      <c r="H102" s="6" t="n"/>
      <c r="I102" s="6" t="n"/>
      <c r="J102" s="6" t="inlineStr">
        <is>
          <t>Total</t>
        </is>
      </c>
      <c r="K102" s="6" t="n"/>
      <c r="L102" s="6" t="inlineStr">
        <is>
          <t>Grand Total</t>
        </is>
      </c>
      <c r="M102" s="6" t="n"/>
    </row>
    <row r="103">
      <c r="A103" s="6" t="n"/>
      <c r="B103" s="6" t="n"/>
      <c r="C103" s="6" t="n"/>
      <c r="D103" s="6" t="inlineStr">
        <is>
          <t>F</t>
        </is>
      </c>
      <c r="E103" s="6" t="inlineStr">
        <is>
          <t>M</t>
        </is>
      </c>
      <c r="F103" s="6" t="inlineStr">
        <is>
          <t>Total</t>
        </is>
      </c>
      <c r="G103" s="6" t="inlineStr">
        <is>
          <t>F</t>
        </is>
      </c>
      <c r="H103" s="6" t="inlineStr">
        <is>
          <t>M</t>
        </is>
      </c>
      <c r="I103" s="6" t="inlineStr">
        <is>
          <t>Total</t>
        </is>
      </c>
      <c r="J103" s="6" t="inlineStr">
        <is>
          <t>F</t>
        </is>
      </c>
      <c r="K103" s="6" t="inlineStr">
        <is>
          <t>M</t>
        </is>
      </c>
      <c r="L103" s="6" t="n"/>
      <c r="M103" s="6" t="n"/>
    </row>
    <row r="104">
      <c r="A104" s="7" t="n">
        <v>1</v>
      </c>
      <c r="B104" s="8">
        <f>B5</f>
        <v/>
      </c>
      <c r="C104" s="8">
        <f>C5</f>
        <v/>
      </c>
      <c r="D104" s="14" t="n"/>
      <c r="E104" s="14" t="n"/>
      <c r="F104" s="8">
        <f>D104+E104</f>
        <v/>
      </c>
      <c r="G104" s="14" t="n"/>
      <c r="H104" s="14" t="n"/>
      <c r="I104" s="8">
        <f>G104+H104</f>
        <v/>
      </c>
      <c r="J104" s="8">
        <f>D104+G104</f>
        <v/>
      </c>
      <c r="K104" s="8">
        <f>E104+H104</f>
        <v/>
      </c>
      <c r="L104" s="8">
        <f>J104+K104</f>
        <v/>
      </c>
      <c r="M104" s="9">
        <f>IF(C104=0,0,L104/C104*100)</f>
        <v/>
      </c>
    </row>
    <row r="105">
      <c r="A105" s="7" t="n">
        <v>2</v>
      </c>
      <c r="B105" s="8">
        <f>B6</f>
        <v/>
      </c>
      <c r="C105" s="8">
        <f>C6</f>
        <v/>
      </c>
      <c r="D105" s="14" t="n"/>
      <c r="E105" s="14" t="n"/>
      <c r="F105" s="8">
        <f>D105+E105</f>
        <v/>
      </c>
      <c r="G105" s="14" t="n"/>
      <c r="H105" s="14" t="n"/>
      <c r="I105" s="8">
        <f>G105+H105</f>
        <v/>
      </c>
      <c r="J105" s="8">
        <f>D105+G105</f>
        <v/>
      </c>
      <c r="K105" s="8">
        <f>E105+H105</f>
        <v/>
      </c>
      <c r="L105" s="8">
        <f>J105+K105</f>
        <v/>
      </c>
      <c r="M105" s="9">
        <f>IF(C105=0,0,L105/C105*100)</f>
        <v/>
      </c>
    </row>
    <row r="106">
      <c r="A106" s="7" t="n">
        <v>3</v>
      </c>
      <c r="B106" s="8">
        <f>B7</f>
        <v/>
      </c>
      <c r="C106" s="8">
        <f>C7</f>
        <v/>
      </c>
      <c r="D106" s="14" t="n"/>
      <c r="E106" s="14" t="n"/>
      <c r="F106" s="8">
        <f>D106+E106</f>
        <v/>
      </c>
      <c r="G106" s="14" t="n"/>
      <c r="H106" s="14" t="n"/>
      <c r="I106" s="8">
        <f>G106+H106</f>
        <v/>
      </c>
      <c r="J106" s="8">
        <f>D106+G106</f>
        <v/>
      </c>
      <c r="K106" s="8">
        <f>E106+H106</f>
        <v/>
      </c>
      <c r="L106" s="8">
        <f>J106+K106</f>
        <v/>
      </c>
      <c r="M106" s="9">
        <f>IF(C106=0,0,L106/C106*100)</f>
        <v/>
      </c>
    </row>
    <row r="107">
      <c r="A107" s="7" t="n">
        <v>4</v>
      </c>
      <c r="B107" s="8">
        <f>B8</f>
        <v/>
      </c>
      <c r="C107" s="8">
        <f>C8</f>
        <v/>
      </c>
      <c r="D107" s="14" t="n"/>
      <c r="E107" s="14" t="n"/>
      <c r="F107" s="8">
        <f>D107+E107</f>
        <v/>
      </c>
      <c r="G107" s="14" t="n"/>
      <c r="H107" s="14" t="n"/>
      <c r="I107" s="8">
        <f>G107+H107</f>
        <v/>
      </c>
      <c r="J107" s="8">
        <f>D107+G107</f>
        <v/>
      </c>
      <c r="K107" s="8">
        <f>E107+H107</f>
        <v/>
      </c>
      <c r="L107" s="8">
        <f>J107+K107</f>
        <v/>
      </c>
      <c r="M107" s="9">
        <f>IF(C107=0,0,L107/C107*100)</f>
        <v/>
      </c>
    </row>
    <row r="108">
      <c r="A108" s="7" t="n">
        <v>5</v>
      </c>
      <c r="B108" s="8">
        <f>B9</f>
        <v/>
      </c>
      <c r="C108" s="8">
        <f>C9</f>
        <v/>
      </c>
      <c r="D108" s="14" t="n"/>
      <c r="E108" s="14" t="n"/>
      <c r="F108" s="8">
        <f>D108+E108</f>
        <v/>
      </c>
      <c r="G108" s="14" t="n"/>
      <c r="H108" s="14" t="n"/>
      <c r="I108" s="8">
        <f>G108+H108</f>
        <v/>
      </c>
      <c r="J108" s="8">
        <f>D108+G108</f>
        <v/>
      </c>
      <c r="K108" s="8">
        <f>E108+H108</f>
        <v/>
      </c>
      <c r="L108" s="8">
        <f>J108+K108</f>
        <v/>
      </c>
      <c r="M108" s="9">
        <f>IF(C108=0,0,L108/C108*100)</f>
        <v/>
      </c>
    </row>
    <row r="109">
      <c r="A109" s="10" t="inlineStr">
        <is>
          <t>Total</t>
        </is>
      </c>
      <c r="B109" s="11">
        <f>SUM(B104:B108)</f>
        <v/>
      </c>
      <c r="C109" s="11">
        <f>SUM(C104:C108)</f>
        <v/>
      </c>
      <c r="D109" s="11">
        <f>SUM(D104:D108)</f>
        <v/>
      </c>
      <c r="E109" s="11">
        <f>SUM(E104:E108)</f>
        <v/>
      </c>
      <c r="F109" s="11">
        <f>D109+E109</f>
        <v/>
      </c>
      <c r="G109" s="11">
        <f>SUM(G104:G108)</f>
        <v/>
      </c>
      <c r="H109" s="11">
        <f>SUM(H104:H108)</f>
        <v/>
      </c>
      <c r="I109" s="11">
        <f>G109+H109</f>
        <v/>
      </c>
      <c r="J109" s="11">
        <f>D109+G109</f>
        <v/>
      </c>
      <c r="K109" s="11">
        <f>E109+H109</f>
        <v/>
      </c>
      <c r="L109" s="11">
        <f>J109+K109</f>
        <v/>
      </c>
      <c r="M109" s="12">
        <f>IF(C109=0,0,L109/C109*100)</f>
        <v/>
      </c>
    </row>
    <row r="111">
      <c r="A111" s="13" t="inlineStr">
        <is>
          <t>Day 10 - 2026-10-14 (Wed 28 Aswin 2083)</t>
        </is>
      </c>
    </row>
    <row r="112">
      <c r="A112" s="6" t="inlineStr">
        <is>
          <t>Ward no.</t>
        </is>
      </c>
      <c r="B112" s="6" t="inlineStr">
        <is>
          <t>Total population</t>
        </is>
      </c>
      <c r="C112" s="6" t="inlineStr">
        <is>
          <t>JE target population</t>
        </is>
      </c>
      <c r="D112" s="6" t="inlineStr">
        <is>
          <t>Vaccinated</t>
        </is>
      </c>
      <c r="E112" s="6" t="n"/>
      <c r="F112" s="6" t="n"/>
      <c r="G112" s="6" t="n"/>
      <c r="H112" s="6" t="n"/>
      <c r="I112" s="6" t="n"/>
      <c r="J112" s="6" t="n"/>
      <c r="K112" s="6" t="n"/>
      <c r="L112" s="6" t="n"/>
      <c r="M112" s="6" t="inlineStr">
        <is>
          <t>Progress %</t>
        </is>
      </c>
    </row>
    <row r="113">
      <c r="A113" s="6" t="n"/>
      <c r="B113" s="6" t="n"/>
      <c r="C113" s="6" t="n"/>
      <c r="D113" s="6" t="inlineStr">
        <is>
          <t>Age 30-60 yrs</t>
        </is>
      </c>
      <c r="E113" s="6" t="n"/>
      <c r="F113" s="6" t="n"/>
      <c r="G113" s="6" t="inlineStr">
        <is>
          <t>Age 60 above</t>
        </is>
      </c>
      <c r="H113" s="6" t="n"/>
      <c r="I113" s="6" t="n"/>
      <c r="J113" s="6" t="inlineStr">
        <is>
          <t>Total</t>
        </is>
      </c>
      <c r="K113" s="6" t="n"/>
      <c r="L113" s="6" t="inlineStr">
        <is>
          <t>Grand Total</t>
        </is>
      </c>
      <c r="M113" s="6" t="n"/>
    </row>
    <row r="114">
      <c r="A114" s="6" t="n"/>
      <c r="B114" s="6" t="n"/>
      <c r="C114" s="6" t="n"/>
      <c r="D114" s="6" t="inlineStr">
        <is>
          <t>F</t>
        </is>
      </c>
      <c r="E114" s="6" t="inlineStr">
        <is>
          <t>M</t>
        </is>
      </c>
      <c r="F114" s="6" t="inlineStr">
        <is>
          <t>Total</t>
        </is>
      </c>
      <c r="G114" s="6" t="inlineStr">
        <is>
          <t>F</t>
        </is>
      </c>
      <c r="H114" s="6" t="inlineStr">
        <is>
          <t>M</t>
        </is>
      </c>
      <c r="I114" s="6" t="inlineStr">
        <is>
          <t>Total</t>
        </is>
      </c>
      <c r="J114" s="6" t="inlineStr">
        <is>
          <t>F</t>
        </is>
      </c>
      <c r="K114" s="6" t="inlineStr">
        <is>
          <t>M</t>
        </is>
      </c>
      <c r="L114" s="6" t="n"/>
      <c r="M114" s="6" t="n"/>
    </row>
    <row r="115">
      <c r="A115" s="7" t="n">
        <v>1</v>
      </c>
      <c r="B115" s="8">
        <f>B5</f>
        <v/>
      </c>
      <c r="C115" s="8">
        <f>C5</f>
        <v/>
      </c>
      <c r="D115" s="14" t="n"/>
      <c r="E115" s="14" t="n"/>
      <c r="F115" s="8">
        <f>D115+E115</f>
        <v/>
      </c>
      <c r="G115" s="14" t="n"/>
      <c r="H115" s="14" t="n"/>
      <c r="I115" s="8">
        <f>G115+H115</f>
        <v/>
      </c>
      <c r="J115" s="8">
        <f>D115+G115</f>
        <v/>
      </c>
      <c r="K115" s="8">
        <f>E115+H115</f>
        <v/>
      </c>
      <c r="L115" s="8">
        <f>J115+K115</f>
        <v/>
      </c>
      <c r="M115" s="9">
        <f>IF(C115=0,0,L115/C115*100)</f>
        <v/>
      </c>
    </row>
    <row r="116">
      <c r="A116" s="7" t="n">
        <v>2</v>
      </c>
      <c r="B116" s="8">
        <f>B6</f>
        <v/>
      </c>
      <c r="C116" s="8">
        <f>C6</f>
        <v/>
      </c>
      <c r="D116" s="14" t="n"/>
      <c r="E116" s="14" t="n"/>
      <c r="F116" s="8">
        <f>D116+E116</f>
        <v/>
      </c>
      <c r="G116" s="14" t="n"/>
      <c r="H116" s="14" t="n"/>
      <c r="I116" s="8">
        <f>G116+H116</f>
        <v/>
      </c>
      <c r="J116" s="8">
        <f>D116+G116</f>
        <v/>
      </c>
      <c r="K116" s="8">
        <f>E116+H116</f>
        <v/>
      </c>
      <c r="L116" s="8">
        <f>J116+K116</f>
        <v/>
      </c>
      <c r="M116" s="9">
        <f>IF(C116=0,0,L116/C116*100)</f>
        <v/>
      </c>
    </row>
    <row r="117">
      <c r="A117" s="7" t="n">
        <v>3</v>
      </c>
      <c r="B117" s="8">
        <f>B7</f>
        <v/>
      </c>
      <c r="C117" s="8">
        <f>C7</f>
        <v/>
      </c>
      <c r="D117" s="14" t="n"/>
      <c r="E117" s="14" t="n"/>
      <c r="F117" s="8">
        <f>D117+E117</f>
        <v/>
      </c>
      <c r="G117" s="14" t="n"/>
      <c r="H117" s="14" t="n"/>
      <c r="I117" s="8">
        <f>G117+H117</f>
        <v/>
      </c>
      <c r="J117" s="8">
        <f>D117+G117</f>
        <v/>
      </c>
      <c r="K117" s="8">
        <f>E117+H117</f>
        <v/>
      </c>
      <c r="L117" s="8">
        <f>J117+K117</f>
        <v/>
      </c>
      <c r="M117" s="9">
        <f>IF(C117=0,0,L117/C117*100)</f>
        <v/>
      </c>
    </row>
    <row r="118">
      <c r="A118" s="7" t="n">
        <v>4</v>
      </c>
      <c r="B118" s="8">
        <f>B8</f>
        <v/>
      </c>
      <c r="C118" s="8">
        <f>C8</f>
        <v/>
      </c>
      <c r="D118" s="14" t="n"/>
      <c r="E118" s="14" t="n"/>
      <c r="F118" s="8">
        <f>D118+E118</f>
        <v/>
      </c>
      <c r="G118" s="14" t="n"/>
      <c r="H118" s="14" t="n"/>
      <c r="I118" s="8">
        <f>G118+H118</f>
        <v/>
      </c>
      <c r="J118" s="8">
        <f>D118+G118</f>
        <v/>
      </c>
      <c r="K118" s="8">
        <f>E118+H118</f>
        <v/>
      </c>
      <c r="L118" s="8">
        <f>J118+K118</f>
        <v/>
      </c>
      <c r="M118" s="9">
        <f>IF(C118=0,0,L118/C118*100)</f>
        <v/>
      </c>
    </row>
    <row r="119">
      <c r="A119" s="7" t="n">
        <v>5</v>
      </c>
      <c r="B119" s="8">
        <f>B9</f>
        <v/>
      </c>
      <c r="C119" s="8">
        <f>C9</f>
        <v/>
      </c>
      <c r="D119" s="14" t="n"/>
      <c r="E119" s="14" t="n"/>
      <c r="F119" s="8">
        <f>D119+E119</f>
        <v/>
      </c>
      <c r="G119" s="14" t="n"/>
      <c r="H119" s="14" t="n"/>
      <c r="I119" s="8">
        <f>G119+H119</f>
        <v/>
      </c>
      <c r="J119" s="8">
        <f>D119+G119</f>
        <v/>
      </c>
      <c r="K119" s="8">
        <f>E119+H119</f>
        <v/>
      </c>
      <c r="L119" s="8">
        <f>J119+K119</f>
        <v/>
      </c>
      <c r="M119" s="9">
        <f>IF(C119=0,0,L119/C119*100)</f>
        <v/>
      </c>
    </row>
    <row r="120">
      <c r="A120" s="10" t="inlineStr">
        <is>
          <t>Total</t>
        </is>
      </c>
      <c r="B120" s="11">
        <f>SUM(B115:B119)</f>
        <v/>
      </c>
      <c r="C120" s="11">
        <f>SUM(C115:C119)</f>
        <v/>
      </c>
      <c r="D120" s="11">
        <f>SUM(D115:D119)</f>
        <v/>
      </c>
      <c r="E120" s="11">
        <f>SUM(E115:E119)</f>
        <v/>
      </c>
      <c r="F120" s="11">
        <f>D120+E120</f>
        <v/>
      </c>
      <c r="G120" s="11">
        <f>SUM(G115:G119)</f>
        <v/>
      </c>
      <c r="H120" s="11">
        <f>SUM(H115:H119)</f>
        <v/>
      </c>
      <c r="I120" s="11">
        <f>G120+H120</f>
        <v/>
      </c>
      <c r="J120" s="11">
        <f>D120+G120</f>
        <v/>
      </c>
      <c r="K120" s="11">
        <f>E120+H120</f>
        <v/>
      </c>
      <c r="L120" s="11">
        <f>J120+K120</f>
        <v/>
      </c>
      <c r="M120" s="12">
        <f>IF(C120=0,0,L120/C120*100)</f>
        <v/>
      </c>
    </row>
    <row r="122">
      <c r="A122" s="13" t="inlineStr">
        <is>
          <t>Day 11 - 2026-10-15 (Thu 29 Aswin 2083)</t>
        </is>
      </c>
    </row>
    <row r="123">
      <c r="A123" s="6" t="inlineStr">
        <is>
          <t>Ward no.</t>
        </is>
      </c>
      <c r="B123" s="6" t="inlineStr">
        <is>
          <t>Total population</t>
        </is>
      </c>
      <c r="C123" s="6" t="inlineStr">
        <is>
          <t>JE target population</t>
        </is>
      </c>
      <c r="D123" s="6" t="inlineStr">
        <is>
          <t>Vaccinated</t>
        </is>
      </c>
      <c r="E123" s="6" t="n"/>
      <c r="F123" s="6" t="n"/>
      <c r="G123" s="6" t="n"/>
      <c r="H123" s="6" t="n"/>
      <c r="I123" s="6" t="n"/>
      <c r="J123" s="6" t="n"/>
      <c r="K123" s="6" t="n"/>
      <c r="L123" s="6" t="n"/>
      <c r="M123" s="6" t="inlineStr">
        <is>
          <t>Progress %</t>
        </is>
      </c>
    </row>
    <row r="124">
      <c r="A124" s="6" t="n"/>
      <c r="B124" s="6" t="n"/>
      <c r="C124" s="6" t="n"/>
      <c r="D124" s="6" t="inlineStr">
        <is>
          <t>Age 30-60 yrs</t>
        </is>
      </c>
      <c r="E124" s="6" t="n"/>
      <c r="F124" s="6" t="n"/>
      <c r="G124" s="6" t="inlineStr">
        <is>
          <t>Age 60 above</t>
        </is>
      </c>
      <c r="H124" s="6" t="n"/>
      <c r="I124" s="6" t="n"/>
      <c r="J124" s="6" t="inlineStr">
        <is>
          <t>Total</t>
        </is>
      </c>
      <c r="K124" s="6" t="n"/>
      <c r="L124" s="6" t="inlineStr">
        <is>
          <t>Grand Total</t>
        </is>
      </c>
      <c r="M124" s="6" t="n"/>
    </row>
    <row r="125">
      <c r="A125" s="6" t="n"/>
      <c r="B125" s="6" t="n"/>
      <c r="C125" s="6" t="n"/>
      <c r="D125" s="6" t="inlineStr">
        <is>
          <t>F</t>
        </is>
      </c>
      <c r="E125" s="6" t="inlineStr">
        <is>
          <t>M</t>
        </is>
      </c>
      <c r="F125" s="6" t="inlineStr">
        <is>
          <t>Total</t>
        </is>
      </c>
      <c r="G125" s="6" t="inlineStr">
        <is>
          <t>F</t>
        </is>
      </c>
      <c r="H125" s="6" t="inlineStr">
        <is>
          <t>M</t>
        </is>
      </c>
      <c r="I125" s="6" t="inlineStr">
        <is>
          <t>Total</t>
        </is>
      </c>
      <c r="J125" s="6" t="inlineStr">
        <is>
          <t>F</t>
        </is>
      </c>
      <c r="K125" s="6" t="inlineStr">
        <is>
          <t>M</t>
        </is>
      </c>
      <c r="L125" s="6" t="n"/>
      <c r="M125" s="6" t="n"/>
    </row>
    <row r="126">
      <c r="A126" s="7" t="n">
        <v>1</v>
      </c>
      <c r="B126" s="8">
        <f>B5</f>
        <v/>
      </c>
      <c r="C126" s="8">
        <f>C5</f>
        <v/>
      </c>
      <c r="D126" s="14" t="n"/>
      <c r="E126" s="14" t="n"/>
      <c r="F126" s="8">
        <f>D126+E126</f>
        <v/>
      </c>
      <c r="G126" s="14" t="n"/>
      <c r="H126" s="14" t="n"/>
      <c r="I126" s="8">
        <f>G126+H126</f>
        <v/>
      </c>
      <c r="J126" s="8">
        <f>D126+G126</f>
        <v/>
      </c>
      <c r="K126" s="8">
        <f>E126+H126</f>
        <v/>
      </c>
      <c r="L126" s="8">
        <f>J126+K126</f>
        <v/>
      </c>
      <c r="M126" s="9">
        <f>IF(C126=0,0,L126/C126*100)</f>
        <v/>
      </c>
    </row>
    <row r="127">
      <c r="A127" s="7" t="n">
        <v>2</v>
      </c>
      <c r="B127" s="8">
        <f>B6</f>
        <v/>
      </c>
      <c r="C127" s="8">
        <f>C6</f>
        <v/>
      </c>
      <c r="D127" s="14" t="n"/>
      <c r="E127" s="14" t="n"/>
      <c r="F127" s="8">
        <f>D127+E127</f>
        <v/>
      </c>
      <c r="G127" s="14" t="n"/>
      <c r="H127" s="14" t="n"/>
      <c r="I127" s="8">
        <f>G127+H127</f>
        <v/>
      </c>
      <c r="J127" s="8">
        <f>D127+G127</f>
        <v/>
      </c>
      <c r="K127" s="8">
        <f>E127+H127</f>
        <v/>
      </c>
      <c r="L127" s="8">
        <f>J127+K127</f>
        <v/>
      </c>
      <c r="M127" s="9">
        <f>IF(C127=0,0,L127/C127*100)</f>
        <v/>
      </c>
    </row>
    <row r="128">
      <c r="A128" s="7" t="n">
        <v>3</v>
      </c>
      <c r="B128" s="8">
        <f>B7</f>
        <v/>
      </c>
      <c r="C128" s="8">
        <f>C7</f>
        <v/>
      </c>
      <c r="D128" s="14" t="n"/>
      <c r="E128" s="14" t="n"/>
      <c r="F128" s="8">
        <f>D128+E128</f>
        <v/>
      </c>
      <c r="G128" s="14" t="n"/>
      <c r="H128" s="14" t="n"/>
      <c r="I128" s="8">
        <f>G128+H128</f>
        <v/>
      </c>
      <c r="J128" s="8">
        <f>D128+G128</f>
        <v/>
      </c>
      <c r="K128" s="8">
        <f>E128+H128</f>
        <v/>
      </c>
      <c r="L128" s="8">
        <f>J128+K128</f>
        <v/>
      </c>
      <c r="M128" s="9">
        <f>IF(C128=0,0,L128/C128*100)</f>
        <v/>
      </c>
    </row>
    <row r="129">
      <c r="A129" s="7" t="n">
        <v>4</v>
      </c>
      <c r="B129" s="8">
        <f>B8</f>
        <v/>
      </c>
      <c r="C129" s="8">
        <f>C8</f>
        <v/>
      </c>
      <c r="D129" s="14" t="n"/>
      <c r="E129" s="14" t="n"/>
      <c r="F129" s="8">
        <f>D129+E129</f>
        <v/>
      </c>
      <c r="G129" s="14" t="n"/>
      <c r="H129" s="14" t="n"/>
      <c r="I129" s="8">
        <f>G129+H129</f>
        <v/>
      </c>
      <c r="J129" s="8">
        <f>D129+G129</f>
        <v/>
      </c>
      <c r="K129" s="8">
        <f>E129+H129</f>
        <v/>
      </c>
      <c r="L129" s="8">
        <f>J129+K129</f>
        <v/>
      </c>
      <c r="M129" s="9">
        <f>IF(C129=0,0,L129/C129*100)</f>
        <v/>
      </c>
    </row>
    <row r="130">
      <c r="A130" s="7" t="n">
        <v>5</v>
      </c>
      <c r="B130" s="8">
        <f>B9</f>
        <v/>
      </c>
      <c r="C130" s="8">
        <f>C9</f>
        <v/>
      </c>
      <c r="D130" s="14" t="n"/>
      <c r="E130" s="14" t="n"/>
      <c r="F130" s="8">
        <f>D130+E130</f>
        <v/>
      </c>
      <c r="G130" s="14" t="n"/>
      <c r="H130" s="14" t="n"/>
      <c r="I130" s="8">
        <f>G130+H130</f>
        <v/>
      </c>
      <c r="J130" s="8">
        <f>D130+G130</f>
        <v/>
      </c>
      <c r="K130" s="8">
        <f>E130+H130</f>
        <v/>
      </c>
      <c r="L130" s="8">
        <f>J130+K130</f>
        <v/>
      </c>
      <c r="M130" s="9">
        <f>IF(C130=0,0,L130/C130*100)</f>
        <v/>
      </c>
    </row>
    <row r="131">
      <c r="A131" s="10" t="inlineStr">
        <is>
          <t>Total</t>
        </is>
      </c>
      <c r="B131" s="11">
        <f>SUM(B126:B130)</f>
        <v/>
      </c>
      <c r="C131" s="11">
        <f>SUM(C126:C130)</f>
        <v/>
      </c>
      <c r="D131" s="11">
        <f>SUM(D126:D130)</f>
        <v/>
      </c>
      <c r="E131" s="11">
        <f>SUM(E126:E130)</f>
        <v/>
      </c>
      <c r="F131" s="11">
        <f>D131+E131</f>
        <v/>
      </c>
      <c r="G131" s="11">
        <f>SUM(G126:G130)</f>
        <v/>
      </c>
      <c r="H131" s="11">
        <f>SUM(H126:H130)</f>
        <v/>
      </c>
      <c r="I131" s="11">
        <f>G131+H131</f>
        <v/>
      </c>
      <c r="J131" s="11">
        <f>D131+G131</f>
        <v/>
      </c>
      <c r="K131" s="11">
        <f>E131+H131</f>
        <v/>
      </c>
      <c r="L131" s="11">
        <f>J131+K131</f>
        <v/>
      </c>
      <c r="M131" s="12">
        <f>IF(C131=0,0,L131/C131*100)</f>
        <v/>
      </c>
    </row>
    <row r="133">
      <c r="A133" s="13" t="inlineStr">
        <is>
          <t>Day 12 - 2026-10-16 (Fri 30 Aswin 2083)</t>
        </is>
      </c>
    </row>
    <row r="134">
      <c r="A134" s="6" t="inlineStr">
        <is>
          <t>Ward no.</t>
        </is>
      </c>
      <c r="B134" s="6" t="inlineStr">
        <is>
          <t>Total population</t>
        </is>
      </c>
      <c r="C134" s="6" t="inlineStr">
        <is>
          <t>JE target population</t>
        </is>
      </c>
      <c r="D134" s="6" t="inlineStr">
        <is>
          <t>Vaccinated</t>
        </is>
      </c>
      <c r="E134" s="6" t="n"/>
      <c r="F134" s="6" t="n"/>
      <c r="G134" s="6" t="n"/>
      <c r="H134" s="6" t="n"/>
      <c r="I134" s="6" t="n"/>
      <c r="J134" s="6" t="n"/>
      <c r="K134" s="6" t="n"/>
      <c r="L134" s="6" t="n"/>
      <c r="M134" s="6" t="inlineStr">
        <is>
          <t>Progress %</t>
        </is>
      </c>
    </row>
    <row r="135">
      <c r="A135" s="6" t="n"/>
      <c r="B135" s="6" t="n"/>
      <c r="C135" s="6" t="n"/>
      <c r="D135" s="6" t="inlineStr">
        <is>
          <t>Age 30-60 yrs</t>
        </is>
      </c>
      <c r="E135" s="6" t="n"/>
      <c r="F135" s="6" t="n"/>
      <c r="G135" s="6" t="inlineStr">
        <is>
          <t>Age 60 above</t>
        </is>
      </c>
      <c r="H135" s="6" t="n"/>
      <c r="I135" s="6" t="n"/>
      <c r="J135" s="6" t="inlineStr">
        <is>
          <t>Total</t>
        </is>
      </c>
      <c r="K135" s="6" t="n"/>
      <c r="L135" s="6" t="inlineStr">
        <is>
          <t>Grand Total</t>
        </is>
      </c>
      <c r="M135" s="6" t="n"/>
    </row>
    <row r="136">
      <c r="A136" s="6" t="n"/>
      <c r="B136" s="6" t="n"/>
      <c r="C136" s="6" t="n"/>
      <c r="D136" s="6" t="inlineStr">
        <is>
          <t>F</t>
        </is>
      </c>
      <c r="E136" s="6" t="inlineStr">
        <is>
          <t>M</t>
        </is>
      </c>
      <c r="F136" s="6" t="inlineStr">
        <is>
          <t>Total</t>
        </is>
      </c>
      <c r="G136" s="6" t="inlineStr">
        <is>
          <t>F</t>
        </is>
      </c>
      <c r="H136" s="6" t="inlineStr">
        <is>
          <t>M</t>
        </is>
      </c>
      <c r="I136" s="6" t="inlineStr">
        <is>
          <t>Total</t>
        </is>
      </c>
      <c r="J136" s="6" t="inlineStr">
        <is>
          <t>F</t>
        </is>
      </c>
      <c r="K136" s="6" t="inlineStr">
        <is>
          <t>M</t>
        </is>
      </c>
      <c r="L136" s="6" t="n"/>
      <c r="M136" s="6" t="n"/>
    </row>
    <row r="137">
      <c r="A137" s="7" t="n">
        <v>1</v>
      </c>
      <c r="B137" s="8">
        <f>B5</f>
        <v/>
      </c>
      <c r="C137" s="8">
        <f>C5</f>
        <v/>
      </c>
      <c r="D137" s="14" t="n"/>
      <c r="E137" s="14" t="n"/>
      <c r="F137" s="8">
        <f>D137+E137</f>
        <v/>
      </c>
      <c r="G137" s="14" t="n"/>
      <c r="H137" s="14" t="n"/>
      <c r="I137" s="8">
        <f>G137+H137</f>
        <v/>
      </c>
      <c r="J137" s="8">
        <f>D137+G137</f>
        <v/>
      </c>
      <c r="K137" s="8">
        <f>E137+H137</f>
        <v/>
      </c>
      <c r="L137" s="8">
        <f>J137+K137</f>
        <v/>
      </c>
      <c r="M137" s="9">
        <f>IF(C137=0,0,L137/C137*100)</f>
        <v/>
      </c>
    </row>
    <row r="138">
      <c r="A138" s="7" t="n">
        <v>2</v>
      </c>
      <c r="B138" s="8">
        <f>B6</f>
        <v/>
      </c>
      <c r="C138" s="8">
        <f>C6</f>
        <v/>
      </c>
      <c r="D138" s="14" t="n"/>
      <c r="E138" s="14" t="n"/>
      <c r="F138" s="8">
        <f>D138+E138</f>
        <v/>
      </c>
      <c r="G138" s="14" t="n"/>
      <c r="H138" s="14" t="n"/>
      <c r="I138" s="8">
        <f>G138+H138</f>
        <v/>
      </c>
      <c r="J138" s="8">
        <f>D138+G138</f>
        <v/>
      </c>
      <c r="K138" s="8">
        <f>E138+H138</f>
        <v/>
      </c>
      <c r="L138" s="8">
        <f>J138+K138</f>
        <v/>
      </c>
      <c r="M138" s="9">
        <f>IF(C138=0,0,L138/C138*100)</f>
        <v/>
      </c>
    </row>
    <row r="139">
      <c r="A139" s="7" t="n">
        <v>3</v>
      </c>
      <c r="B139" s="8">
        <f>B7</f>
        <v/>
      </c>
      <c r="C139" s="8">
        <f>C7</f>
        <v/>
      </c>
      <c r="D139" s="14" t="n"/>
      <c r="E139" s="14" t="n"/>
      <c r="F139" s="8">
        <f>D139+E139</f>
        <v/>
      </c>
      <c r="G139" s="14" t="n"/>
      <c r="H139" s="14" t="n"/>
      <c r="I139" s="8">
        <f>G139+H139</f>
        <v/>
      </c>
      <c r="J139" s="8">
        <f>D139+G139</f>
        <v/>
      </c>
      <c r="K139" s="8">
        <f>E139+H139</f>
        <v/>
      </c>
      <c r="L139" s="8">
        <f>J139+K139</f>
        <v/>
      </c>
      <c r="M139" s="9">
        <f>IF(C139=0,0,L139/C139*100)</f>
        <v/>
      </c>
    </row>
    <row r="140">
      <c r="A140" s="7" t="n">
        <v>4</v>
      </c>
      <c r="B140" s="8">
        <f>B8</f>
        <v/>
      </c>
      <c r="C140" s="8">
        <f>C8</f>
        <v/>
      </c>
      <c r="D140" s="14" t="n"/>
      <c r="E140" s="14" t="n"/>
      <c r="F140" s="8">
        <f>D140+E140</f>
        <v/>
      </c>
      <c r="G140" s="14" t="n"/>
      <c r="H140" s="14" t="n"/>
      <c r="I140" s="8">
        <f>G140+H140</f>
        <v/>
      </c>
      <c r="J140" s="8">
        <f>D140+G140</f>
        <v/>
      </c>
      <c r="K140" s="8">
        <f>E140+H140</f>
        <v/>
      </c>
      <c r="L140" s="8">
        <f>J140+K140</f>
        <v/>
      </c>
      <c r="M140" s="9">
        <f>IF(C140=0,0,L140/C140*100)</f>
        <v/>
      </c>
    </row>
    <row r="141">
      <c r="A141" s="7" t="n">
        <v>5</v>
      </c>
      <c r="B141" s="8">
        <f>B9</f>
        <v/>
      </c>
      <c r="C141" s="8">
        <f>C9</f>
        <v/>
      </c>
      <c r="D141" s="14" t="n"/>
      <c r="E141" s="14" t="n"/>
      <c r="F141" s="8">
        <f>D141+E141</f>
        <v/>
      </c>
      <c r="G141" s="14" t="n"/>
      <c r="H141" s="14" t="n"/>
      <c r="I141" s="8">
        <f>G141+H141</f>
        <v/>
      </c>
      <c r="J141" s="8">
        <f>D141+G141</f>
        <v/>
      </c>
      <c r="K141" s="8">
        <f>E141+H141</f>
        <v/>
      </c>
      <c r="L141" s="8">
        <f>J141+K141</f>
        <v/>
      </c>
      <c r="M141" s="9">
        <f>IF(C141=0,0,L141/C141*100)</f>
        <v/>
      </c>
    </row>
    <row r="142">
      <c r="A142" s="10" t="inlineStr">
        <is>
          <t>Total</t>
        </is>
      </c>
      <c r="B142" s="11">
        <f>SUM(B137:B141)</f>
        <v/>
      </c>
      <c r="C142" s="11">
        <f>SUM(C137:C141)</f>
        <v/>
      </c>
      <c r="D142" s="11">
        <f>SUM(D137:D141)</f>
        <v/>
      </c>
      <c r="E142" s="11">
        <f>SUM(E137:E141)</f>
        <v/>
      </c>
      <c r="F142" s="11">
        <f>D142+E142</f>
        <v/>
      </c>
      <c r="G142" s="11">
        <f>SUM(G137:G141)</f>
        <v/>
      </c>
      <c r="H142" s="11">
        <f>SUM(H137:H141)</f>
        <v/>
      </c>
      <c r="I142" s="11">
        <f>G142+H142</f>
        <v/>
      </c>
      <c r="J142" s="11">
        <f>D142+G142</f>
        <v/>
      </c>
      <c r="K142" s="11">
        <f>E142+H142</f>
        <v/>
      </c>
      <c r="L142" s="11">
        <f>J142+K142</f>
        <v/>
      </c>
      <c r="M142" s="12">
        <f>IF(C142=0,0,L142/C142*100)</f>
        <v/>
      </c>
    </row>
    <row r="144">
      <c r="A144" s="13" t="inlineStr">
        <is>
          <t>Day 13 - 2026-10-17 (Sat 31 Aswin 2083)</t>
        </is>
      </c>
    </row>
    <row r="145">
      <c r="A145" s="6" t="inlineStr">
        <is>
          <t>Ward no.</t>
        </is>
      </c>
      <c r="B145" s="6" t="inlineStr">
        <is>
          <t>Total population</t>
        </is>
      </c>
      <c r="C145" s="6" t="inlineStr">
        <is>
          <t>JE target population</t>
        </is>
      </c>
      <c r="D145" s="6" t="inlineStr">
        <is>
          <t>Vaccinated</t>
        </is>
      </c>
      <c r="E145" s="6" t="n"/>
      <c r="F145" s="6" t="n"/>
      <c r="G145" s="6" t="n"/>
      <c r="H145" s="6" t="n"/>
      <c r="I145" s="6" t="n"/>
      <c r="J145" s="6" t="n"/>
      <c r="K145" s="6" t="n"/>
      <c r="L145" s="6" t="n"/>
      <c r="M145" s="6" t="inlineStr">
        <is>
          <t>Progress %</t>
        </is>
      </c>
    </row>
    <row r="146">
      <c r="A146" s="6" t="n"/>
      <c r="B146" s="6" t="n"/>
      <c r="C146" s="6" t="n"/>
      <c r="D146" s="6" t="inlineStr">
        <is>
          <t>Age 30-60 yrs</t>
        </is>
      </c>
      <c r="E146" s="6" t="n"/>
      <c r="F146" s="6" t="n"/>
      <c r="G146" s="6" t="inlineStr">
        <is>
          <t>Age 60 above</t>
        </is>
      </c>
      <c r="H146" s="6" t="n"/>
      <c r="I146" s="6" t="n"/>
      <c r="J146" s="6" t="inlineStr">
        <is>
          <t>Total</t>
        </is>
      </c>
      <c r="K146" s="6" t="n"/>
      <c r="L146" s="6" t="inlineStr">
        <is>
          <t>Grand Total</t>
        </is>
      </c>
      <c r="M146" s="6" t="n"/>
    </row>
    <row r="147">
      <c r="A147" s="6" t="n"/>
      <c r="B147" s="6" t="n"/>
      <c r="C147" s="6" t="n"/>
      <c r="D147" s="6" t="inlineStr">
        <is>
          <t>F</t>
        </is>
      </c>
      <c r="E147" s="6" t="inlineStr">
        <is>
          <t>M</t>
        </is>
      </c>
      <c r="F147" s="6" t="inlineStr">
        <is>
          <t>Total</t>
        </is>
      </c>
      <c r="G147" s="6" t="inlineStr">
        <is>
          <t>F</t>
        </is>
      </c>
      <c r="H147" s="6" t="inlineStr">
        <is>
          <t>M</t>
        </is>
      </c>
      <c r="I147" s="6" t="inlineStr">
        <is>
          <t>Total</t>
        </is>
      </c>
      <c r="J147" s="6" t="inlineStr">
        <is>
          <t>F</t>
        </is>
      </c>
      <c r="K147" s="6" t="inlineStr">
        <is>
          <t>M</t>
        </is>
      </c>
      <c r="L147" s="6" t="n"/>
      <c r="M147" s="6" t="n"/>
    </row>
    <row r="148">
      <c r="A148" s="7" t="n">
        <v>1</v>
      </c>
      <c r="B148" s="8">
        <f>B5</f>
        <v/>
      </c>
      <c r="C148" s="8">
        <f>C5</f>
        <v/>
      </c>
      <c r="D148" s="14" t="n"/>
      <c r="E148" s="14" t="n"/>
      <c r="F148" s="8">
        <f>D148+E148</f>
        <v/>
      </c>
      <c r="G148" s="14" t="n"/>
      <c r="H148" s="14" t="n"/>
      <c r="I148" s="8">
        <f>G148+H148</f>
        <v/>
      </c>
      <c r="J148" s="8">
        <f>D148+G148</f>
        <v/>
      </c>
      <c r="K148" s="8">
        <f>E148+H148</f>
        <v/>
      </c>
      <c r="L148" s="8">
        <f>J148+K148</f>
        <v/>
      </c>
      <c r="M148" s="9">
        <f>IF(C148=0,0,L148/C148*100)</f>
        <v/>
      </c>
    </row>
    <row r="149">
      <c r="A149" s="7" t="n">
        <v>2</v>
      </c>
      <c r="B149" s="8">
        <f>B6</f>
        <v/>
      </c>
      <c r="C149" s="8">
        <f>C6</f>
        <v/>
      </c>
      <c r="D149" s="14" t="n"/>
      <c r="E149" s="14" t="n"/>
      <c r="F149" s="8">
        <f>D149+E149</f>
        <v/>
      </c>
      <c r="G149" s="14" t="n"/>
      <c r="H149" s="14" t="n"/>
      <c r="I149" s="8">
        <f>G149+H149</f>
        <v/>
      </c>
      <c r="J149" s="8">
        <f>D149+G149</f>
        <v/>
      </c>
      <c r="K149" s="8">
        <f>E149+H149</f>
        <v/>
      </c>
      <c r="L149" s="8">
        <f>J149+K149</f>
        <v/>
      </c>
      <c r="M149" s="9">
        <f>IF(C149=0,0,L149/C149*100)</f>
        <v/>
      </c>
    </row>
    <row r="150">
      <c r="A150" s="7" t="n">
        <v>3</v>
      </c>
      <c r="B150" s="8">
        <f>B7</f>
        <v/>
      </c>
      <c r="C150" s="8">
        <f>C7</f>
        <v/>
      </c>
      <c r="D150" s="14" t="n"/>
      <c r="E150" s="14" t="n"/>
      <c r="F150" s="8">
        <f>D150+E150</f>
        <v/>
      </c>
      <c r="G150" s="14" t="n"/>
      <c r="H150" s="14" t="n"/>
      <c r="I150" s="8">
        <f>G150+H150</f>
        <v/>
      </c>
      <c r="J150" s="8">
        <f>D150+G150</f>
        <v/>
      </c>
      <c r="K150" s="8">
        <f>E150+H150</f>
        <v/>
      </c>
      <c r="L150" s="8">
        <f>J150+K150</f>
        <v/>
      </c>
      <c r="M150" s="9">
        <f>IF(C150=0,0,L150/C150*100)</f>
        <v/>
      </c>
    </row>
    <row r="151">
      <c r="A151" s="7" t="n">
        <v>4</v>
      </c>
      <c r="B151" s="8">
        <f>B8</f>
        <v/>
      </c>
      <c r="C151" s="8">
        <f>C8</f>
        <v/>
      </c>
      <c r="D151" s="14" t="n"/>
      <c r="E151" s="14" t="n"/>
      <c r="F151" s="8">
        <f>D151+E151</f>
        <v/>
      </c>
      <c r="G151" s="14" t="n"/>
      <c r="H151" s="14" t="n"/>
      <c r="I151" s="8">
        <f>G151+H151</f>
        <v/>
      </c>
      <c r="J151" s="8">
        <f>D151+G151</f>
        <v/>
      </c>
      <c r="K151" s="8">
        <f>E151+H151</f>
        <v/>
      </c>
      <c r="L151" s="8">
        <f>J151+K151</f>
        <v/>
      </c>
      <c r="M151" s="9">
        <f>IF(C151=0,0,L151/C151*100)</f>
        <v/>
      </c>
    </row>
    <row r="152">
      <c r="A152" s="7" t="n">
        <v>5</v>
      </c>
      <c r="B152" s="8">
        <f>B9</f>
        <v/>
      </c>
      <c r="C152" s="8">
        <f>C9</f>
        <v/>
      </c>
      <c r="D152" s="14" t="n"/>
      <c r="E152" s="14" t="n"/>
      <c r="F152" s="8">
        <f>D152+E152</f>
        <v/>
      </c>
      <c r="G152" s="14" t="n"/>
      <c r="H152" s="14" t="n"/>
      <c r="I152" s="8">
        <f>G152+H152</f>
        <v/>
      </c>
      <c r="J152" s="8">
        <f>D152+G152</f>
        <v/>
      </c>
      <c r="K152" s="8">
        <f>E152+H152</f>
        <v/>
      </c>
      <c r="L152" s="8">
        <f>J152+K152</f>
        <v/>
      </c>
      <c r="M152" s="9">
        <f>IF(C152=0,0,L152/C152*100)</f>
        <v/>
      </c>
    </row>
    <row r="153">
      <c r="A153" s="10" t="inlineStr">
        <is>
          <t>Total</t>
        </is>
      </c>
      <c r="B153" s="11">
        <f>SUM(B148:B152)</f>
        <v/>
      </c>
      <c r="C153" s="11">
        <f>SUM(C148:C152)</f>
        <v/>
      </c>
      <c r="D153" s="11">
        <f>SUM(D148:D152)</f>
        <v/>
      </c>
      <c r="E153" s="11">
        <f>SUM(E148:E152)</f>
        <v/>
      </c>
      <c r="F153" s="11">
        <f>D153+E153</f>
        <v/>
      </c>
      <c r="G153" s="11">
        <f>SUM(G148:G152)</f>
        <v/>
      </c>
      <c r="H153" s="11">
        <f>SUM(H148:H152)</f>
        <v/>
      </c>
      <c r="I153" s="11">
        <f>G153+H153</f>
        <v/>
      </c>
      <c r="J153" s="11">
        <f>D153+G153</f>
        <v/>
      </c>
      <c r="K153" s="11">
        <f>E153+H153</f>
        <v/>
      </c>
      <c r="L153" s="11">
        <f>J153+K153</f>
        <v/>
      </c>
      <c r="M153" s="12">
        <f>IF(C153=0,0,L153/C153*100)</f>
        <v/>
      </c>
    </row>
    <row r="155">
      <c r="A155" s="13" t="inlineStr">
        <is>
          <t>Day 14 - 2026-10-18 (Sun 01 Kartik 2083)</t>
        </is>
      </c>
    </row>
    <row r="156">
      <c r="A156" s="6" t="inlineStr">
        <is>
          <t>Ward no.</t>
        </is>
      </c>
      <c r="B156" s="6" t="inlineStr">
        <is>
          <t>Total population</t>
        </is>
      </c>
      <c r="C156" s="6" t="inlineStr">
        <is>
          <t>JE target population</t>
        </is>
      </c>
      <c r="D156" s="6" t="inlineStr">
        <is>
          <t>Vaccinated</t>
        </is>
      </c>
      <c r="E156" s="6" t="n"/>
      <c r="F156" s="6" t="n"/>
      <c r="G156" s="6" t="n"/>
      <c r="H156" s="6" t="n"/>
      <c r="I156" s="6" t="n"/>
      <c r="J156" s="6" t="n"/>
      <c r="K156" s="6" t="n"/>
      <c r="L156" s="6" t="n"/>
      <c r="M156" s="6" t="inlineStr">
        <is>
          <t>Progress %</t>
        </is>
      </c>
    </row>
    <row r="157">
      <c r="A157" s="6" t="n"/>
      <c r="B157" s="6" t="n"/>
      <c r="C157" s="6" t="n"/>
      <c r="D157" s="6" t="inlineStr">
        <is>
          <t>Age 30-60 yrs</t>
        </is>
      </c>
      <c r="E157" s="6" t="n"/>
      <c r="F157" s="6" t="n"/>
      <c r="G157" s="6" t="inlineStr">
        <is>
          <t>Age 60 above</t>
        </is>
      </c>
      <c r="H157" s="6" t="n"/>
      <c r="I157" s="6" t="n"/>
      <c r="J157" s="6" t="inlineStr">
        <is>
          <t>Total</t>
        </is>
      </c>
      <c r="K157" s="6" t="n"/>
      <c r="L157" s="6" t="inlineStr">
        <is>
          <t>Grand Total</t>
        </is>
      </c>
      <c r="M157" s="6" t="n"/>
    </row>
    <row r="158">
      <c r="A158" s="6" t="n"/>
      <c r="B158" s="6" t="n"/>
      <c r="C158" s="6" t="n"/>
      <c r="D158" s="6" t="inlineStr">
        <is>
          <t>F</t>
        </is>
      </c>
      <c r="E158" s="6" t="inlineStr">
        <is>
          <t>M</t>
        </is>
      </c>
      <c r="F158" s="6" t="inlineStr">
        <is>
          <t>Total</t>
        </is>
      </c>
      <c r="G158" s="6" t="inlineStr">
        <is>
          <t>F</t>
        </is>
      </c>
      <c r="H158" s="6" t="inlineStr">
        <is>
          <t>M</t>
        </is>
      </c>
      <c r="I158" s="6" t="inlineStr">
        <is>
          <t>Total</t>
        </is>
      </c>
      <c r="J158" s="6" t="inlineStr">
        <is>
          <t>F</t>
        </is>
      </c>
      <c r="K158" s="6" t="inlineStr">
        <is>
          <t>M</t>
        </is>
      </c>
      <c r="L158" s="6" t="n"/>
      <c r="M158" s="6" t="n"/>
    </row>
    <row r="159">
      <c r="A159" s="7" t="n">
        <v>1</v>
      </c>
      <c r="B159" s="8">
        <f>B5</f>
        <v/>
      </c>
      <c r="C159" s="8">
        <f>C5</f>
        <v/>
      </c>
      <c r="D159" s="14" t="n"/>
      <c r="E159" s="14" t="n"/>
      <c r="F159" s="8">
        <f>D159+E159</f>
        <v/>
      </c>
      <c r="G159" s="14" t="n"/>
      <c r="H159" s="14" t="n"/>
      <c r="I159" s="8">
        <f>G159+H159</f>
        <v/>
      </c>
      <c r="J159" s="8">
        <f>D159+G159</f>
        <v/>
      </c>
      <c r="K159" s="8">
        <f>E159+H159</f>
        <v/>
      </c>
      <c r="L159" s="8">
        <f>J159+K159</f>
        <v/>
      </c>
      <c r="M159" s="9">
        <f>IF(C159=0,0,L159/C159*100)</f>
        <v/>
      </c>
    </row>
    <row r="160">
      <c r="A160" s="7" t="n">
        <v>2</v>
      </c>
      <c r="B160" s="8">
        <f>B6</f>
        <v/>
      </c>
      <c r="C160" s="8">
        <f>C6</f>
        <v/>
      </c>
      <c r="D160" s="14" t="n"/>
      <c r="E160" s="14" t="n"/>
      <c r="F160" s="8">
        <f>D160+E160</f>
        <v/>
      </c>
      <c r="G160" s="14" t="n"/>
      <c r="H160" s="14" t="n"/>
      <c r="I160" s="8">
        <f>G160+H160</f>
        <v/>
      </c>
      <c r="J160" s="8">
        <f>D160+G160</f>
        <v/>
      </c>
      <c r="K160" s="8">
        <f>E160+H160</f>
        <v/>
      </c>
      <c r="L160" s="8">
        <f>J160+K160</f>
        <v/>
      </c>
      <c r="M160" s="9">
        <f>IF(C160=0,0,L160/C160*100)</f>
        <v/>
      </c>
    </row>
    <row r="161">
      <c r="A161" s="7" t="n">
        <v>3</v>
      </c>
      <c r="B161" s="8">
        <f>B7</f>
        <v/>
      </c>
      <c r="C161" s="8">
        <f>C7</f>
        <v/>
      </c>
      <c r="D161" s="14" t="n"/>
      <c r="E161" s="14" t="n"/>
      <c r="F161" s="8">
        <f>D161+E161</f>
        <v/>
      </c>
      <c r="G161" s="14" t="n"/>
      <c r="H161" s="14" t="n"/>
      <c r="I161" s="8">
        <f>G161+H161</f>
        <v/>
      </c>
      <c r="J161" s="8">
        <f>D161+G161</f>
        <v/>
      </c>
      <c r="K161" s="8">
        <f>E161+H161</f>
        <v/>
      </c>
      <c r="L161" s="8">
        <f>J161+K161</f>
        <v/>
      </c>
      <c r="M161" s="9">
        <f>IF(C161=0,0,L161/C161*100)</f>
        <v/>
      </c>
    </row>
    <row r="162">
      <c r="A162" s="7" t="n">
        <v>4</v>
      </c>
      <c r="B162" s="8">
        <f>B8</f>
        <v/>
      </c>
      <c r="C162" s="8">
        <f>C8</f>
        <v/>
      </c>
      <c r="D162" s="14" t="n"/>
      <c r="E162" s="14" t="n"/>
      <c r="F162" s="8">
        <f>D162+E162</f>
        <v/>
      </c>
      <c r="G162" s="14" t="n"/>
      <c r="H162" s="14" t="n"/>
      <c r="I162" s="8">
        <f>G162+H162</f>
        <v/>
      </c>
      <c r="J162" s="8">
        <f>D162+G162</f>
        <v/>
      </c>
      <c r="K162" s="8">
        <f>E162+H162</f>
        <v/>
      </c>
      <c r="L162" s="8">
        <f>J162+K162</f>
        <v/>
      </c>
      <c r="M162" s="9">
        <f>IF(C162=0,0,L162/C162*100)</f>
        <v/>
      </c>
    </row>
    <row r="163">
      <c r="A163" s="7" t="n">
        <v>5</v>
      </c>
      <c r="B163" s="8">
        <f>B9</f>
        <v/>
      </c>
      <c r="C163" s="8">
        <f>C9</f>
        <v/>
      </c>
      <c r="D163" s="14" t="n"/>
      <c r="E163" s="14" t="n"/>
      <c r="F163" s="8">
        <f>D163+E163</f>
        <v/>
      </c>
      <c r="G163" s="14" t="n"/>
      <c r="H163" s="14" t="n"/>
      <c r="I163" s="8">
        <f>G163+H163</f>
        <v/>
      </c>
      <c r="J163" s="8">
        <f>D163+G163</f>
        <v/>
      </c>
      <c r="K163" s="8">
        <f>E163+H163</f>
        <v/>
      </c>
      <c r="L163" s="8">
        <f>J163+K163</f>
        <v/>
      </c>
      <c r="M163" s="9">
        <f>IF(C163=0,0,L163/C163*100)</f>
        <v/>
      </c>
    </row>
    <row r="164">
      <c r="A164" s="10" t="inlineStr">
        <is>
          <t>Total</t>
        </is>
      </c>
      <c r="B164" s="11">
        <f>SUM(B159:B163)</f>
        <v/>
      </c>
      <c r="C164" s="11">
        <f>SUM(C159:C163)</f>
        <v/>
      </c>
      <c r="D164" s="11">
        <f>SUM(D159:D163)</f>
        <v/>
      </c>
      <c r="E164" s="11">
        <f>SUM(E159:E163)</f>
        <v/>
      </c>
      <c r="F164" s="11">
        <f>D164+E164</f>
        <v/>
      </c>
      <c r="G164" s="11">
        <f>SUM(G159:G163)</f>
        <v/>
      </c>
      <c r="H164" s="11">
        <f>SUM(H159:H163)</f>
        <v/>
      </c>
      <c r="I164" s="11">
        <f>G164+H164</f>
        <v/>
      </c>
      <c r="J164" s="11">
        <f>D164+G164</f>
        <v/>
      </c>
      <c r="K164" s="11">
        <f>E164+H164</f>
        <v/>
      </c>
      <c r="L164" s="11">
        <f>J164+K164</f>
        <v/>
      </c>
      <c r="M164" s="12">
        <f>IF(C164=0,0,L164/C164*100)</f>
        <v/>
      </c>
    </row>
    <row r="166">
      <c r="A166" s="13" t="inlineStr">
        <is>
          <t>Day 15 - 2026-10-19 (Mon 02 Kartik 2083)</t>
        </is>
      </c>
    </row>
    <row r="167">
      <c r="A167" s="6" t="inlineStr">
        <is>
          <t>Ward no.</t>
        </is>
      </c>
      <c r="B167" s="6" t="inlineStr">
        <is>
          <t>Total population</t>
        </is>
      </c>
      <c r="C167" s="6" t="inlineStr">
        <is>
          <t>JE target population</t>
        </is>
      </c>
      <c r="D167" s="6" t="inlineStr">
        <is>
          <t>Vaccinated</t>
        </is>
      </c>
      <c r="E167" s="6" t="n"/>
      <c r="F167" s="6" t="n"/>
      <c r="G167" s="6" t="n"/>
      <c r="H167" s="6" t="n"/>
      <c r="I167" s="6" t="n"/>
      <c r="J167" s="6" t="n"/>
      <c r="K167" s="6" t="n"/>
      <c r="L167" s="6" t="n"/>
      <c r="M167" s="6" t="inlineStr">
        <is>
          <t>Progress %</t>
        </is>
      </c>
    </row>
    <row r="168">
      <c r="A168" s="6" t="n"/>
      <c r="B168" s="6" t="n"/>
      <c r="C168" s="6" t="n"/>
      <c r="D168" s="6" t="inlineStr">
        <is>
          <t>Age 30-60 yrs</t>
        </is>
      </c>
      <c r="E168" s="6" t="n"/>
      <c r="F168" s="6" t="n"/>
      <c r="G168" s="6" t="inlineStr">
        <is>
          <t>Age 60 above</t>
        </is>
      </c>
      <c r="H168" s="6" t="n"/>
      <c r="I168" s="6" t="n"/>
      <c r="J168" s="6" t="inlineStr">
        <is>
          <t>Total</t>
        </is>
      </c>
      <c r="K168" s="6" t="n"/>
      <c r="L168" s="6" t="inlineStr">
        <is>
          <t>Grand Total</t>
        </is>
      </c>
      <c r="M168" s="6" t="n"/>
    </row>
    <row r="169">
      <c r="A169" s="6" t="n"/>
      <c r="B169" s="6" t="n"/>
      <c r="C169" s="6" t="n"/>
      <c r="D169" s="6" t="inlineStr">
        <is>
          <t>F</t>
        </is>
      </c>
      <c r="E169" s="6" t="inlineStr">
        <is>
          <t>M</t>
        </is>
      </c>
      <c r="F169" s="6" t="inlineStr">
        <is>
          <t>Total</t>
        </is>
      </c>
      <c r="G169" s="6" t="inlineStr">
        <is>
          <t>F</t>
        </is>
      </c>
      <c r="H169" s="6" t="inlineStr">
        <is>
          <t>M</t>
        </is>
      </c>
      <c r="I169" s="6" t="inlineStr">
        <is>
          <t>Total</t>
        </is>
      </c>
      <c r="J169" s="6" t="inlineStr">
        <is>
          <t>F</t>
        </is>
      </c>
      <c r="K169" s="6" t="inlineStr">
        <is>
          <t>M</t>
        </is>
      </c>
      <c r="L169" s="6" t="n"/>
      <c r="M169" s="6" t="n"/>
    </row>
    <row r="170">
      <c r="A170" s="7" t="n">
        <v>1</v>
      </c>
      <c r="B170" s="8">
        <f>B5</f>
        <v/>
      </c>
      <c r="C170" s="8">
        <f>C5</f>
        <v/>
      </c>
      <c r="D170" s="14" t="n"/>
      <c r="E170" s="14" t="n"/>
      <c r="F170" s="8">
        <f>D170+E170</f>
        <v/>
      </c>
      <c r="G170" s="14" t="n"/>
      <c r="H170" s="14" t="n"/>
      <c r="I170" s="8">
        <f>G170+H170</f>
        <v/>
      </c>
      <c r="J170" s="8">
        <f>D170+G170</f>
        <v/>
      </c>
      <c r="K170" s="8">
        <f>E170+H170</f>
        <v/>
      </c>
      <c r="L170" s="8">
        <f>J170+K170</f>
        <v/>
      </c>
      <c r="M170" s="9">
        <f>IF(C170=0,0,L170/C170*100)</f>
        <v/>
      </c>
    </row>
    <row r="171">
      <c r="A171" s="7" t="n">
        <v>2</v>
      </c>
      <c r="B171" s="8">
        <f>B6</f>
        <v/>
      </c>
      <c r="C171" s="8">
        <f>C6</f>
        <v/>
      </c>
      <c r="D171" s="14" t="n"/>
      <c r="E171" s="14" t="n"/>
      <c r="F171" s="8">
        <f>D171+E171</f>
        <v/>
      </c>
      <c r="G171" s="14" t="n"/>
      <c r="H171" s="14" t="n"/>
      <c r="I171" s="8">
        <f>G171+H171</f>
        <v/>
      </c>
      <c r="J171" s="8">
        <f>D171+G171</f>
        <v/>
      </c>
      <c r="K171" s="8">
        <f>E171+H171</f>
        <v/>
      </c>
      <c r="L171" s="8">
        <f>J171+K171</f>
        <v/>
      </c>
      <c r="M171" s="9">
        <f>IF(C171=0,0,L171/C171*100)</f>
        <v/>
      </c>
    </row>
    <row r="172">
      <c r="A172" s="7" t="n">
        <v>3</v>
      </c>
      <c r="B172" s="8">
        <f>B7</f>
        <v/>
      </c>
      <c r="C172" s="8">
        <f>C7</f>
        <v/>
      </c>
      <c r="D172" s="14" t="n"/>
      <c r="E172" s="14" t="n"/>
      <c r="F172" s="8">
        <f>D172+E172</f>
        <v/>
      </c>
      <c r="G172" s="14" t="n"/>
      <c r="H172" s="14" t="n"/>
      <c r="I172" s="8">
        <f>G172+H172</f>
        <v/>
      </c>
      <c r="J172" s="8">
        <f>D172+G172</f>
        <v/>
      </c>
      <c r="K172" s="8">
        <f>E172+H172</f>
        <v/>
      </c>
      <c r="L172" s="8">
        <f>J172+K172</f>
        <v/>
      </c>
      <c r="M172" s="9">
        <f>IF(C172=0,0,L172/C172*100)</f>
        <v/>
      </c>
    </row>
    <row r="173">
      <c r="A173" s="7" t="n">
        <v>4</v>
      </c>
      <c r="B173" s="8">
        <f>B8</f>
        <v/>
      </c>
      <c r="C173" s="8">
        <f>C8</f>
        <v/>
      </c>
      <c r="D173" s="14" t="n"/>
      <c r="E173" s="14" t="n"/>
      <c r="F173" s="8">
        <f>D173+E173</f>
        <v/>
      </c>
      <c r="G173" s="14" t="n"/>
      <c r="H173" s="14" t="n"/>
      <c r="I173" s="8">
        <f>G173+H173</f>
        <v/>
      </c>
      <c r="J173" s="8">
        <f>D173+G173</f>
        <v/>
      </c>
      <c r="K173" s="8">
        <f>E173+H173</f>
        <v/>
      </c>
      <c r="L173" s="8">
        <f>J173+K173</f>
        <v/>
      </c>
      <c r="M173" s="9">
        <f>IF(C173=0,0,L173/C173*100)</f>
        <v/>
      </c>
    </row>
    <row r="174">
      <c r="A174" s="7" t="n">
        <v>5</v>
      </c>
      <c r="B174" s="8">
        <f>B9</f>
        <v/>
      </c>
      <c r="C174" s="8">
        <f>C9</f>
        <v/>
      </c>
      <c r="D174" s="14" t="n"/>
      <c r="E174" s="14" t="n"/>
      <c r="F174" s="8">
        <f>D174+E174</f>
        <v/>
      </c>
      <c r="G174" s="14" t="n"/>
      <c r="H174" s="14" t="n"/>
      <c r="I174" s="8">
        <f>G174+H174</f>
        <v/>
      </c>
      <c r="J174" s="8">
        <f>D174+G174</f>
        <v/>
      </c>
      <c r="K174" s="8">
        <f>E174+H174</f>
        <v/>
      </c>
      <c r="L174" s="8">
        <f>J174+K174</f>
        <v/>
      </c>
      <c r="M174" s="9">
        <f>IF(C174=0,0,L174/C174*100)</f>
        <v/>
      </c>
    </row>
    <row r="175">
      <c r="A175" s="10" t="inlineStr">
        <is>
          <t>Total</t>
        </is>
      </c>
      <c r="B175" s="11">
        <f>SUM(B170:B174)</f>
        <v/>
      </c>
      <c r="C175" s="11">
        <f>SUM(C170:C174)</f>
        <v/>
      </c>
      <c r="D175" s="11">
        <f>SUM(D170:D174)</f>
        <v/>
      </c>
      <c r="E175" s="11">
        <f>SUM(E170:E174)</f>
        <v/>
      </c>
      <c r="F175" s="11">
        <f>D175+E175</f>
        <v/>
      </c>
      <c r="G175" s="11">
        <f>SUM(G170:G174)</f>
        <v/>
      </c>
      <c r="H175" s="11">
        <f>SUM(H170:H174)</f>
        <v/>
      </c>
      <c r="I175" s="11">
        <f>G175+H175</f>
        <v/>
      </c>
      <c r="J175" s="11">
        <f>D175+G175</f>
        <v/>
      </c>
      <c r="K175" s="11">
        <f>E175+H175</f>
        <v/>
      </c>
      <c r="L175" s="11">
        <f>J175+K175</f>
        <v/>
      </c>
      <c r="M175" s="12">
        <f>IF(C175=0,0,L175/C175*100)</f>
        <v/>
      </c>
    </row>
  </sheetData>
  <sheetProtection selectLockedCells="0" selectUnlockedCells="0" sheet="1" objects="0" insertRows="1" insertHyperlinks="1" autoFilter="1" scenarios="0" formatColumns="0" deleteColumns="1" insertColumns="1" pivotTables="1" deleteRows="1" formatCells="0" formatRows="0" sort="1"/>
  <mergeCells count="160">
    <mergeCell ref="D13:L13"/>
    <mergeCell ref="A57:A59"/>
    <mergeCell ref="L91:L92"/>
    <mergeCell ref="A144:M144"/>
    <mergeCell ref="L3:L4"/>
    <mergeCell ref="B68:B70"/>
    <mergeCell ref="M57:M59"/>
    <mergeCell ref="A134:A136"/>
    <mergeCell ref="J146:K146"/>
    <mergeCell ref="L146:L147"/>
    <mergeCell ref="D47:F47"/>
    <mergeCell ref="B123:B125"/>
    <mergeCell ref="A13:A15"/>
    <mergeCell ref="A68:A70"/>
    <mergeCell ref="C13:C15"/>
    <mergeCell ref="L14:L15"/>
    <mergeCell ref="D134:L134"/>
    <mergeCell ref="D112:L112"/>
    <mergeCell ref="D102:F102"/>
    <mergeCell ref="D168:F168"/>
    <mergeCell ref="A123:A125"/>
    <mergeCell ref="M156:M158"/>
    <mergeCell ref="A24:A26"/>
    <mergeCell ref="C24:C26"/>
    <mergeCell ref="C101:C103"/>
    <mergeCell ref="D24:L24"/>
    <mergeCell ref="L168:L169"/>
    <mergeCell ref="D14:F14"/>
    <mergeCell ref="B134:B136"/>
    <mergeCell ref="D35:L35"/>
    <mergeCell ref="C35:C37"/>
    <mergeCell ref="B167:B169"/>
    <mergeCell ref="G36:I36"/>
    <mergeCell ref="B57:B59"/>
    <mergeCell ref="D90:L90"/>
    <mergeCell ref="D80:F80"/>
    <mergeCell ref="L80:L81"/>
    <mergeCell ref="G157:I157"/>
    <mergeCell ref="J58:K58"/>
    <mergeCell ref="C46:C48"/>
    <mergeCell ref="D101:L101"/>
    <mergeCell ref="D2:L2"/>
    <mergeCell ref="G69:I69"/>
    <mergeCell ref="A122:M122"/>
    <mergeCell ref="L157:L158"/>
    <mergeCell ref="D91:F91"/>
    <mergeCell ref="J102:K102"/>
    <mergeCell ref="A112:A114"/>
    <mergeCell ref="G124:I124"/>
    <mergeCell ref="L58:L59"/>
    <mergeCell ref="G14:I14"/>
    <mergeCell ref="B35:B37"/>
    <mergeCell ref="G80:I80"/>
    <mergeCell ref="D146:F146"/>
    <mergeCell ref="J157:K157"/>
    <mergeCell ref="M134:M136"/>
    <mergeCell ref="L113:L114"/>
    <mergeCell ref="D3:F3"/>
    <mergeCell ref="G135:I135"/>
    <mergeCell ref="B156:B158"/>
    <mergeCell ref="D25:F25"/>
    <mergeCell ref="J36:K36"/>
    <mergeCell ref="D167:L167"/>
    <mergeCell ref="C145:C147"/>
    <mergeCell ref="D157:F157"/>
    <mergeCell ref="M123:M125"/>
    <mergeCell ref="C156:C158"/>
    <mergeCell ref="B46:B48"/>
    <mergeCell ref="D79:L79"/>
    <mergeCell ref="D69:F69"/>
    <mergeCell ref="C79:C81"/>
    <mergeCell ref="J3:K3"/>
    <mergeCell ref="M35:M37"/>
    <mergeCell ref="A56:M56"/>
    <mergeCell ref="C90:C92"/>
    <mergeCell ref="B112:B114"/>
    <mergeCell ref="A101:A103"/>
    <mergeCell ref="A2:A4"/>
    <mergeCell ref="M101:M103"/>
    <mergeCell ref="C2:C4"/>
    <mergeCell ref="G146:I146"/>
    <mergeCell ref="A100:M100"/>
    <mergeCell ref="G3:I3"/>
    <mergeCell ref="B24:B26"/>
    <mergeCell ref="G58:I58"/>
    <mergeCell ref="A111:M111"/>
    <mergeCell ref="A34:M34"/>
    <mergeCell ref="D58:F58"/>
    <mergeCell ref="C68:C70"/>
    <mergeCell ref="G168:I168"/>
    <mergeCell ref="A79:A81"/>
    <mergeCell ref="G113:I113"/>
    <mergeCell ref="M112:M114"/>
    <mergeCell ref="A166:M166"/>
    <mergeCell ref="L25:L26"/>
    <mergeCell ref="A167:A169"/>
    <mergeCell ref="G47:I47"/>
    <mergeCell ref="D113:F113"/>
    <mergeCell ref="M167:M169"/>
    <mergeCell ref="A1:M1"/>
    <mergeCell ref="A45:M45"/>
    <mergeCell ref="L69:L70"/>
    <mergeCell ref="J25:K25"/>
    <mergeCell ref="G102:I102"/>
    <mergeCell ref="A78:M78"/>
    <mergeCell ref="C112:C114"/>
    <mergeCell ref="J168:K168"/>
    <mergeCell ref="B2:B4"/>
    <mergeCell ref="J113:K113"/>
    <mergeCell ref="J91:K91"/>
    <mergeCell ref="L124:L125"/>
    <mergeCell ref="B101:B103"/>
    <mergeCell ref="A89:M89"/>
    <mergeCell ref="C123:C125"/>
    <mergeCell ref="B13:B15"/>
    <mergeCell ref="D46:L46"/>
    <mergeCell ref="A12:M12"/>
    <mergeCell ref="A90:A92"/>
    <mergeCell ref="D36:F36"/>
    <mergeCell ref="C134:C136"/>
    <mergeCell ref="L36:L37"/>
    <mergeCell ref="M90:M92"/>
    <mergeCell ref="D124:F124"/>
    <mergeCell ref="M13:M15"/>
    <mergeCell ref="J135:K135"/>
    <mergeCell ref="A145:A147"/>
    <mergeCell ref="D57:L57"/>
    <mergeCell ref="M145:M147"/>
    <mergeCell ref="A23:M23"/>
    <mergeCell ref="C57:C59"/>
    <mergeCell ref="L47:L48"/>
    <mergeCell ref="J14:K14"/>
    <mergeCell ref="D145:L145"/>
    <mergeCell ref="D135:F135"/>
    <mergeCell ref="M24:M26"/>
    <mergeCell ref="A156:A158"/>
    <mergeCell ref="L102:L103"/>
    <mergeCell ref="J69:K69"/>
    <mergeCell ref="A35:A37"/>
    <mergeCell ref="D156:L156"/>
    <mergeCell ref="A155:M155"/>
    <mergeCell ref="A67:M67"/>
    <mergeCell ref="J80:K80"/>
    <mergeCell ref="B79:B81"/>
    <mergeCell ref="M68:M70"/>
    <mergeCell ref="G91:I91"/>
    <mergeCell ref="G25:I25"/>
    <mergeCell ref="D68:L68"/>
    <mergeCell ref="B90:B92"/>
    <mergeCell ref="M79:M81"/>
    <mergeCell ref="D123:L123"/>
    <mergeCell ref="J124:K124"/>
    <mergeCell ref="M2:M4"/>
    <mergeCell ref="J47:K47"/>
    <mergeCell ref="B145:B147"/>
    <mergeCell ref="A133:M133"/>
    <mergeCell ref="C167:C169"/>
    <mergeCell ref="L135:L136"/>
    <mergeCell ref="A46:A48"/>
    <mergeCell ref="M46:M48"/>
  </mergeCells>
  <dataValidations count="1">
    <dataValidation sqref="D16 D17 D18 D19 D20 D27 D28 D29 D30 D31 D38 D39 D40 D41 D42 D49 D50 D51 D52 D53 D60 D61 D62 D63 D64 D71 D72 D73 D74 D75 D82 D83 D84 D85 D86 D93 D94 D95 D96 D97 D104 D105 D106 D107 D108 D115 D116 D117 D118 D119 D126 D127 D128 D129 D130 D137 D138 D139 D140 D141 D148 D149 D150 D151 D152 D159 D160 D161 D162 D163 D170 D171 D172 D173 D174 E16 E17 E18 E19 E20 E27 E28 E29 E30 E31 E38 E39 E40 E41 E42 E49 E50 E51 E52 E53 E60 E61 E62 E63 E64 E71 E72 E73 E74 E75 E82 E83 E84 E85 E86 E93 E94 E95 E96 E97 E104 E105 E106 E107 E108 E115 E116 E117 E118 E119 E126 E127 E128 E129 E130 E137 E138 E139 E140 E141 E148 E149 E150 E151 E152 E159 E160 E161 E162 E163 E170 E171 E172 E173 E174 G16 G17 G18 G19 G20 G27 G28 G29 G30 G31 G38 G39 G40 G41 G42 G49 G50 G51 G52 G53 G60 G61 G62 G63 G64 G71 G72 G73 G74 G75 G82 G83 G84 G85 G86 G93 G94 G95 G96 G97 G104 G105 G106 G107 G108 G115 G116 G117 G118 G119 G126 G127 G128 G129 G130 G137 G138 G139 G140 G141 G148 G149 G150 G151 G152 G159 G160 G161 G162 G163 G170 G171 G172 G173 G174 H16 H17 H18 H19 H20 H27 H28 H29 H30 H31 H38 H39 H40 H41 H42 H49 H50 H51 H52 H53 H60 H61 H62 H63 H64 H71 H72 H73 H74 H75 H82 H83 H84 H85 H86 H93 H94 H95 H96 H97 H104 H105 H106 H107 H108 H115 H116 H117 H118 H119 H126 H127 H128 H129 H130 H137 H138 H139 H140 H141 H148 H149 H150 H151 H152 H159 H160 H161 H162 H163 H170 H171 H172 H173 H174" showDropDown="0" showInputMessage="0" showErrorMessage="1" allowBlank="0" errorTitle="Whole number only" error="Enter a whole number of 0 or more." type="whole" operator="greaterThanOrEqual">
      <formula1>0</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255"/>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13"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10" customWidth="1" min="12" max="12"/>
    <col width="9" customWidth="1" min="13" max="13"/>
  </cols>
  <sheetData>
    <row r="1">
      <c r="A1" s="5" t="inlineStr">
        <is>
          <t>Bhadrapur Municipality - Campaign Total (5-19 Oct 2026)</t>
        </is>
      </c>
    </row>
    <row r="2">
      <c r="A2" s="6" t="inlineStr">
        <is>
          <t>Ward no.</t>
        </is>
      </c>
      <c r="B2" s="6" t="inlineStr">
        <is>
          <t>Total population</t>
        </is>
      </c>
      <c r="C2" s="6" t="inlineStr">
        <is>
          <t>JE target population</t>
        </is>
      </c>
      <c r="D2" s="6" t="inlineStr">
        <is>
          <t>Vaccinated</t>
        </is>
      </c>
      <c r="E2" s="6" t="n"/>
      <c r="F2" s="6" t="n"/>
      <c r="G2" s="6" t="n"/>
      <c r="H2" s="6" t="n"/>
      <c r="I2" s="6" t="n"/>
      <c r="J2" s="6" t="n"/>
      <c r="K2" s="6" t="n"/>
      <c r="L2" s="6" t="n"/>
      <c r="M2" s="6" t="inlineStr">
        <is>
          <t>Progress %</t>
        </is>
      </c>
    </row>
    <row r="3">
      <c r="A3" s="6" t="n"/>
      <c r="B3" s="6" t="n"/>
      <c r="C3" s="6" t="n"/>
      <c r="D3" s="6" t="inlineStr">
        <is>
          <t>Age 30-60 yrs</t>
        </is>
      </c>
      <c r="E3" s="6" t="n"/>
      <c r="F3" s="6" t="n"/>
      <c r="G3" s="6" t="inlineStr">
        <is>
          <t>Age 60 above</t>
        </is>
      </c>
      <c r="H3" s="6" t="n"/>
      <c r="I3" s="6" t="n"/>
      <c r="J3" s="6" t="inlineStr">
        <is>
          <t>Total</t>
        </is>
      </c>
      <c r="K3" s="6" t="n"/>
      <c r="L3" s="6" t="inlineStr">
        <is>
          <t>Grand Total</t>
        </is>
      </c>
      <c r="M3" s="6" t="n"/>
    </row>
    <row r="4">
      <c r="A4" s="6" t="n"/>
      <c r="B4" s="6" t="n"/>
      <c r="C4" s="6" t="n"/>
      <c r="D4" s="6" t="inlineStr">
        <is>
          <t>F</t>
        </is>
      </c>
      <c r="E4" s="6" t="inlineStr">
        <is>
          <t>M</t>
        </is>
      </c>
      <c r="F4" s="6" t="inlineStr">
        <is>
          <t>Total</t>
        </is>
      </c>
      <c r="G4" s="6" t="inlineStr">
        <is>
          <t>F</t>
        </is>
      </c>
      <c r="H4" s="6" t="inlineStr">
        <is>
          <t>M</t>
        </is>
      </c>
      <c r="I4" s="6" t="inlineStr">
        <is>
          <t>Total</t>
        </is>
      </c>
      <c r="J4" s="6" t="inlineStr">
        <is>
          <t>F</t>
        </is>
      </c>
      <c r="K4" s="6" t="inlineStr">
        <is>
          <t>M</t>
        </is>
      </c>
      <c r="L4" s="6" t="n"/>
      <c r="M4" s="6" t="n"/>
    </row>
    <row r="5">
      <c r="A5" s="7" t="n">
        <v>1</v>
      </c>
      <c r="B5" s="8" t="n">
        <v>5960</v>
      </c>
      <c r="C5" s="8" t="n">
        <v>2860.8</v>
      </c>
      <c r="D5" s="8">
        <f>D21+D37+D53+D69+D85+D101+D117+D133+D149+D165+D181+D197+D213+D229+D245</f>
        <v/>
      </c>
      <c r="E5" s="8">
        <f>E21+E37+E53+E69+E85+E101+E117+E133+E149+E165+E181+E197+E213+E229+E245</f>
        <v/>
      </c>
      <c r="F5" s="8">
        <f>D5+E5</f>
        <v/>
      </c>
      <c r="G5" s="8">
        <f>G21+G37+G53+G69+G85+G101+G117+G133+G149+G165+G181+G197+G213+G229+G245</f>
        <v/>
      </c>
      <c r="H5" s="8">
        <f>H21+H37+H53+H69+H85+H101+H117+H133+H149+H165+H181+H197+H213+H229+H245</f>
        <v/>
      </c>
      <c r="I5" s="8">
        <f>G5+H5</f>
        <v/>
      </c>
      <c r="J5" s="8">
        <f>D5+G5</f>
        <v/>
      </c>
      <c r="K5" s="8">
        <f>E5+H5</f>
        <v/>
      </c>
      <c r="L5" s="8">
        <f>J5+K5</f>
        <v/>
      </c>
      <c r="M5" s="9">
        <f>IF(C5=0,0,L5/C5*100)</f>
        <v/>
      </c>
    </row>
    <row r="6">
      <c r="A6" s="7" t="n">
        <v>2</v>
      </c>
      <c r="B6" s="8" t="n">
        <v>7710</v>
      </c>
      <c r="C6" s="8" t="n">
        <v>3700.8</v>
      </c>
      <c r="D6" s="8">
        <f>D22+D38+D54+D70+D86+D102+D118+D134+D150+D166+D182+D198+D214+D230+D246</f>
        <v/>
      </c>
      <c r="E6" s="8">
        <f>E22+E38+E54+E70+E86+E102+E118+E134+E150+E166+E182+E198+E214+E230+E246</f>
        <v/>
      </c>
      <c r="F6" s="8">
        <f>D6+E6</f>
        <v/>
      </c>
      <c r="G6" s="8">
        <f>G22+G38+G54+G70+G86+G102+G118+G134+G150+G166+G182+G198+G214+G230+G246</f>
        <v/>
      </c>
      <c r="H6" s="8">
        <f>H22+H38+H54+H70+H86+H102+H118+H134+H150+H166+H182+H198+H214+H230+H246</f>
        <v/>
      </c>
      <c r="I6" s="8">
        <f>G6+H6</f>
        <v/>
      </c>
      <c r="J6" s="8">
        <f>D6+G6</f>
        <v/>
      </c>
      <c r="K6" s="8">
        <f>E6+H6</f>
        <v/>
      </c>
      <c r="L6" s="8">
        <f>J6+K6</f>
        <v/>
      </c>
      <c r="M6" s="9">
        <f>IF(C6=0,0,L6/C6*100)</f>
        <v/>
      </c>
    </row>
    <row r="7">
      <c r="A7" s="7" t="n">
        <v>3</v>
      </c>
      <c r="B7" s="8" t="n">
        <v>6812</v>
      </c>
      <c r="C7" s="8" t="n">
        <v>3269.76</v>
      </c>
      <c r="D7" s="8">
        <f>D23+D39+D55+D71+D87+D103+D119+D135+D151+D167+D183+D199+D215+D231+D247</f>
        <v/>
      </c>
      <c r="E7" s="8">
        <f>E23+E39+E55+E71+E87+E103+E119+E135+E151+E167+E183+E199+E215+E231+E247</f>
        <v/>
      </c>
      <c r="F7" s="8">
        <f>D7+E7</f>
        <v/>
      </c>
      <c r="G7" s="8">
        <f>G23+G39+G55+G71+G87+G103+G119+G135+G151+G167+G183+G199+G215+G231+G247</f>
        <v/>
      </c>
      <c r="H7" s="8">
        <f>H23+H39+H55+H71+H87+H103+H119+H135+H151+H167+H183+H199+H215+H231+H247</f>
        <v/>
      </c>
      <c r="I7" s="8">
        <f>G7+H7</f>
        <v/>
      </c>
      <c r="J7" s="8">
        <f>D7+G7</f>
        <v/>
      </c>
      <c r="K7" s="8">
        <f>E7+H7</f>
        <v/>
      </c>
      <c r="L7" s="8">
        <f>J7+K7</f>
        <v/>
      </c>
      <c r="M7" s="9">
        <f>IF(C7=0,0,L7/C7*100)</f>
        <v/>
      </c>
    </row>
    <row r="8">
      <c r="A8" s="7" t="n">
        <v>4</v>
      </c>
      <c r="B8" s="8" t="n">
        <v>7222</v>
      </c>
      <c r="C8" s="8" t="n">
        <v>3466.56</v>
      </c>
      <c r="D8" s="8">
        <f>D24+D40+D56+D72+D88+D104+D120+D136+D152+D168+D184+D200+D216+D232+D248</f>
        <v/>
      </c>
      <c r="E8" s="8">
        <f>E24+E40+E56+E72+E88+E104+E120+E136+E152+E168+E184+E200+E216+E232+E248</f>
        <v/>
      </c>
      <c r="F8" s="8">
        <f>D8+E8</f>
        <v/>
      </c>
      <c r="G8" s="8">
        <f>G24+G40+G56+G72+G88+G104+G120+G136+G152+G168+G184+G200+G216+G232+G248</f>
        <v/>
      </c>
      <c r="H8" s="8">
        <f>H24+H40+H56+H72+H88+H104+H120+H136+H152+H168+H184+H200+H216+H232+H248</f>
        <v/>
      </c>
      <c r="I8" s="8">
        <f>G8+H8</f>
        <v/>
      </c>
      <c r="J8" s="8">
        <f>D8+G8</f>
        <v/>
      </c>
      <c r="K8" s="8">
        <f>E8+H8</f>
        <v/>
      </c>
      <c r="L8" s="8">
        <f>J8+K8</f>
        <v/>
      </c>
      <c r="M8" s="9">
        <f>IF(C8=0,0,L8/C8*100)</f>
        <v/>
      </c>
    </row>
    <row r="9">
      <c r="A9" s="7" t="n">
        <v>5</v>
      </c>
      <c r="B9" s="8" t="n">
        <v>6980</v>
      </c>
      <c r="C9" s="8" t="n">
        <v>3350.4</v>
      </c>
      <c r="D9" s="8">
        <f>D25+D41+D57+D73+D89+D105+D121+D137+D153+D169+D185+D201+D217+D233+D249</f>
        <v/>
      </c>
      <c r="E9" s="8">
        <f>E25+E41+E57+E73+E89+E105+E121+E137+E153+E169+E185+E201+E217+E233+E249</f>
        <v/>
      </c>
      <c r="F9" s="8">
        <f>D9+E9</f>
        <v/>
      </c>
      <c r="G9" s="8">
        <f>G25+G41+G57+G73+G89+G105+G121+G137+G153+G169+G185+G201+G217+G233+G249</f>
        <v/>
      </c>
      <c r="H9" s="8">
        <f>H25+H41+H57+H73+H89+H105+H121+H137+H153+H169+H185+H201+H217+H233+H249</f>
        <v/>
      </c>
      <c r="I9" s="8">
        <f>G9+H9</f>
        <v/>
      </c>
      <c r="J9" s="8">
        <f>D9+G9</f>
        <v/>
      </c>
      <c r="K9" s="8">
        <f>E9+H9</f>
        <v/>
      </c>
      <c r="L9" s="8">
        <f>J9+K9</f>
        <v/>
      </c>
      <c r="M9" s="9">
        <f>IF(C9=0,0,L9/C9*100)</f>
        <v/>
      </c>
    </row>
    <row r="10">
      <c r="A10" s="7" t="n">
        <v>6</v>
      </c>
      <c r="B10" s="8" t="n">
        <v>7304</v>
      </c>
      <c r="C10" s="8" t="n">
        <v>3505.92</v>
      </c>
      <c r="D10" s="8">
        <f>D26+D42+D58+D74+D90+D106+D122+D138+D154+D170+D186+D202+D218+D234+D250</f>
        <v/>
      </c>
      <c r="E10" s="8">
        <f>E26+E42+E58+E74+E90+E106+E122+E138+E154+E170+E186+E202+E218+E234+E250</f>
        <v/>
      </c>
      <c r="F10" s="8">
        <f>D10+E10</f>
        <v/>
      </c>
      <c r="G10" s="8">
        <f>G26+G42+G58+G74+G90+G106+G122+G138+G154+G170+G186+G202+G218+G234+G250</f>
        <v/>
      </c>
      <c r="H10" s="8">
        <f>H26+H42+H58+H74+H90+H106+H122+H138+H154+H170+H186+H202+H218+H234+H250</f>
        <v/>
      </c>
      <c r="I10" s="8">
        <f>G10+H10</f>
        <v/>
      </c>
      <c r="J10" s="8">
        <f>D10+G10</f>
        <v/>
      </c>
      <c r="K10" s="8">
        <f>E10+H10</f>
        <v/>
      </c>
      <c r="L10" s="8">
        <f>J10+K10</f>
        <v/>
      </c>
      <c r="M10" s="9">
        <f>IF(C10=0,0,L10/C10*100)</f>
        <v/>
      </c>
    </row>
    <row r="11">
      <c r="A11" s="7" t="n">
        <v>7</v>
      </c>
      <c r="B11" s="8" t="n">
        <v>8314</v>
      </c>
      <c r="C11" s="8" t="n">
        <v>3990.719999999999</v>
      </c>
      <c r="D11" s="8">
        <f>D27+D43+D59+D75+D91+D107+D123+D139+D155+D171+D187+D203+D219+D235+D251</f>
        <v/>
      </c>
      <c r="E11" s="8">
        <f>E27+E43+E59+E75+E91+E107+E123+E139+E155+E171+E187+E203+E219+E235+E251</f>
        <v/>
      </c>
      <c r="F11" s="8">
        <f>D11+E11</f>
        <v/>
      </c>
      <c r="G11" s="8">
        <f>G27+G43+G59+G75+G91+G107+G123+G139+G155+G171+G187+G203+G219+G235+G251</f>
        <v/>
      </c>
      <c r="H11" s="8">
        <f>H27+H43+H59+H75+H91+H107+H123+H139+H155+H171+H187+H203+H219+H235+H251</f>
        <v/>
      </c>
      <c r="I11" s="8">
        <f>G11+H11</f>
        <v/>
      </c>
      <c r="J11" s="8">
        <f>D11+G11</f>
        <v/>
      </c>
      <c r="K11" s="8">
        <f>E11+H11</f>
        <v/>
      </c>
      <c r="L11" s="8">
        <f>J11+K11</f>
        <v/>
      </c>
      <c r="M11" s="9">
        <f>IF(C11=0,0,L11/C11*100)</f>
        <v/>
      </c>
    </row>
    <row r="12">
      <c r="A12" s="7" t="n">
        <v>8</v>
      </c>
      <c r="B12" s="8" t="n">
        <v>5804</v>
      </c>
      <c r="C12" s="8" t="n">
        <v>2785.92</v>
      </c>
      <c r="D12" s="8">
        <f>D28+D44+D60+D76+D92+D108+D124+D140+D156+D172+D188+D204+D220+D236+D252</f>
        <v/>
      </c>
      <c r="E12" s="8">
        <f>E28+E44+E60+E76+E92+E108+E124+E140+E156+E172+E188+E204+E220+E236+E252</f>
        <v/>
      </c>
      <c r="F12" s="8">
        <f>D12+E12</f>
        <v/>
      </c>
      <c r="G12" s="8">
        <f>G28+G44+G60+G76+G92+G108+G124+G140+G156+G172+G188+G204+G220+G236+G252</f>
        <v/>
      </c>
      <c r="H12" s="8">
        <f>H28+H44+H60+H76+H92+H108+H124+H140+H156+H172+H188+H204+H220+H236+H252</f>
        <v/>
      </c>
      <c r="I12" s="8">
        <f>G12+H12</f>
        <v/>
      </c>
      <c r="J12" s="8">
        <f>D12+G12</f>
        <v/>
      </c>
      <c r="K12" s="8">
        <f>E12+H12</f>
        <v/>
      </c>
      <c r="L12" s="8">
        <f>J12+K12</f>
        <v/>
      </c>
      <c r="M12" s="9">
        <f>IF(C12=0,0,L12/C12*100)</f>
        <v/>
      </c>
    </row>
    <row r="13">
      <c r="A13" s="7" t="n">
        <v>9</v>
      </c>
      <c r="B13" s="8" t="n">
        <v>7913</v>
      </c>
      <c r="C13" s="8" t="n">
        <v>3798.24</v>
      </c>
      <c r="D13" s="8">
        <f>D29+D45+D61+D77+D93+D109+D125+D141+D157+D173+D189+D205+D221+D237+D253</f>
        <v/>
      </c>
      <c r="E13" s="8">
        <f>E29+E45+E61+E77+E93+E109+E125+E141+E157+E173+E189+E205+E221+E237+E253</f>
        <v/>
      </c>
      <c r="F13" s="8">
        <f>D13+E13</f>
        <v/>
      </c>
      <c r="G13" s="8">
        <f>G29+G45+G61+G77+G93+G109+G125+G141+G157+G173+G189+G205+G221+G237+G253</f>
        <v/>
      </c>
      <c r="H13" s="8">
        <f>H29+H45+H61+H77+H93+H109+H125+H141+H157+H173+H189+H205+H221+H237+H253</f>
        <v/>
      </c>
      <c r="I13" s="8">
        <f>G13+H13</f>
        <v/>
      </c>
      <c r="J13" s="8">
        <f>D13+G13</f>
        <v/>
      </c>
      <c r="K13" s="8">
        <f>E13+H13</f>
        <v/>
      </c>
      <c r="L13" s="8">
        <f>J13+K13</f>
        <v/>
      </c>
      <c r="M13" s="9">
        <f>IF(C13=0,0,L13/C13*100)</f>
        <v/>
      </c>
    </row>
    <row r="14">
      <c r="A14" s="7" t="n">
        <v>10</v>
      </c>
      <c r="B14" s="8" t="n">
        <v>8231</v>
      </c>
      <c r="C14" s="8" t="n">
        <v>3950.879999999999</v>
      </c>
      <c r="D14" s="8">
        <f>D30+D46+D62+D78+D94+D110+D126+D142+D158+D174+D190+D206+D222+D238+D254</f>
        <v/>
      </c>
      <c r="E14" s="8">
        <f>E30+E46+E62+E78+E94+E110+E126+E142+E158+E174+E190+E206+E222+E238+E254</f>
        <v/>
      </c>
      <c r="F14" s="8">
        <f>D14+E14</f>
        <v/>
      </c>
      <c r="G14" s="8">
        <f>G30+G46+G62+G78+G94+G110+G126+G142+G158+G174+G190+G206+G222+G238+G254</f>
        <v/>
      </c>
      <c r="H14" s="8">
        <f>H30+H46+H62+H78+H94+H110+H126+H142+H158+H174+H190+H206+H222+H238+H254</f>
        <v/>
      </c>
      <c r="I14" s="8">
        <f>G14+H14</f>
        <v/>
      </c>
      <c r="J14" s="8">
        <f>D14+G14</f>
        <v/>
      </c>
      <c r="K14" s="8">
        <f>E14+H14</f>
        <v/>
      </c>
      <c r="L14" s="8">
        <f>J14+K14</f>
        <v/>
      </c>
      <c r="M14" s="9">
        <f>IF(C14=0,0,L14/C14*100)</f>
        <v/>
      </c>
    </row>
    <row r="15">
      <c r="A15" s="10" t="inlineStr">
        <is>
          <t>Total</t>
        </is>
      </c>
      <c r="B15" s="11">
        <f>SUM(B5:B14)</f>
        <v/>
      </c>
      <c r="C15" s="11">
        <f>SUM(C5:C14)</f>
        <v/>
      </c>
      <c r="D15" s="11">
        <f>SUM(D5:D14)</f>
        <v/>
      </c>
      <c r="E15" s="11">
        <f>SUM(E5:E14)</f>
        <v/>
      </c>
      <c r="F15" s="11">
        <f>D15+E15</f>
        <v/>
      </c>
      <c r="G15" s="11">
        <f>SUM(G5:G14)</f>
        <v/>
      </c>
      <c r="H15" s="11">
        <f>SUM(H5:H14)</f>
        <v/>
      </c>
      <c r="I15" s="11">
        <f>G15+H15</f>
        <v/>
      </c>
      <c r="J15" s="11">
        <f>D15+G15</f>
        <v/>
      </c>
      <c r="K15" s="11">
        <f>E15+H15</f>
        <v/>
      </c>
      <c r="L15" s="11">
        <f>J15+K15</f>
        <v/>
      </c>
      <c r="M15" s="12">
        <f>IF(C15=0,0,L15/C15*100)</f>
        <v/>
      </c>
    </row>
    <row r="17">
      <c r="A17" s="13" t="inlineStr">
        <is>
          <t>Day 1 - 2026-10-05 (Mon 19 Aswin 2083)</t>
        </is>
      </c>
    </row>
    <row r="18">
      <c r="A18" s="6" t="inlineStr">
        <is>
          <t>Ward no.</t>
        </is>
      </c>
      <c r="B18" s="6" t="inlineStr">
        <is>
          <t>Total population</t>
        </is>
      </c>
      <c r="C18" s="6" t="inlineStr">
        <is>
          <t>JE target population</t>
        </is>
      </c>
      <c r="D18" s="6" t="inlineStr">
        <is>
          <t>Vaccinated</t>
        </is>
      </c>
      <c r="E18" s="6" t="n"/>
      <c r="F18" s="6" t="n"/>
      <c r="G18" s="6" t="n"/>
      <c r="H18" s="6" t="n"/>
      <c r="I18" s="6" t="n"/>
      <c r="J18" s="6" t="n"/>
      <c r="K18" s="6" t="n"/>
      <c r="L18" s="6" t="n"/>
      <c r="M18" s="6" t="inlineStr">
        <is>
          <t>Progress %</t>
        </is>
      </c>
    </row>
    <row r="19">
      <c r="A19" s="6" t="n"/>
      <c r="B19" s="6" t="n"/>
      <c r="C19" s="6" t="n"/>
      <c r="D19" s="6" t="inlineStr">
        <is>
          <t>Age 30-60 yrs</t>
        </is>
      </c>
      <c r="E19" s="6" t="n"/>
      <c r="F19" s="6" t="n"/>
      <c r="G19" s="6" t="inlineStr">
        <is>
          <t>Age 60 above</t>
        </is>
      </c>
      <c r="H19" s="6" t="n"/>
      <c r="I19" s="6" t="n"/>
      <c r="J19" s="6" t="inlineStr">
        <is>
          <t>Total</t>
        </is>
      </c>
      <c r="K19" s="6" t="n"/>
      <c r="L19" s="6" t="inlineStr">
        <is>
          <t>Grand Total</t>
        </is>
      </c>
      <c r="M19" s="6" t="n"/>
    </row>
    <row r="20">
      <c r="A20" s="6" t="n"/>
      <c r="B20" s="6" t="n"/>
      <c r="C20" s="6" t="n"/>
      <c r="D20" s="6" t="inlineStr">
        <is>
          <t>F</t>
        </is>
      </c>
      <c r="E20" s="6" t="inlineStr">
        <is>
          <t>M</t>
        </is>
      </c>
      <c r="F20" s="6" t="inlineStr">
        <is>
          <t>Total</t>
        </is>
      </c>
      <c r="G20" s="6" t="inlineStr">
        <is>
          <t>F</t>
        </is>
      </c>
      <c r="H20" s="6" t="inlineStr">
        <is>
          <t>M</t>
        </is>
      </c>
      <c r="I20" s="6" t="inlineStr">
        <is>
          <t>Total</t>
        </is>
      </c>
      <c r="J20" s="6" t="inlineStr">
        <is>
          <t>F</t>
        </is>
      </c>
      <c r="K20" s="6" t="inlineStr">
        <is>
          <t>M</t>
        </is>
      </c>
      <c r="L20" s="6" t="n"/>
      <c r="M20" s="6" t="n"/>
    </row>
    <row r="21">
      <c r="A21" s="7" t="n">
        <v>1</v>
      </c>
      <c r="B21" s="8">
        <f>B5</f>
        <v/>
      </c>
      <c r="C21" s="8">
        <f>C5</f>
        <v/>
      </c>
      <c r="D21" s="14" t="n"/>
      <c r="E21" s="14" t="n"/>
      <c r="F21" s="8">
        <f>D21+E21</f>
        <v/>
      </c>
      <c r="G21" s="14" t="n"/>
      <c r="H21" s="14" t="n"/>
      <c r="I21" s="8">
        <f>G21+H21</f>
        <v/>
      </c>
      <c r="J21" s="8">
        <f>D21+G21</f>
        <v/>
      </c>
      <c r="K21" s="8">
        <f>E21+H21</f>
        <v/>
      </c>
      <c r="L21" s="8">
        <f>J21+K21</f>
        <v/>
      </c>
      <c r="M21" s="9">
        <f>IF(C21=0,0,L21/C21*100)</f>
        <v/>
      </c>
    </row>
    <row r="22">
      <c r="A22" s="7" t="n">
        <v>2</v>
      </c>
      <c r="B22" s="8">
        <f>B6</f>
        <v/>
      </c>
      <c r="C22" s="8">
        <f>C6</f>
        <v/>
      </c>
      <c r="D22" s="14" t="n"/>
      <c r="E22" s="14" t="n"/>
      <c r="F22" s="8">
        <f>D22+E22</f>
        <v/>
      </c>
      <c r="G22" s="14" t="n"/>
      <c r="H22" s="14" t="n"/>
      <c r="I22" s="8">
        <f>G22+H22</f>
        <v/>
      </c>
      <c r="J22" s="8">
        <f>D22+G22</f>
        <v/>
      </c>
      <c r="K22" s="8">
        <f>E22+H22</f>
        <v/>
      </c>
      <c r="L22" s="8">
        <f>J22+K22</f>
        <v/>
      </c>
      <c r="M22" s="9">
        <f>IF(C22=0,0,L22/C22*100)</f>
        <v/>
      </c>
    </row>
    <row r="23">
      <c r="A23" s="7" t="n">
        <v>3</v>
      </c>
      <c r="B23" s="8">
        <f>B7</f>
        <v/>
      </c>
      <c r="C23" s="8">
        <f>C7</f>
        <v/>
      </c>
      <c r="D23" s="14" t="n"/>
      <c r="E23" s="14" t="n"/>
      <c r="F23" s="8">
        <f>D23+E23</f>
        <v/>
      </c>
      <c r="G23" s="14" t="n"/>
      <c r="H23" s="14" t="n"/>
      <c r="I23" s="8">
        <f>G23+H23</f>
        <v/>
      </c>
      <c r="J23" s="8">
        <f>D23+G23</f>
        <v/>
      </c>
      <c r="K23" s="8">
        <f>E23+H23</f>
        <v/>
      </c>
      <c r="L23" s="8">
        <f>J23+K23</f>
        <v/>
      </c>
      <c r="M23" s="9">
        <f>IF(C23=0,0,L23/C23*100)</f>
        <v/>
      </c>
    </row>
    <row r="24">
      <c r="A24" s="7" t="n">
        <v>4</v>
      </c>
      <c r="B24" s="8">
        <f>B8</f>
        <v/>
      </c>
      <c r="C24" s="8">
        <f>C8</f>
        <v/>
      </c>
      <c r="D24" s="14" t="n"/>
      <c r="E24" s="14" t="n"/>
      <c r="F24" s="8">
        <f>D24+E24</f>
        <v/>
      </c>
      <c r="G24" s="14" t="n"/>
      <c r="H24" s="14" t="n"/>
      <c r="I24" s="8">
        <f>G24+H24</f>
        <v/>
      </c>
      <c r="J24" s="8">
        <f>D24+G24</f>
        <v/>
      </c>
      <c r="K24" s="8">
        <f>E24+H24</f>
        <v/>
      </c>
      <c r="L24" s="8">
        <f>J24+K24</f>
        <v/>
      </c>
      <c r="M24" s="9">
        <f>IF(C24=0,0,L24/C24*100)</f>
        <v/>
      </c>
    </row>
    <row r="25">
      <c r="A25" s="7" t="n">
        <v>5</v>
      </c>
      <c r="B25" s="8">
        <f>B9</f>
        <v/>
      </c>
      <c r="C25" s="8">
        <f>C9</f>
        <v/>
      </c>
      <c r="D25" s="14" t="n"/>
      <c r="E25" s="14" t="n"/>
      <c r="F25" s="8">
        <f>D25+E25</f>
        <v/>
      </c>
      <c r="G25" s="14" t="n"/>
      <c r="H25" s="14" t="n"/>
      <c r="I25" s="8">
        <f>G25+H25</f>
        <v/>
      </c>
      <c r="J25" s="8">
        <f>D25+G25</f>
        <v/>
      </c>
      <c r="K25" s="8">
        <f>E25+H25</f>
        <v/>
      </c>
      <c r="L25" s="8">
        <f>J25+K25</f>
        <v/>
      </c>
      <c r="M25" s="9">
        <f>IF(C25=0,0,L25/C25*100)</f>
        <v/>
      </c>
    </row>
    <row r="26">
      <c r="A26" s="7" t="n">
        <v>6</v>
      </c>
      <c r="B26" s="8">
        <f>B10</f>
        <v/>
      </c>
      <c r="C26" s="8">
        <f>C10</f>
        <v/>
      </c>
      <c r="D26" s="14" t="n"/>
      <c r="E26" s="14" t="n"/>
      <c r="F26" s="8">
        <f>D26+E26</f>
        <v/>
      </c>
      <c r="G26" s="14" t="n"/>
      <c r="H26" s="14" t="n"/>
      <c r="I26" s="8">
        <f>G26+H26</f>
        <v/>
      </c>
      <c r="J26" s="8">
        <f>D26+G26</f>
        <v/>
      </c>
      <c r="K26" s="8">
        <f>E26+H26</f>
        <v/>
      </c>
      <c r="L26" s="8">
        <f>J26+K26</f>
        <v/>
      </c>
      <c r="M26" s="9">
        <f>IF(C26=0,0,L26/C26*100)</f>
        <v/>
      </c>
    </row>
    <row r="27">
      <c r="A27" s="7" t="n">
        <v>7</v>
      </c>
      <c r="B27" s="8">
        <f>B11</f>
        <v/>
      </c>
      <c r="C27" s="8">
        <f>C11</f>
        <v/>
      </c>
      <c r="D27" s="14" t="n"/>
      <c r="E27" s="14" t="n"/>
      <c r="F27" s="8">
        <f>D27+E27</f>
        <v/>
      </c>
      <c r="G27" s="14" t="n"/>
      <c r="H27" s="14" t="n"/>
      <c r="I27" s="8">
        <f>G27+H27</f>
        <v/>
      </c>
      <c r="J27" s="8">
        <f>D27+G27</f>
        <v/>
      </c>
      <c r="K27" s="8">
        <f>E27+H27</f>
        <v/>
      </c>
      <c r="L27" s="8">
        <f>J27+K27</f>
        <v/>
      </c>
      <c r="M27" s="9">
        <f>IF(C27=0,0,L27/C27*100)</f>
        <v/>
      </c>
    </row>
    <row r="28">
      <c r="A28" s="7" t="n">
        <v>8</v>
      </c>
      <c r="B28" s="8">
        <f>B12</f>
        <v/>
      </c>
      <c r="C28" s="8">
        <f>C12</f>
        <v/>
      </c>
      <c r="D28" s="14" t="n"/>
      <c r="E28" s="14" t="n"/>
      <c r="F28" s="8">
        <f>D28+E28</f>
        <v/>
      </c>
      <c r="G28" s="14" t="n"/>
      <c r="H28" s="14" t="n"/>
      <c r="I28" s="8">
        <f>G28+H28</f>
        <v/>
      </c>
      <c r="J28" s="8">
        <f>D28+G28</f>
        <v/>
      </c>
      <c r="K28" s="8">
        <f>E28+H28</f>
        <v/>
      </c>
      <c r="L28" s="8">
        <f>J28+K28</f>
        <v/>
      </c>
      <c r="M28" s="9">
        <f>IF(C28=0,0,L28/C28*100)</f>
        <v/>
      </c>
    </row>
    <row r="29">
      <c r="A29" s="7" t="n">
        <v>9</v>
      </c>
      <c r="B29" s="8">
        <f>B13</f>
        <v/>
      </c>
      <c r="C29" s="8">
        <f>C13</f>
        <v/>
      </c>
      <c r="D29" s="14" t="n"/>
      <c r="E29" s="14" t="n"/>
      <c r="F29" s="8">
        <f>D29+E29</f>
        <v/>
      </c>
      <c r="G29" s="14" t="n"/>
      <c r="H29" s="14" t="n"/>
      <c r="I29" s="8">
        <f>G29+H29</f>
        <v/>
      </c>
      <c r="J29" s="8">
        <f>D29+G29</f>
        <v/>
      </c>
      <c r="K29" s="8">
        <f>E29+H29</f>
        <v/>
      </c>
      <c r="L29" s="8">
        <f>J29+K29</f>
        <v/>
      </c>
      <c r="M29" s="9">
        <f>IF(C29=0,0,L29/C29*100)</f>
        <v/>
      </c>
    </row>
    <row r="30">
      <c r="A30" s="7" t="n">
        <v>10</v>
      </c>
      <c r="B30" s="8">
        <f>B14</f>
        <v/>
      </c>
      <c r="C30" s="8">
        <f>C14</f>
        <v/>
      </c>
      <c r="D30" s="14" t="n"/>
      <c r="E30" s="14" t="n"/>
      <c r="F30" s="8">
        <f>D30+E30</f>
        <v/>
      </c>
      <c r="G30" s="14" t="n"/>
      <c r="H30" s="14" t="n"/>
      <c r="I30" s="8">
        <f>G30+H30</f>
        <v/>
      </c>
      <c r="J30" s="8">
        <f>D30+G30</f>
        <v/>
      </c>
      <c r="K30" s="8">
        <f>E30+H30</f>
        <v/>
      </c>
      <c r="L30" s="8">
        <f>J30+K30</f>
        <v/>
      </c>
      <c r="M30" s="9">
        <f>IF(C30=0,0,L30/C30*100)</f>
        <v/>
      </c>
    </row>
    <row r="31">
      <c r="A31" s="10" t="inlineStr">
        <is>
          <t>Total</t>
        </is>
      </c>
      <c r="B31" s="11">
        <f>SUM(B21:B30)</f>
        <v/>
      </c>
      <c r="C31" s="11">
        <f>SUM(C21:C30)</f>
        <v/>
      </c>
      <c r="D31" s="11">
        <f>SUM(D21:D30)</f>
        <v/>
      </c>
      <c r="E31" s="11">
        <f>SUM(E21:E30)</f>
        <v/>
      </c>
      <c r="F31" s="11">
        <f>D31+E31</f>
        <v/>
      </c>
      <c r="G31" s="11">
        <f>SUM(G21:G30)</f>
        <v/>
      </c>
      <c r="H31" s="11">
        <f>SUM(H21:H30)</f>
        <v/>
      </c>
      <c r="I31" s="11">
        <f>G31+H31</f>
        <v/>
      </c>
      <c r="J31" s="11">
        <f>D31+G31</f>
        <v/>
      </c>
      <c r="K31" s="11">
        <f>E31+H31</f>
        <v/>
      </c>
      <c r="L31" s="11">
        <f>J31+K31</f>
        <v/>
      </c>
      <c r="M31" s="12">
        <f>IF(C31=0,0,L31/C31*100)</f>
        <v/>
      </c>
    </row>
    <row r="33">
      <c r="A33" s="13" t="inlineStr">
        <is>
          <t>Day 2 - 2026-10-06 (Tue 20 Aswin 2083)</t>
        </is>
      </c>
    </row>
    <row r="34">
      <c r="A34" s="6" t="inlineStr">
        <is>
          <t>Ward no.</t>
        </is>
      </c>
      <c r="B34" s="6" t="inlineStr">
        <is>
          <t>Total population</t>
        </is>
      </c>
      <c r="C34" s="6" t="inlineStr">
        <is>
          <t>JE target population</t>
        </is>
      </c>
      <c r="D34" s="6" t="inlineStr">
        <is>
          <t>Vaccinated</t>
        </is>
      </c>
      <c r="E34" s="6" t="n"/>
      <c r="F34" s="6" t="n"/>
      <c r="G34" s="6" t="n"/>
      <c r="H34" s="6" t="n"/>
      <c r="I34" s="6" t="n"/>
      <c r="J34" s="6" t="n"/>
      <c r="K34" s="6" t="n"/>
      <c r="L34" s="6" t="n"/>
      <c r="M34" s="6" t="inlineStr">
        <is>
          <t>Progress %</t>
        </is>
      </c>
    </row>
    <row r="35">
      <c r="A35" s="6" t="n"/>
      <c r="B35" s="6" t="n"/>
      <c r="C35" s="6" t="n"/>
      <c r="D35" s="6" t="inlineStr">
        <is>
          <t>Age 30-60 yrs</t>
        </is>
      </c>
      <c r="E35" s="6" t="n"/>
      <c r="F35" s="6" t="n"/>
      <c r="G35" s="6" t="inlineStr">
        <is>
          <t>Age 60 above</t>
        </is>
      </c>
      <c r="H35" s="6" t="n"/>
      <c r="I35" s="6" t="n"/>
      <c r="J35" s="6" t="inlineStr">
        <is>
          <t>Total</t>
        </is>
      </c>
      <c r="K35" s="6" t="n"/>
      <c r="L35" s="6" t="inlineStr">
        <is>
          <t>Grand Total</t>
        </is>
      </c>
      <c r="M35" s="6" t="n"/>
    </row>
    <row r="36">
      <c r="A36" s="6" t="n"/>
      <c r="B36" s="6" t="n"/>
      <c r="C36" s="6" t="n"/>
      <c r="D36" s="6" t="inlineStr">
        <is>
          <t>F</t>
        </is>
      </c>
      <c r="E36" s="6" t="inlineStr">
        <is>
          <t>M</t>
        </is>
      </c>
      <c r="F36" s="6" t="inlineStr">
        <is>
          <t>Total</t>
        </is>
      </c>
      <c r="G36" s="6" t="inlineStr">
        <is>
          <t>F</t>
        </is>
      </c>
      <c r="H36" s="6" t="inlineStr">
        <is>
          <t>M</t>
        </is>
      </c>
      <c r="I36" s="6" t="inlineStr">
        <is>
          <t>Total</t>
        </is>
      </c>
      <c r="J36" s="6" t="inlineStr">
        <is>
          <t>F</t>
        </is>
      </c>
      <c r="K36" s="6" t="inlineStr">
        <is>
          <t>M</t>
        </is>
      </c>
      <c r="L36" s="6" t="n"/>
      <c r="M36" s="6" t="n"/>
    </row>
    <row r="37">
      <c r="A37" s="7" t="n">
        <v>1</v>
      </c>
      <c r="B37" s="8">
        <f>B5</f>
        <v/>
      </c>
      <c r="C37" s="8">
        <f>C5</f>
        <v/>
      </c>
      <c r="D37" s="14" t="n"/>
      <c r="E37" s="14" t="n"/>
      <c r="F37" s="8">
        <f>D37+E37</f>
        <v/>
      </c>
      <c r="G37" s="14" t="n"/>
      <c r="H37" s="14" t="n"/>
      <c r="I37" s="8">
        <f>G37+H37</f>
        <v/>
      </c>
      <c r="J37" s="8">
        <f>D37+G37</f>
        <v/>
      </c>
      <c r="K37" s="8">
        <f>E37+H37</f>
        <v/>
      </c>
      <c r="L37" s="8">
        <f>J37+K37</f>
        <v/>
      </c>
      <c r="M37" s="9">
        <f>IF(C37=0,0,L37/C37*100)</f>
        <v/>
      </c>
    </row>
    <row r="38">
      <c r="A38" s="7" t="n">
        <v>2</v>
      </c>
      <c r="B38" s="8">
        <f>B6</f>
        <v/>
      </c>
      <c r="C38" s="8">
        <f>C6</f>
        <v/>
      </c>
      <c r="D38" s="14" t="n"/>
      <c r="E38" s="14" t="n"/>
      <c r="F38" s="8">
        <f>D38+E38</f>
        <v/>
      </c>
      <c r="G38" s="14" t="n"/>
      <c r="H38" s="14" t="n"/>
      <c r="I38" s="8">
        <f>G38+H38</f>
        <v/>
      </c>
      <c r="J38" s="8">
        <f>D38+G38</f>
        <v/>
      </c>
      <c r="K38" s="8">
        <f>E38+H38</f>
        <v/>
      </c>
      <c r="L38" s="8">
        <f>J38+K38</f>
        <v/>
      </c>
      <c r="M38" s="9">
        <f>IF(C38=0,0,L38/C38*100)</f>
        <v/>
      </c>
    </row>
    <row r="39">
      <c r="A39" s="7" t="n">
        <v>3</v>
      </c>
      <c r="B39" s="8">
        <f>B7</f>
        <v/>
      </c>
      <c r="C39" s="8">
        <f>C7</f>
        <v/>
      </c>
      <c r="D39" s="14" t="n"/>
      <c r="E39" s="14" t="n"/>
      <c r="F39" s="8">
        <f>D39+E39</f>
        <v/>
      </c>
      <c r="G39" s="14" t="n"/>
      <c r="H39" s="14" t="n"/>
      <c r="I39" s="8">
        <f>G39+H39</f>
        <v/>
      </c>
      <c r="J39" s="8">
        <f>D39+G39</f>
        <v/>
      </c>
      <c r="K39" s="8">
        <f>E39+H39</f>
        <v/>
      </c>
      <c r="L39" s="8">
        <f>J39+K39</f>
        <v/>
      </c>
      <c r="M39" s="9">
        <f>IF(C39=0,0,L39/C39*100)</f>
        <v/>
      </c>
    </row>
    <row r="40">
      <c r="A40" s="7" t="n">
        <v>4</v>
      </c>
      <c r="B40" s="8">
        <f>B8</f>
        <v/>
      </c>
      <c r="C40" s="8">
        <f>C8</f>
        <v/>
      </c>
      <c r="D40" s="14" t="n"/>
      <c r="E40" s="14" t="n"/>
      <c r="F40" s="8">
        <f>D40+E40</f>
        <v/>
      </c>
      <c r="G40" s="14" t="n"/>
      <c r="H40" s="14" t="n"/>
      <c r="I40" s="8">
        <f>G40+H40</f>
        <v/>
      </c>
      <c r="J40" s="8">
        <f>D40+G40</f>
        <v/>
      </c>
      <c r="K40" s="8">
        <f>E40+H40</f>
        <v/>
      </c>
      <c r="L40" s="8">
        <f>J40+K40</f>
        <v/>
      </c>
      <c r="M40" s="9">
        <f>IF(C40=0,0,L40/C40*100)</f>
        <v/>
      </c>
    </row>
    <row r="41">
      <c r="A41" s="7" t="n">
        <v>5</v>
      </c>
      <c r="B41" s="8">
        <f>B9</f>
        <v/>
      </c>
      <c r="C41" s="8">
        <f>C9</f>
        <v/>
      </c>
      <c r="D41" s="14" t="n"/>
      <c r="E41" s="14" t="n"/>
      <c r="F41" s="8">
        <f>D41+E41</f>
        <v/>
      </c>
      <c r="G41" s="14" t="n"/>
      <c r="H41" s="14" t="n"/>
      <c r="I41" s="8">
        <f>G41+H41</f>
        <v/>
      </c>
      <c r="J41" s="8">
        <f>D41+G41</f>
        <v/>
      </c>
      <c r="K41" s="8">
        <f>E41+H41</f>
        <v/>
      </c>
      <c r="L41" s="8">
        <f>J41+K41</f>
        <v/>
      </c>
      <c r="M41" s="9">
        <f>IF(C41=0,0,L41/C41*100)</f>
        <v/>
      </c>
    </row>
    <row r="42">
      <c r="A42" s="7" t="n">
        <v>6</v>
      </c>
      <c r="B42" s="8">
        <f>B10</f>
        <v/>
      </c>
      <c r="C42" s="8">
        <f>C10</f>
        <v/>
      </c>
      <c r="D42" s="14" t="n"/>
      <c r="E42" s="14" t="n"/>
      <c r="F42" s="8">
        <f>D42+E42</f>
        <v/>
      </c>
      <c r="G42" s="14" t="n"/>
      <c r="H42" s="14" t="n"/>
      <c r="I42" s="8">
        <f>G42+H42</f>
        <v/>
      </c>
      <c r="J42" s="8">
        <f>D42+G42</f>
        <v/>
      </c>
      <c r="K42" s="8">
        <f>E42+H42</f>
        <v/>
      </c>
      <c r="L42" s="8">
        <f>J42+K42</f>
        <v/>
      </c>
      <c r="M42" s="9">
        <f>IF(C42=0,0,L42/C42*100)</f>
        <v/>
      </c>
    </row>
    <row r="43">
      <c r="A43" s="7" t="n">
        <v>7</v>
      </c>
      <c r="B43" s="8">
        <f>B11</f>
        <v/>
      </c>
      <c r="C43" s="8">
        <f>C11</f>
        <v/>
      </c>
      <c r="D43" s="14" t="n"/>
      <c r="E43" s="14" t="n"/>
      <c r="F43" s="8">
        <f>D43+E43</f>
        <v/>
      </c>
      <c r="G43" s="14" t="n"/>
      <c r="H43" s="14" t="n"/>
      <c r="I43" s="8">
        <f>G43+H43</f>
        <v/>
      </c>
      <c r="J43" s="8">
        <f>D43+G43</f>
        <v/>
      </c>
      <c r="K43" s="8">
        <f>E43+H43</f>
        <v/>
      </c>
      <c r="L43" s="8">
        <f>J43+K43</f>
        <v/>
      </c>
      <c r="M43" s="9">
        <f>IF(C43=0,0,L43/C43*100)</f>
        <v/>
      </c>
    </row>
    <row r="44">
      <c r="A44" s="7" t="n">
        <v>8</v>
      </c>
      <c r="B44" s="8">
        <f>B12</f>
        <v/>
      </c>
      <c r="C44" s="8">
        <f>C12</f>
        <v/>
      </c>
      <c r="D44" s="14" t="n"/>
      <c r="E44" s="14" t="n"/>
      <c r="F44" s="8">
        <f>D44+E44</f>
        <v/>
      </c>
      <c r="G44" s="14" t="n"/>
      <c r="H44" s="14" t="n"/>
      <c r="I44" s="8">
        <f>G44+H44</f>
        <v/>
      </c>
      <c r="J44" s="8">
        <f>D44+G44</f>
        <v/>
      </c>
      <c r="K44" s="8">
        <f>E44+H44</f>
        <v/>
      </c>
      <c r="L44" s="8">
        <f>J44+K44</f>
        <v/>
      </c>
      <c r="M44" s="9">
        <f>IF(C44=0,0,L44/C44*100)</f>
        <v/>
      </c>
    </row>
    <row r="45">
      <c r="A45" s="7" t="n">
        <v>9</v>
      </c>
      <c r="B45" s="8">
        <f>B13</f>
        <v/>
      </c>
      <c r="C45" s="8">
        <f>C13</f>
        <v/>
      </c>
      <c r="D45" s="14" t="n"/>
      <c r="E45" s="14" t="n"/>
      <c r="F45" s="8">
        <f>D45+E45</f>
        <v/>
      </c>
      <c r="G45" s="14" t="n"/>
      <c r="H45" s="14" t="n"/>
      <c r="I45" s="8">
        <f>G45+H45</f>
        <v/>
      </c>
      <c r="J45" s="8">
        <f>D45+G45</f>
        <v/>
      </c>
      <c r="K45" s="8">
        <f>E45+H45</f>
        <v/>
      </c>
      <c r="L45" s="8">
        <f>J45+K45</f>
        <v/>
      </c>
      <c r="M45" s="9">
        <f>IF(C45=0,0,L45/C45*100)</f>
        <v/>
      </c>
    </row>
    <row r="46">
      <c r="A46" s="7" t="n">
        <v>10</v>
      </c>
      <c r="B46" s="8">
        <f>B14</f>
        <v/>
      </c>
      <c r="C46" s="8">
        <f>C14</f>
        <v/>
      </c>
      <c r="D46" s="14" t="n"/>
      <c r="E46" s="14" t="n"/>
      <c r="F46" s="8">
        <f>D46+E46</f>
        <v/>
      </c>
      <c r="G46" s="14" t="n"/>
      <c r="H46" s="14" t="n"/>
      <c r="I46" s="8">
        <f>G46+H46</f>
        <v/>
      </c>
      <c r="J46" s="8">
        <f>D46+G46</f>
        <v/>
      </c>
      <c r="K46" s="8">
        <f>E46+H46</f>
        <v/>
      </c>
      <c r="L46" s="8">
        <f>J46+K46</f>
        <v/>
      </c>
      <c r="M46" s="9">
        <f>IF(C46=0,0,L46/C46*100)</f>
        <v/>
      </c>
    </row>
    <row r="47">
      <c r="A47" s="10" t="inlineStr">
        <is>
          <t>Total</t>
        </is>
      </c>
      <c r="B47" s="11">
        <f>SUM(B37:B46)</f>
        <v/>
      </c>
      <c r="C47" s="11">
        <f>SUM(C37:C46)</f>
        <v/>
      </c>
      <c r="D47" s="11">
        <f>SUM(D37:D46)</f>
        <v/>
      </c>
      <c r="E47" s="11">
        <f>SUM(E37:E46)</f>
        <v/>
      </c>
      <c r="F47" s="11">
        <f>D47+E47</f>
        <v/>
      </c>
      <c r="G47" s="11">
        <f>SUM(G37:G46)</f>
        <v/>
      </c>
      <c r="H47" s="11">
        <f>SUM(H37:H46)</f>
        <v/>
      </c>
      <c r="I47" s="11">
        <f>G47+H47</f>
        <v/>
      </c>
      <c r="J47" s="11">
        <f>D47+G47</f>
        <v/>
      </c>
      <c r="K47" s="11">
        <f>E47+H47</f>
        <v/>
      </c>
      <c r="L47" s="11">
        <f>J47+K47</f>
        <v/>
      </c>
      <c r="M47" s="12">
        <f>IF(C47=0,0,L47/C47*100)</f>
        <v/>
      </c>
    </row>
    <row r="49">
      <c r="A49" s="13" t="inlineStr">
        <is>
          <t>Day 3 - 2026-10-07 (Wed 21 Aswin 2083)</t>
        </is>
      </c>
    </row>
    <row r="50">
      <c r="A50" s="6" t="inlineStr">
        <is>
          <t>Ward no.</t>
        </is>
      </c>
      <c r="B50" s="6" t="inlineStr">
        <is>
          <t>Total population</t>
        </is>
      </c>
      <c r="C50" s="6" t="inlineStr">
        <is>
          <t>JE target population</t>
        </is>
      </c>
      <c r="D50" s="6" t="inlineStr">
        <is>
          <t>Vaccinated</t>
        </is>
      </c>
      <c r="E50" s="6" t="n"/>
      <c r="F50" s="6" t="n"/>
      <c r="G50" s="6" t="n"/>
      <c r="H50" s="6" t="n"/>
      <c r="I50" s="6" t="n"/>
      <c r="J50" s="6" t="n"/>
      <c r="K50" s="6" t="n"/>
      <c r="L50" s="6" t="n"/>
      <c r="M50" s="6" t="inlineStr">
        <is>
          <t>Progress %</t>
        </is>
      </c>
    </row>
    <row r="51">
      <c r="A51" s="6" t="n"/>
      <c r="B51" s="6" t="n"/>
      <c r="C51" s="6" t="n"/>
      <c r="D51" s="6" t="inlineStr">
        <is>
          <t>Age 30-60 yrs</t>
        </is>
      </c>
      <c r="E51" s="6" t="n"/>
      <c r="F51" s="6" t="n"/>
      <c r="G51" s="6" t="inlineStr">
        <is>
          <t>Age 60 above</t>
        </is>
      </c>
      <c r="H51" s="6" t="n"/>
      <c r="I51" s="6" t="n"/>
      <c r="J51" s="6" t="inlineStr">
        <is>
          <t>Total</t>
        </is>
      </c>
      <c r="K51" s="6" t="n"/>
      <c r="L51" s="6" t="inlineStr">
        <is>
          <t>Grand Total</t>
        </is>
      </c>
      <c r="M51" s="6" t="n"/>
    </row>
    <row r="52">
      <c r="A52" s="6" t="n"/>
      <c r="B52" s="6" t="n"/>
      <c r="C52" s="6" t="n"/>
      <c r="D52" s="6" t="inlineStr">
        <is>
          <t>F</t>
        </is>
      </c>
      <c r="E52" s="6" t="inlineStr">
        <is>
          <t>M</t>
        </is>
      </c>
      <c r="F52" s="6" t="inlineStr">
        <is>
          <t>Total</t>
        </is>
      </c>
      <c r="G52" s="6" t="inlineStr">
        <is>
          <t>F</t>
        </is>
      </c>
      <c r="H52" s="6" t="inlineStr">
        <is>
          <t>M</t>
        </is>
      </c>
      <c r="I52" s="6" t="inlineStr">
        <is>
          <t>Total</t>
        </is>
      </c>
      <c r="J52" s="6" t="inlineStr">
        <is>
          <t>F</t>
        </is>
      </c>
      <c r="K52" s="6" t="inlineStr">
        <is>
          <t>M</t>
        </is>
      </c>
      <c r="L52" s="6" t="n"/>
      <c r="M52" s="6" t="n"/>
    </row>
    <row r="53">
      <c r="A53" s="7" t="n">
        <v>1</v>
      </c>
      <c r="B53" s="8">
        <f>B5</f>
        <v/>
      </c>
      <c r="C53" s="8">
        <f>C5</f>
        <v/>
      </c>
      <c r="D53" s="14" t="n"/>
      <c r="E53" s="14" t="n"/>
      <c r="F53" s="8">
        <f>D53+E53</f>
        <v/>
      </c>
      <c r="G53" s="14" t="n"/>
      <c r="H53" s="14" t="n"/>
      <c r="I53" s="8">
        <f>G53+H53</f>
        <v/>
      </c>
      <c r="J53" s="8">
        <f>D53+G53</f>
        <v/>
      </c>
      <c r="K53" s="8">
        <f>E53+H53</f>
        <v/>
      </c>
      <c r="L53" s="8">
        <f>J53+K53</f>
        <v/>
      </c>
      <c r="M53" s="9">
        <f>IF(C53=0,0,L53/C53*100)</f>
        <v/>
      </c>
    </row>
    <row r="54">
      <c r="A54" s="7" t="n">
        <v>2</v>
      </c>
      <c r="B54" s="8">
        <f>B6</f>
        <v/>
      </c>
      <c r="C54" s="8">
        <f>C6</f>
        <v/>
      </c>
      <c r="D54" s="14" t="n"/>
      <c r="E54" s="14" t="n"/>
      <c r="F54" s="8">
        <f>D54+E54</f>
        <v/>
      </c>
      <c r="G54" s="14" t="n"/>
      <c r="H54" s="14" t="n"/>
      <c r="I54" s="8">
        <f>G54+H54</f>
        <v/>
      </c>
      <c r="J54" s="8">
        <f>D54+G54</f>
        <v/>
      </c>
      <c r="K54" s="8">
        <f>E54+H54</f>
        <v/>
      </c>
      <c r="L54" s="8">
        <f>J54+K54</f>
        <v/>
      </c>
      <c r="M54" s="9">
        <f>IF(C54=0,0,L54/C54*100)</f>
        <v/>
      </c>
    </row>
    <row r="55">
      <c r="A55" s="7" t="n">
        <v>3</v>
      </c>
      <c r="B55" s="8">
        <f>B7</f>
        <v/>
      </c>
      <c r="C55" s="8">
        <f>C7</f>
        <v/>
      </c>
      <c r="D55" s="14" t="n"/>
      <c r="E55" s="14" t="n"/>
      <c r="F55" s="8">
        <f>D55+E55</f>
        <v/>
      </c>
      <c r="G55" s="14" t="n"/>
      <c r="H55" s="14" t="n"/>
      <c r="I55" s="8">
        <f>G55+H55</f>
        <v/>
      </c>
      <c r="J55" s="8">
        <f>D55+G55</f>
        <v/>
      </c>
      <c r="K55" s="8">
        <f>E55+H55</f>
        <v/>
      </c>
      <c r="L55" s="8">
        <f>J55+K55</f>
        <v/>
      </c>
      <c r="M55" s="9">
        <f>IF(C55=0,0,L55/C55*100)</f>
        <v/>
      </c>
    </row>
    <row r="56">
      <c r="A56" s="7" t="n">
        <v>4</v>
      </c>
      <c r="B56" s="8">
        <f>B8</f>
        <v/>
      </c>
      <c r="C56" s="8">
        <f>C8</f>
        <v/>
      </c>
      <c r="D56" s="14" t="n"/>
      <c r="E56" s="14" t="n"/>
      <c r="F56" s="8">
        <f>D56+E56</f>
        <v/>
      </c>
      <c r="G56" s="14" t="n"/>
      <c r="H56" s="14" t="n"/>
      <c r="I56" s="8">
        <f>G56+H56</f>
        <v/>
      </c>
      <c r="J56" s="8">
        <f>D56+G56</f>
        <v/>
      </c>
      <c r="K56" s="8">
        <f>E56+H56</f>
        <v/>
      </c>
      <c r="L56" s="8">
        <f>J56+K56</f>
        <v/>
      </c>
      <c r="M56" s="9">
        <f>IF(C56=0,0,L56/C56*100)</f>
        <v/>
      </c>
    </row>
    <row r="57">
      <c r="A57" s="7" t="n">
        <v>5</v>
      </c>
      <c r="B57" s="8">
        <f>B9</f>
        <v/>
      </c>
      <c r="C57" s="8">
        <f>C9</f>
        <v/>
      </c>
      <c r="D57" s="14" t="n"/>
      <c r="E57" s="14" t="n"/>
      <c r="F57" s="8">
        <f>D57+E57</f>
        <v/>
      </c>
      <c r="G57" s="14" t="n"/>
      <c r="H57" s="14" t="n"/>
      <c r="I57" s="8">
        <f>G57+H57</f>
        <v/>
      </c>
      <c r="J57" s="8">
        <f>D57+G57</f>
        <v/>
      </c>
      <c r="K57" s="8">
        <f>E57+H57</f>
        <v/>
      </c>
      <c r="L57" s="8">
        <f>J57+K57</f>
        <v/>
      </c>
      <c r="M57" s="9">
        <f>IF(C57=0,0,L57/C57*100)</f>
        <v/>
      </c>
    </row>
    <row r="58">
      <c r="A58" s="7" t="n">
        <v>6</v>
      </c>
      <c r="B58" s="8">
        <f>B10</f>
        <v/>
      </c>
      <c r="C58" s="8">
        <f>C10</f>
        <v/>
      </c>
      <c r="D58" s="14" t="n"/>
      <c r="E58" s="14" t="n"/>
      <c r="F58" s="8">
        <f>D58+E58</f>
        <v/>
      </c>
      <c r="G58" s="14" t="n"/>
      <c r="H58" s="14" t="n"/>
      <c r="I58" s="8">
        <f>G58+H58</f>
        <v/>
      </c>
      <c r="J58" s="8">
        <f>D58+G58</f>
        <v/>
      </c>
      <c r="K58" s="8">
        <f>E58+H58</f>
        <v/>
      </c>
      <c r="L58" s="8">
        <f>J58+K58</f>
        <v/>
      </c>
      <c r="M58" s="9">
        <f>IF(C58=0,0,L58/C58*100)</f>
        <v/>
      </c>
    </row>
    <row r="59">
      <c r="A59" s="7" t="n">
        <v>7</v>
      </c>
      <c r="B59" s="8">
        <f>B11</f>
        <v/>
      </c>
      <c r="C59" s="8">
        <f>C11</f>
        <v/>
      </c>
      <c r="D59" s="14" t="n"/>
      <c r="E59" s="14" t="n"/>
      <c r="F59" s="8">
        <f>D59+E59</f>
        <v/>
      </c>
      <c r="G59" s="14" t="n"/>
      <c r="H59" s="14" t="n"/>
      <c r="I59" s="8">
        <f>G59+H59</f>
        <v/>
      </c>
      <c r="J59" s="8">
        <f>D59+G59</f>
        <v/>
      </c>
      <c r="K59" s="8">
        <f>E59+H59</f>
        <v/>
      </c>
      <c r="L59" s="8">
        <f>J59+K59</f>
        <v/>
      </c>
      <c r="M59" s="9">
        <f>IF(C59=0,0,L59/C59*100)</f>
        <v/>
      </c>
    </row>
    <row r="60">
      <c r="A60" s="7" t="n">
        <v>8</v>
      </c>
      <c r="B60" s="8">
        <f>B12</f>
        <v/>
      </c>
      <c r="C60" s="8">
        <f>C12</f>
        <v/>
      </c>
      <c r="D60" s="14" t="n"/>
      <c r="E60" s="14" t="n"/>
      <c r="F60" s="8">
        <f>D60+E60</f>
        <v/>
      </c>
      <c r="G60" s="14" t="n"/>
      <c r="H60" s="14" t="n"/>
      <c r="I60" s="8">
        <f>G60+H60</f>
        <v/>
      </c>
      <c r="J60" s="8">
        <f>D60+G60</f>
        <v/>
      </c>
      <c r="K60" s="8">
        <f>E60+H60</f>
        <v/>
      </c>
      <c r="L60" s="8">
        <f>J60+K60</f>
        <v/>
      </c>
      <c r="M60" s="9">
        <f>IF(C60=0,0,L60/C60*100)</f>
        <v/>
      </c>
    </row>
    <row r="61">
      <c r="A61" s="7" t="n">
        <v>9</v>
      </c>
      <c r="B61" s="8">
        <f>B13</f>
        <v/>
      </c>
      <c r="C61" s="8">
        <f>C13</f>
        <v/>
      </c>
      <c r="D61" s="14" t="n"/>
      <c r="E61" s="14" t="n"/>
      <c r="F61" s="8">
        <f>D61+E61</f>
        <v/>
      </c>
      <c r="G61" s="14" t="n"/>
      <c r="H61" s="14" t="n"/>
      <c r="I61" s="8">
        <f>G61+H61</f>
        <v/>
      </c>
      <c r="J61" s="8">
        <f>D61+G61</f>
        <v/>
      </c>
      <c r="K61" s="8">
        <f>E61+H61</f>
        <v/>
      </c>
      <c r="L61" s="8">
        <f>J61+K61</f>
        <v/>
      </c>
      <c r="M61" s="9">
        <f>IF(C61=0,0,L61/C61*100)</f>
        <v/>
      </c>
    </row>
    <row r="62">
      <c r="A62" s="7" t="n">
        <v>10</v>
      </c>
      <c r="B62" s="8">
        <f>B14</f>
        <v/>
      </c>
      <c r="C62" s="8">
        <f>C14</f>
        <v/>
      </c>
      <c r="D62" s="14" t="n"/>
      <c r="E62" s="14" t="n"/>
      <c r="F62" s="8">
        <f>D62+E62</f>
        <v/>
      </c>
      <c r="G62" s="14" t="n"/>
      <c r="H62" s="14" t="n"/>
      <c r="I62" s="8">
        <f>G62+H62</f>
        <v/>
      </c>
      <c r="J62" s="8">
        <f>D62+G62</f>
        <v/>
      </c>
      <c r="K62" s="8">
        <f>E62+H62</f>
        <v/>
      </c>
      <c r="L62" s="8">
        <f>J62+K62</f>
        <v/>
      </c>
      <c r="M62" s="9">
        <f>IF(C62=0,0,L62/C62*100)</f>
        <v/>
      </c>
    </row>
    <row r="63">
      <c r="A63" s="10" t="inlineStr">
        <is>
          <t>Total</t>
        </is>
      </c>
      <c r="B63" s="11">
        <f>SUM(B53:B62)</f>
        <v/>
      </c>
      <c r="C63" s="11">
        <f>SUM(C53:C62)</f>
        <v/>
      </c>
      <c r="D63" s="11">
        <f>SUM(D53:D62)</f>
        <v/>
      </c>
      <c r="E63" s="11">
        <f>SUM(E53:E62)</f>
        <v/>
      </c>
      <c r="F63" s="11">
        <f>D63+E63</f>
        <v/>
      </c>
      <c r="G63" s="11">
        <f>SUM(G53:G62)</f>
        <v/>
      </c>
      <c r="H63" s="11">
        <f>SUM(H53:H62)</f>
        <v/>
      </c>
      <c r="I63" s="11">
        <f>G63+H63</f>
        <v/>
      </c>
      <c r="J63" s="11">
        <f>D63+G63</f>
        <v/>
      </c>
      <c r="K63" s="11">
        <f>E63+H63</f>
        <v/>
      </c>
      <c r="L63" s="11">
        <f>J63+K63</f>
        <v/>
      </c>
      <c r="M63" s="12">
        <f>IF(C63=0,0,L63/C63*100)</f>
        <v/>
      </c>
    </row>
    <row r="65">
      <c r="A65" s="13" t="inlineStr">
        <is>
          <t>Day 4 - 2026-10-08 (Thu 22 Aswin 2083)</t>
        </is>
      </c>
    </row>
    <row r="66">
      <c r="A66" s="6" t="inlineStr">
        <is>
          <t>Ward no.</t>
        </is>
      </c>
      <c r="B66" s="6" t="inlineStr">
        <is>
          <t>Total population</t>
        </is>
      </c>
      <c r="C66" s="6" t="inlineStr">
        <is>
          <t>JE target population</t>
        </is>
      </c>
      <c r="D66" s="6" t="inlineStr">
        <is>
          <t>Vaccinated</t>
        </is>
      </c>
      <c r="E66" s="6" t="n"/>
      <c r="F66" s="6" t="n"/>
      <c r="G66" s="6" t="n"/>
      <c r="H66" s="6" t="n"/>
      <c r="I66" s="6" t="n"/>
      <c r="J66" s="6" t="n"/>
      <c r="K66" s="6" t="n"/>
      <c r="L66" s="6" t="n"/>
      <c r="M66" s="6" t="inlineStr">
        <is>
          <t>Progress %</t>
        </is>
      </c>
    </row>
    <row r="67">
      <c r="A67" s="6" t="n"/>
      <c r="B67" s="6" t="n"/>
      <c r="C67" s="6" t="n"/>
      <c r="D67" s="6" t="inlineStr">
        <is>
          <t>Age 30-60 yrs</t>
        </is>
      </c>
      <c r="E67" s="6" t="n"/>
      <c r="F67" s="6" t="n"/>
      <c r="G67" s="6" t="inlineStr">
        <is>
          <t>Age 60 above</t>
        </is>
      </c>
      <c r="H67" s="6" t="n"/>
      <c r="I67" s="6" t="n"/>
      <c r="J67" s="6" t="inlineStr">
        <is>
          <t>Total</t>
        </is>
      </c>
      <c r="K67" s="6" t="n"/>
      <c r="L67" s="6" t="inlineStr">
        <is>
          <t>Grand Total</t>
        </is>
      </c>
      <c r="M67" s="6" t="n"/>
    </row>
    <row r="68">
      <c r="A68" s="6" t="n"/>
      <c r="B68" s="6" t="n"/>
      <c r="C68" s="6" t="n"/>
      <c r="D68" s="6" t="inlineStr">
        <is>
          <t>F</t>
        </is>
      </c>
      <c r="E68" s="6" t="inlineStr">
        <is>
          <t>M</t>
        </is>
      </c>
      <c r="F68" s="6" t="inlineStr">
        <is>
          <t>Total</t>
        </is>
      </c>
      <c r="G68" s="6" t="inlineStr">
        <is>
          <t>F</t>
        </is>
      </c>
      <c r="H68" s="6" t="inlineStr">
        <is>
          <t>M</t>
        </is>
      </c>
      <c r="I68" s="6" t="inlineStr">
        <is>
          <t>Total</t>
        </is>
      </c>
      <c r="J68" s="6" t="inlineStr">
        <is>
          <t>F</t>
        </is>
      </c>
      <c r="K68" s="6" t="inlineStr">
        <is>
          <t>M</t>
        </is>
      </c>
      <c r="L68" s="6" t="n"/>
      <c r="M68" s="6" t="n"/>
    </row>
    <row r="69">
      <c r="A69" s="7" t="n">
        <v>1</v>
      </c>
      <c r="B69" s="8">
        <f>B5</f>
        <v/>
      </c>
      <c r="C69" s="8">
        <f>C5</f>
        <v/>
      </c>
      <c r="D69" s="14" t="n"/>
      <c r="E69" s="14" t="n"/>
      <c r="F69" s="8">
        <f>D69+E69</f>
        <v/>
      </c>
      <c r="G69" s="14" t="n"/>
      <c r="H69" s="14" t="n"/>
      <c r="I69" s="8">
        <f>G69+H69</f>
        <v/>
      </c>
      <c r="J69" s="8">
        <f>D69+G69</f>
        <v/>
      </c>
      <c r="K69" s="8">
        <f>E69+H69</f>
        <v/>
      </c>
      <c r="L69" s="8">
        <f>J69+K69</f>
        <v/>
      </c>
      <c r="M69" s="9">
        <f>IF(C69=0,0,L69/C69*100)</f>
        <v/>
      </c>
    </row>
    <row r="70">
      <c r="A70" s="7" t="n">
        <v>2</v>
      </c>
      <c r="B70" s="8">
        <f>B6</f>
        <v/>
      </c>
      <c r="C70" s="8">
        <f>C6</f>
        <v/>
      </c>
      <c r="D70" s="14" t="n"/>
      <c r="E70" s="14" t="n"/>
      <c r="F70" s="8">
        <f>D70+E70</f>
        <v/>
      </c>
      <c r="G70" s="14" t="n"/>
      <c r="H70" s="14" t="n"/>
      <c r="I70" s="8">
        <f>G70+H70</f>
        <v/>
      </c>
      <c r="J70" s="8">
        <f>D70+G70</f>
        <v/>
      </c>
      <c r="K70" s="8">
        <f>E70+H70</f>
        <v/>
      </c>
      <c r="L70" s="8">
        <f>J70+K70</f>
        <v/>
      </c>
      <c r="M70" s="9">
        <f>IF(C70=0,0,L70/C70*100)</f>
        <v/>
      </c>
    </row>
    <row r="71">
      <c r="A71" s="7" t="n">
        <v>3</v>
      </c>
      <c r="B71" s="8">
        <f>B7</f>
        <v/>
      </c>
      <c r="C71" s="8">
        <f>C7</f>
        <v/>
      </c>
      <c r="D71" s="14" t="n"/>
      <c r="E71" s="14" t="n"/>
      <c r="F71" s="8">
        <f>D71+E71</f>
        <v/>
      </c>
      <c r="G71" s="14" t="n"/>
      <c r="H71" s="14" t="n"/>
      <c r="I71" s="8">
        <f>G71+H71</f>
        <v/>
      </c>
      <c r="J71" s="8">
        <f>D71+G71</f>
        <v/>
      </c>
      <c r="K71" s="8">
        <f>E71+H71</f>
        <v/>
      </c>
      <c r="L71" s="8">
        <f>J71+K71</f>
        <v/>
      </c>
      <c r="M71" s="9">
        <f>IF(C71=0,0,L71/C71*100)</f>
        <v/>
      </c>
    </row>
    <row r="72">
      <c r="A72" s="7" t="n">
        <v>4</v>
      </c>
      <c r="B72" s="8">
        <f>B8</f>
        <v/>
      </c>
      <c r="C72" s="8">
        <f>C8</f>
        <v/>
      </c>
      <c r="D72" s="14" t="n"/>
      <c r="E72" s="14" t="n"/>
      <c r="F72" s="8">
        <f>D72+E72</f>
        <v/>
      </c>
      <c r="G72" s="14" t="n"/>
      <c r="H72" s="14" t="n"/>
      <c r="I72" s="8">
        <f>G72+H72</f>
        <v/>
      </c>
      <c r="J72" s="8">
        <f>D72+G72</f>
        <v/>
      </c>
      <c r="K72" s="8">
        <f>E72+H72</f>
        <v/>
      </c>
      <c r="L72" s="8">
        <f>J72+K72</f>
        <v/>
      </c>
      <c r="M72" s="9">
        <f>IF(C72=0,0,L72/C72*100)</f>
        <v/>
      </c>
    </row>
    <row r="73">
      <c r="A73" s="7" t="n">
        <v>5</v>
      </c>
      <c r="B73" s="8">
        <f>B9</f>
        <v/>
      </c>
      <c r="C73" s="8">
        <f>C9</f>
        <v/>
      </c>
      <c r="D73" s="14" t="n"/>
      <c r="E73" s="14" t="n"/>
      <c r="F73" s="8">
        <f>D73+E73</f>
        <v/>
      </c>
      <c r="G73" s="14" t="n"/>
      <c r="H73" s="14" t="n"/>
      <c r="I73" s="8">
        <f>G73+H73</f>
        <v/>
      </c>
      <c r="J73" s="8">
        <f>D73+G73</f>
        <v/>
      </c>
      <c r="K73" s="8">
        <f>E73+H73</f>
        <v/>
      </c>
      <c r="L73" s="8">
        <f>J73+K73</f>
        <v/>
      </c>
      <c r="M73" s="9">
        <f>IF(C73=0,0,L73/C73*100)</f>
        <v/>
      </c>
    </row>
    <row r="74">
      <c r="A74" s="7" t="n">
        <v>6</v>
      </c>
      <c r="B74" s="8">
        <f>B10</f>
        <v/>
      </c>
      <c r="C74" s="8">
        <f>C10</f>
        <v/>
      </c>
      <c r="D74" s="14" t="n"/>
      <c r="E74" s="14" t="n"/>
      <c r="F74" s="8">
        <f>D74+E74</f>
        <v/>
      </c>
      <c r="G74" s="14" t="n"/>
      <c r="H74" s="14" t="n"/>
      <c r="I74" s="8">
        <f>G74+H74</f>
        <v/>
      </c>
      <c r="J74" s="8">
        <f>D74+G74</f>
        <v/>
      </c>
      <c r="K74" s="8">
        <f>E74+H74</f>
        <v/>
      </c>
      <c r="L74" s="8">
        <f>J74+K74</f>
        <v/>
      </c>
      <c r="M74" s="9">
        <f>IF(C74=0,0,L74/C74*100)</f>
        <v/>
      </c>
    </row>
    <row r="75">
      <c r="A75" s="7" t="n">
        <v>7</v>
      </c>
      <c r="B75" s="8">
        <f>B11</f>
        <v/>
      </c>
      <c r="C75" s="8">
        <f>C11</f>
        <v/>
      </c>
      <c r="D75" s="14" t="n"/>
      <c r="E75" s="14" t="n"/>
      <c r="F75" s="8">
        <f>D75+E75</f>
        <v/>
      </c>
      <c r="G75" s="14" t="n"/>
      <c r="H75" s="14" t="n"/>
      <c r="I75" s="8">
        <f>G75+H75</f>
        <v/>
      </c>
      <c r="J75" s="8">
        <f>D75+G75</f>
        <v/>
      </c>
      <c r="K75" s="8">
        <f>E75+H75</f>
        <v/>
      </c>
      <c r="L75" s="8">
        <f>J75+K75</f>
        <v/>
      </c>
      <c r="M75" s="9">
        <f>IF(C75=0,0,L75/C75*100)</f>
        <v/>
      </c>
    </row>
    <row r="76">
      <c r="A76" s="7" t="n">
        <v>8</v>
      </c>
      <c r="B76" s="8">
        <f>B12</f>
        <v/>
      </c>
      <c r="C76" s="8">
        <f>C12</f>
        <v/>
      </c>
      <c r="D76" s="14" t="n"/>
      <c r="E76" s="14" t="n"/>
      <c r="F76" s="8">
        <f>D76+E76</f>
        <v/>
      </c>
      <c r="G76" s="14" t="n"/>
      <c r="H76" s="14" t="n"/>
      <c r="I76" s="8">
        <f>G76+H76</f>
        <v/>
      </c>
      <c r="J76" s="8">
        <f>D76+G76</f>
        <v/>
      </c>
      <c r="K76" s="8">
        <f>E76+H76</f>
        <v/>
      </c>
      <c r="L76" s="8">
        <f>J76+K76</f>
        <v/>
      </c>
      <c r="M76" s="9">
        <f>IF(C76=0,0,L76/C76*100)</f>
        <v/>
      </c>
    </row>
    <row r="77">
      <c r="A77" s="7" t="n">
        <v>9</v>
      </c>
      <c r="B77" s="8">
        <f>B13</f>
        <v/>
      </c>
      <c r="C77" s="8">
        <f>C13</f>
        <v/>
      </c>
      <c r="D77" s="14" t="n"/>
      <c r="E77" s="14" t="n"/>
      <c r="F77" s="8">
        <f>D77+E77</f>
        <v/>
      </c>
      <c r="G77" s="14" t="n"/>
      <c r="H77" s="14" t="n"/>
      <c r="I77" s="8">
        <f>G77+H77</f>
        <v/>
      </c>
      <c r="J77" s="8">
        <f>D77+G77</f>
        <v/>
      </c>
      <c r="K77" s="8">
        <f>E77+H77</f>
        <v/>
      </c>
      <c r="L77" s="8">
        <f>J77+K77</f>
        <v/>
      </c>
      <c r="M77" s="9">
        <f>IF(C77=0,0,L77/C77*100)</f>
        <v/>
      </c>
    </row>
    <row r="78">
      <c r="A78" s="7" t="n">
        <v>10</v>
      </c>
      <c r="B78" s="8">
        <f>B14</f>
        <v/>
      </c>
      <c r="C78" s="8">
        <f>C14</f>
        <v/>
      </c>
      <c r="D78" s="14" t="n"/>
      <c r="E78" s="14" t="n"/>
      <c r="F78" s="8">
        <f>D78+E78</f>
        <v/>
      </c>
      <c r="G78" s="14" t="n"/>
      <c r="H78" s="14" t="n"/>
      <c r="I78" s="8">
        <f>G78+H78</f>
        <v/>
      </c>
      <c r="J78" s="8">
        <f>D78+G78</f>
        <v/>
      </c>
      <c r="K78" s="8">
        <f>E78+H78</f>
        <v/>
      </c>
      <c r="L78" s="8">
        <f>J78+K78</f>
        <v/>
      </c>
      <c r="M78" s="9">
        <f>IF(C78=0,0,L78/C78*100)</f>
        <v/>
      </c>
    </row>
    <row r="79">
      <c r="A79" s="10" t="inlineStr">
        <is>
          <t>Total</t>
        </is>
      </c>
      <c r="B79" s="11">
        <f>SUM(B69:B78)</f>
        <v/>
      </c>
      <c r="C79" s="11">
        <f>SUM(C69:C78)</f>
        <v/>
      </c>
      <c r="D79" s="11">
        <f>SUM(D69:D78)</f>
        <v/>
      </c>
      <c r="E79" s="11">
        <f>SUM(E69:E78)</f>
        <v/>
      </c>
      <c r="F79" s="11">
        <f>D79+E79</f>
        <v/>
      </c>
      <c r="G79" s="11">
        <f>SUM(G69:G78)</f>
        <v/>
      </c>
      <c r="H79" s="11">
        <f>SUM(H69:H78)</f>
        <v/>
      </c>
      <c r="I79" s="11">
        <f>G79+H79</f>
        <v/>
      </c>
      <c r="J79" s="11">
        <f>D79+G79</f>
        <v/>
      </c>
      <c r="K79" s="11">
        <f>E79+H79</f>
        <v/>
      </c>
      <c r="L79" s="11">
        <f>J79+K79</f>
        <v/>
      </c>
      <c r="M79" s="12">
        <f>IF(C79=0,0,L79/C79*100)</f>
        <v/>
      </c>
    </row>
    <row r="81">
      <c r="A81" s="13" t="inlineStr">
        <is>
          <t>Day 5 - 2026-10-09 (Fri 23 Aswin 2083)</t>
        </is>
      </c>
    </row>
    <row r="82">
      <c r="A82" s="6" t="inlineStr">
        <is>
          <t>Ward no.</t>
        </is>
      </c>
      <c r="B82" s="6" t="inlineStr">
        <is>
          <t>Total population</t>
        </is>
      </c>
      <c r="C82" s="6" t="inlineStr">
        <is>
          <t>JE target population</t>
        </is>
      </c>
      <c r="D82" s="6" t="inlineStr">
        <is>
          <t>Vaccinated</t>
        </is>
      </c>
      <c r="E82" s="6" t="n"/>
      <c r="F82" s="6" t="n"/>
      <c r="G82" s="6" t="n"/>
      <c r="H82" s="6" t="n"/>
      <c r="I82" s="6" t="n"/>
      <c r="J82" s="6" t="n"/>
      <c r="K82" s="6" t="n"/>
      <c r="L82" s="6" t="n"/>
      <c r="M82" s="6" t="inlineStr">
        <is>
          <t>Progress %</t>
        </is>
      </c>
    </row>
    <row r="83">
      <c r="A83" s="6" t="n"/>
      <c r="B83" s="6" t="n"/>
      <c r="C83" s="6" t="n"/>
      <c r="D83" s="6" t="inlineStr">
        <is>
          <t>Age 30-60 yrs</t>
        </is>
      </c>
      <c r="E83" s="6" t="n"/>
      <c r="F83" s="6" t="n"/>
      <c r="G83" s="6" t="inlineStr">
        <is>
          <t>Age 60 above</t>
        </is>
      </c>
      <c r="H83" s="6" t="n"/>
      <c r="I83" s="6" t="n"/>
      <c r="J83" s="6" t="inlineStr">
        <is>
          <t>Total</t>
        </is>
      </c>
      <c r="K83" s="6" t="n"/>
      <c r="L83" s="6" t="inlineStr">
        <is>
          <t>Grand Total</t>
        </is>
      </c>
      <c r="M83" s="6" t="n"/>
    </row>
    <row r="84">
      <c r="A84" s="6" t="n"/>
      <c r="B84" s="6" t="n"/>
      <c r="C84" s="6" t="n"/>
      <c r="D84" s="6" t="inlineStr">
        <is>
          <t>F</t>
        </is>
      </c>
      <c r="E84" s="6" t="inlineStr">
        <is>
          <t>M</t>
        </is>
      </c>
      <c r="F84" s="6" t="inlineStr">
        <is>
          <t>Total</t>
        </is>
      </c>
      <c r="G84" s="6" t="inlineStr">
        <is>
          <t>F</t>
        </is>
      </c>
      <c r="H84" s="6" t="inlineStr">
        <is>
          <t>M</t>
        </is>
      </c>
      <c r="I84" s="6" t="inlineStr">
        <is>
          <t>Total</t>
        </is>
      </c>
      <c r="J84" s="6" t="inlineStr">
        <is>
          <t>F</t>
        </is>
      </c>
      <c r="K84" s="6" t="inlineStr">
        <is>
          <t>M</t>
        </is>
      </c>
      <c r="L84" s="6" t="n"/>
      <c r="M84" s="6" t="n"/>
    </row>
    <row r="85">
      <c r="A85" s="7" t="n">
        <v>1</v>
      </c>
      <c r="B85" s="8">
        <f>B5</f>
        <v/>
      </c>
      <c r="C85" s="8">
        <f>C5</f>
        <v/>
      </c>
      <c r="D85" s="14" t="n"/>
      <c r="E85" s="14" t="n"/>
      <c r="F85" s="8">
        <f>D85+E85</f>
        <v/>
      </c>
      <c r="G85" s="14" t="n"/>
      <c r="H85" s="14" t="n"/>
      <c r="I85" s="8">
        <f>G85+H85</f>
        <v/>
      </c>
      <c r="J85" s="8">
        <f>D85+G85</f>
        <v/>
      </c>
      <c r="K85" s="8">
        <f>E85+H85</f>
        <v/>
      </c>
      <c r="L85" s="8">
        <f>J85+K85</f>
        <v/>
      </c>
      <c r="M85" s="9">
        <f>IF(C85=0,0,L85/C85*100)</f>
        <v/>
      </c>
    </row>
    <row r="86">
      <c r="A86" s="7" t="n">
        <v>2</v>
      </c>
      <c r="B86" s="8">
        <f>B6</f>
        <v/>
      </c>
      <c r="C86" s="8">
        <f>C6</f>
        <v/>
      </c>
      <c r="D86" s="14" t="n"/>
      <c r="E86" s="14" t="n"/>
      <c r="F86" s="8">
        <f>D86+E86</f>
        <v/>
      </c>
      <c r="G86" s="14" t="n"/>
      <c r="H86" s="14" t="n"/>
      <c r="I86" s="8">
        <f>G86+H86</f>
        <v/>
      </c>
      <c r="J86" s="8">
        <f>D86+G86</f>
        <v/>
      </c>
      <c r="K86" s="8">
        <f>E86+H86</f>
        <v/>
      </c>
      <c r="L86" s="8">
        <f>J86+K86</f>
        <v/>
      </c>
      <c r="M86" s="9">
        <f>IF(C86=0,0,L86/C86*100)</f>
        <v/>
      </c>
    </row>
    <row r="87">
      <c r="A87" s="7" t="n">
        <v>3</v>
      </c>
      <c r="B87" s="8">
        <f>B7</f>
        <v/>
      </c>
      <c r="C87" s="8">
        <f>C7</f>
        <v/>
      </c>
      <c r="D87" s="14" t="n"/>
      <c r="E87" s="14" t="n"/>
      <c r="F87" s="8">
        <f>D87+E87</f>
        <v/>
      </c>
      <c r="G87" s="14" t="n"/>
      <c r="H87" s="14" t="n"/>
      <c r="I87" s="8">
        <f>G87+H87</f>
        <v/>
      </c>
      <c r="J87" s="8">
        <f>D87+G87</f>
        <v/>
      </c>
      <c r="K87" s="8">
        <f>E87+H87</f>
        <v/>
      </c>
      <c r="L87" s="8">
        <f>J87+K87</f>
        <v/>
      </c>
      <c r="M87" s="9">
        <f>IF(C87=0,0,L87/C87*100)</f>
        <v/>
      </c>
    </row>
    <row r="88">
      <c r="A88" s="7" t="n">
        <v>4</v>
      </c>
      <c r="B88" s="8">
        <f>B8</f>
        <v/>
      </c>
      <c r="C88" s="8">
        <f>C8</f>
        <v/>
      </c>
      <c r="D88" s="14" t="n"/>
      <c r="E88" s="14" t="n"/>
      <c r="F88" s="8">
        <f>D88+E88</f>
        <v/>
      </c>
      <c r="G88" s="14" t="n"/>
      <c r="H88" s="14" t="n"/>
      <c r="I88" s="8">
        <f>G88+H88</f>
        <v/>
      </c>
      <c r="J88" s="8">
        <f>D88+G88</f>
        <v/>
      </c>
      <c r="K88" s="8">
        <f>E88+H88</f>
        <v/>
      </c>
      <c r="L88" s="8">
        <f>J88+K88</f>
        <v/>
      </c>
      <c r="M88" s="9">
        <f>IF(C88=0,0,L88/C88*100)</f>
        <v/>
      </c>
    </row>
    <row r="89">
      <c r="A89" s="7" t="n">
        <v>5</v>
      </c>
      <c r="B89" s="8">
        <f>B9</f>
        <v/>
      </c>
      <c r="C89" s="8">
        <f>C9</f>
        <v/>
      </c>
      <c r="D89" s="14" t="n"/>
      <c r="E89" s="14" t="n"/>
      <c r="F89" s="8">
        <f>D89+E89</f>
        <v/>
      </c>
      <c r="G89" s="14" t="n"/>
      <c r="H89" s="14" t="n"/>
      <c r="I89" s="8">
        <f>G89+H89</f>
        <v/>
      </c>
      <c r="J89" s="8">
        <f>D89+G89</f>
        <v/>
      </c>
      <c r="K89" s="8">
        <f>E89+H89</f>
        <v/>
      </c>
      <c r="L89" s="8">
        <f>J89+K89</f>
        <v/>
      </c>
      <c r="M89" s="9">
        <f>IF(C89=0,0,L89/C89*100)</f>
        <v/>
      </c>
    </row>
    <row r="90">
      <c r="A90" s="7" t="n">
        <v>6</v>
      </c>
      <c r="B90" s="8">
        <f>B10</f>
        <v/>
      </c>
      <c r="C90" s="8">
        <f>C10</f>
        <v/>
      </c>
      <c r="D90" s="14" t="n"/>
      <c r="E90" s="14" t="n"/>
      <c r="F90" s="8">
        <f>D90+E90</f>
        <v/>
      </c>
      <c r="G90" s="14" t="n"/>
      <c r="H90" s="14" t="n"/>
      <c r="I90" s="8">
        <f>G90+H90</f>
        <v/>
      </c>
      <c r="J90" s="8">
        <f>D90+G90</f>
        <v/>
      </c>
      <c r="K90" s="8">
        <f>E90+H90</f>
        <v/>
      </c>
      <c r="L90" s="8">
        <f>J90+K90</f>
        <v/>
      </c>
      <c r="M90" s="9">
        <f>IF(C90=0,0,L90/C90*100)</f>
        <v/>
      </c>
    </row>
    <row r="91">
      <c r="A91" s="7" t="n">
        <v>7</v>
      </c>
      <c r="B91" s="8">
        <f>B11</f>
        <v/>
      </c>
      <c r="C91" s="8">
        <f>C11</f>
        <v/>
      </c>
      <c r="D91" s="14" t="n"/>
      <c r="E91" s="14" t="n"/>
      <c r="F91" s="8">
        <f>D91+E91</f>
        <v/>
      </c>
      <c r="G91" s="14" t="n"/>
      <c r="H91" s="14" t="n"/>
      <c r="I91" s="8">
        <f>G91+H91</f>
        <v/>
      </c>
      <c r="J91" s="8">
        <f>D91+G91</f>
        <v/>
      </c>
      <c r="K91" s="8">
        <f>E91+H91</f>
        <v/>
      </c>
      <c r="L91" s="8">
        <f>J91+K91</f>
        <v/>
      </c>
      <c r="M91" s="9">
        <f>IF(C91=0,0,L91/C91*100)</f>
        <v/>
      </c>
    </row>
    <row r="92">
      <c r="A92" s="7" t="n">
        <v>8</v>
      </c>
      <c r="B92" s="8">
        <f>B12</f>
        <v/>
      </c>
      <c r="C92" s="8">
        <f>C12</f>
        <v/>
      </c>
      <c r="D92" s="14" t="n"/>
      <c r="E92" s="14" t="n"/>
      <c r="F92" s="8">
        <f>D92+E92</f>
        <v/>
      </c>
      <c r="G92" s="14" t="n"/>
      <c r="H92" s="14" t="n"/>
      <c r="I92" s="8">
        <f>G92+H92</f>
        <v/>
      </c>
      <c r="J92" s="8">
        <f>D92+G92</f>
        <v/>
      </c>
      <c r="K92" s="8">
        <f>E92+H92</f>
        <v/>
      </c>
      <c r="L92" s="8">
        <f>J92+K92</f>
        <v/>
      </c>
      <c r="M92" s="9">
        <f>IF(C92=0,0,L92/C92*100)</f>
        <v/>
      </c>
    </row>
    <row r="93">
      <c r="A93" s="7" t="n">
        <v>9</v>
      </c>
      <c r="B93" s="8">
        <f>B13</f>
        <v/>
      </c>
      <c r="C93" s="8">
        <f>C13</f>
        <v/>
      </c>
      <c r="D93" s="14" t="n"/>
      <c r="E93" s="14" t="n"/>
      <c r="F93" s="8">
        <f>D93+E93</f>
        <v/>
      </c>
      <c r="G93" s="14" t="n"/>
      <c r="H93" s="14" t="n"/>
      <c r="I93" s="8">
        <f>G93+H93</f>
        <v/>
      </c>
      <c r="J93" s="8">
        <f>D93+G93</f>
        <v/>
      </c>
      <c r="K93" s="8">
        <f>E93+H93</f>
        <v/>
      </c>
      <c r="L93" s="8">
        <f>J93+K93</f>
        <v/>
      </c>
      <c r="M93" s="9">
        <f>IF(C93=0,0,L93/C93*100)</f>
        <v/>
      </c>
    </row>
    <row r="94">
      <c r="A94" s="7" t="n">
        <v>10</v>
      </c>
      <c r="B94" s="8">
        <f>B14</f>
        <v/>
      </c>
      <c r="C94" s="8">
        <f>C14</f>
        <v/>
      </c>
      <c r="D94" s="14" t="n"/>
      <c r="E94" s="14" t="n"/>
      <c r="F94" s="8">
        <f>D94+E94</f>
        <v/>
      </c>
      <c r="G94" s="14" t="n"/>
      <c r="H94" s="14" t="n"/>
      <c r="I94" s="8">
        <f>G94+H94</f>
        <v/>
      </c>
      <c r="J94" s="8">
        <f>D94+G94</f>
        <v/>
      </c>
      <c r="K94" s="8">
        <f>E94+H94</f>
        <v/>
      </c>
      <c r="L94" s="8">
        <f>J94+K94</f>
        <v/>
      </c>
      <c r="M94" s="9">
        <f>IF(C94=0,0,L94/C94*100)</f>
        <v/>
      </c>
    </row>
    <row r="95">
      <c r="A95" s="10" t="inlineStr">
        <is>
          <t>Total</t>
        </is>
      </c>
      <c r="B95" s="11">
        <f>SUM(B85:B94)</f>
        <v/>
      </c>
      <c r="C95" s="11">
        <f>SUM(C85:C94)</f>
        <v/>
      </c>
      <c r="D95" s="11">
        <f>SUM(D85:D94)</f>
        <v/>
      </c>
      <c r="E95" s="11">
        <f>SUM(E85:E94)</f>
        <v/>
      </c>
      <c r="F95" s="11">
        <f>D95+E95</f>
        <v/>
      </c>
      <c r="G95" s="11">
        <f>SUM(G85:G94)</f>
        <v/>
      </c>
      <c r="H95" s="11">
        <f>SUM(H85:H94)</f>
        <v/>
      </c>
      <c r="I95" s="11">
        <f>G95+H95</f>
        <v/>
      </c>
      <c r="J95" s="11">
        <f>D95+G95</f>
        <v/>
      </c>
      <c r="K95" s="11">
        <f>E95+H95</f>
        <v/>
      </c>
      <c r="L95" s="11">
        <f>J95+K95</f>
        <v/>
      </c>
      <c r="M95" s="12">
        <f>IF(C95=0,0,L95/C95*100)</f>
        <v/>
      </c>
    </row>
    <row r="97">
      <c r="A97" s="13" t="inlineStr">
        <is>
          <t>Day 6 - 2026-10-10 (Sat 24 Aswin 2083)</t>
        </is>
      </c>
    </row>
    <row r="98">
      <c r="A98" s="6" t="inlineStr">
        <is>
          <t>Ward no.</t>
        </is>
      </c>
      <c r="B98" s="6" t="inlineStr">
        <is>
          <t>Total population</t>
        </is>
      </c>
      <c r="C98" s="6" t="inlineStr">
        <is>
          <t>JE target population</t>
        </is>
      </c>
      <c r="D98" s="6" t="inlineStr">
        <is>
          <t>Vaccinated</t>
        </is>
      </c>
      <c r="E98" s="6" t="n"/>
      <c r="F98" s="6" t="n"/>
      <c r="G98" s="6" t="n"/>
      <c r="H98" s="6" t="n"/>
      <c r="I98" s="6" t="n"/>
      <c r="J98" s="6" t="n"/>
      <c r="K98" s="6" t="n"/>
      <c r="L98" s="6" t="n"/>
      <c r="M98" s="6" t="inlineStr">
        <is>
          <t>Progress %</t>
        </is>
      </c>
    </row>
    <row r="99">
      <c r="A99" s="6" t="n"/>
      <c r="B99" s="6" t="n"/>
      <c r="C99" s="6" t="n"/>
      <c r="D99" s="6" t="inlineStr">
        <is>
          <t>Age 30-60 yrs</t>
        </is>
      </c>
      <c r="E99" s="6" t="n"/>
      <c r="F99" s="6" t="n"/>
      <c r="G99" s="6" t="inlineStr">
        <is>
          <t>Age 60 above</t>
        </is>
      </c>
      <c r="H99" s="6" t="n"/>
      <c r="I99" s="6" t="n"/>
      <c r="J99" s="6" t="inlineStr">
        <is>
          <t>Total</t>
        </is>
      </c>
      <c r="K99" s="6" t="n"/>
      <c r="L99" s="6" t="inlineStr">
        <is>
          <t>Grand Total</t>
        </is>
      </c>
      <c r="M99" s="6" t="n"/>
    </row>
    <row r="100">
      <c r="A100" s="6" t="n"/>
      <c r="B100" s="6" t="n"/>
      <c r="C100" s="6" t="n"/>
      <c r="D100" s="6" t="inlineStr">
        <is>
          <t>F</t>
        </is>
      </c>
      <c r="E100" s="6" t="inlineStr">
        <is>
          <t>M</t>
        </is>
      </c>
      <c r="F100" s="6" t="inlineStr">
        <is>
          <t>Total</t>
        </is>
      </c>
      <c r="G100" s="6" t="inlineStr">
        <is>
          <t>F</t>
        </is>
      </c>
      <c r="H100" s="6" t="inlineStr">
        <is>
          <t>M</t>
        </is>
      </c>
      <c r="I100" s="6" t="inlineStr">
        <is>
          <t>Total</t>
        </is>
      </c>
      <c r="J100" s="6" t="inlineStr">
        <is>
          <t>F</t>
        </is>
      </c>
      <c r="K100" s="6" t="inlineStr">
        <is>
          <t>M</t>
        </is>
      </c>
      <c r="L100" s="6" t="n"/>
      <c r="M100" s="6" t="n"/>
    </row>
    <row r="101">
      <c r="A101" s="7" t="n">
        <v>1</v>
      </c>
      <c r="B101" s="8">
        <f>B5</f>
        <v/>
      </c>
      <c r="C101" s="8">
        <f>C5</f>
        <v/>
      </c>
      <c r="D101" s="14" t="n"/>
      <c r="E101" s="14" t="n"/>
      <c r="F101" s="8">
        <f>D101+E101</f>
        <v/>
      </c>
      <c r="G101" s="14" t="n"/>
      <c r="H101" s="14" t="n"/>
      <c r="I101" s="8">
        <f>G101+H101</f>
        <v/>
      </c>
      <c r="J101" s="8">
        <f>D101+G101</f>
        <v/>
      </c>
      <c r="K101" s="8">
        <f>E101+H101</f>
        <v/>
      </c>
      <c r="L101" s="8">
        <f>J101+K101</f>
        <v/>
      </c>
      <c r="M101" s="9">
        <f>IF(C101=0,0,L101/C101*100)</f>
        <v/>
      </c>
    </row>
    <row r="102">
      <c r="A102" s="7" t="n">
        <v>2</v>
      </c>
      <c r="B102" s="8">
        <f>B6</f>
        <v/>
      </c>
      <c r="C102" s="8">
        <f>C6</f>
        <v/>
      </c>
      <c r="D102" s="14" t="n"/>
      <c r="E102" s="14" t="n"/>
      <c r="F102" s="8">
        <f>D102+E102</f>
        <v/>
      </c>
      <c r="G102" s="14" t="n"/>
      <c r="H102" s="14" t="n"/>
      <c r="I102" s="8">
        <f>G102+H102</f>
        <v/>
      </c>
      <c r="J102" s="8">
        <f>D102+G102</f>
        <v/>
      </c>
      <c r="K102" s="8">
        <f>E102+H102</f>
        <v/>
      </c>
      <c r="L102" s="8">
        <f>J102+K102</f>
        <v/>
      </c>
      <c r="M102" s="9">
        <f>IF(C102=0,0,L102/C102*100)</f>
        <v/>
      </c>
    </row>
    <row r="103">
      <c r="A103" s="7" t="n">
        <v>3</v>
      </c>
      <c r="B103" s="8">
        <f>B7</f>
        <v/>
      </c>
      <c r="C103" s="8">
        <f>C7</f>
        <v/>
      </c>
      <c r="D103" s="14" t="n"/>
      <c r="E103" s="14" t="n"/>
      <c r="F103" s="8">
        <f>D103+E103</f>
        <v/>
      </c>
      <c r="G103" s="14" t="n"/>
      <c r="H103" s="14" t="n"/>
      <c r="I103" s="8">
        <f>G103+H103</f>
        <v/>
      </c>
      <c r="J103" s="8">
        <f>D103+G103</f>
        <v/>
      </c>
      <c r="K103" s="8">
        <f>E103+H103</f>
        <v/>
      </c>
      <c r="L103" s="8">
        <f>J103+K103</f>
        <v/>
      </c>
      <c r="M103" s="9">
        <f>IF(C103=0,0,L103/C103*100)</f>
        <v/>
      </c>
    </row>
    <row r="104">
      <c r="A104" s="7" t="n">
        <v>4</v>
      </c>
      <c r="B104" s="8">
        <f>B8</f>
        <v/>
      </c>
      <c r="C104" s="8">
        <f>C8</f>
        <v/>
      </c>
      <c r="D104" s="14" t="n"/>
      <c r="E104" s="14" t="n"/>
      <c r="F104" s="8">
        <f>D104+E104</f>
        <v/>
      </c>
      <c r="G104" s="14" t="n"/>
      <c r="H104" s="14" t="n"/>
      <c r="I104" s="8">
        <f>G104+H104</f>
        <v/>
      </c>
      <c r="J104" s="8">
        <f>D104+G104</f>
        <v/>
      </c>
      <c r="K104" s="8">
        <f>E104+H104</f>
        <v/>
      </c>
      <c r="L104" s="8">
        <f>J104+K104</f>
        <v/>
      </c>
      <c r="M104" s="9">
        <f>IF(C104=0,0,L104/C104*100)</f>
        <v/>
      </c>
    </row>
    <row r="105">
      <c r="A105" s="7" t="n">
        <v>5</v>
      </c>
      <c r="B105" s="8">
        <f>B9</f>
        <v/>
      </c>
      <c r="C105" s="8">
        <f>C9</f>
        <v/>
      </c>
      <c r="D105" s="14" t="n"/>
      <c r="E105" s="14" t="n"/>
      <c r="F105" s="8">
        <f>D105+E105</f>
        <v/>
      </c>
      <c r="G105" s="14" t="n"/>
      <c r="H105" s="14" t="n"/>
      <c r="I105" s="8">
        <f>G105+H105</f>
        <v/>
      </c>
      <c r="J105" s="8">
        <f>D105+G105</f>
        <v/>
      </c>
      <c r="K105" s="8">
        <f>E105+H105</f>
        <v/>
      </c>
      <c r="L105" s="8">
        <f>J105+K105</f>
        <v/>
      </c>
      <c r="M105" s="9">
        <f>IF(C105=0,0,L105/C105*100)</f>
        <v/>
      </c>
    </row>
    <row r="106">
      <c r="A106" s="7" t="n">
        <v>6</v>
      </c>
      <c r="B106" s="8">
        <f>B10</f>
        <v/>
      </c>
      <c r="C106" s="8">
        <f>C10</f>
        <v/>
      </c>
      <c r="D106" s="14" t="n"/>
      <c r="E106" s="14" t="n"/>
      <c r="F106" s="8">
        <f>D106+E106</f>
        <v/>
      </c>
      <c r="G106" s="14" t="n"/>
      <c r="H106" s="14" t="n"/>
      <c r="I106" s="8">
        <f>G106+H106</f>
        <v/>
      </c>
      <c r="J106" s="8">
        <f>D106+G106</f>
        <v/>
      </c>
      <c r="K106" s="8">
        <f>E106+H106</f>
        <v/>
      </c>
      <c r="L106" s="8">
        <f>J106+K106</f>
        <v/>
      </c>
      <c r="M106" s="9">
        <f>IF(C106=0,0,L106/C106*100)</f>
        <v/>
      </c>
    </row>
    <row r="107">
      <c r="A107" s="7" t="n">
        <v>7</v>
      </c>
      <c r="B107" s="8">
        <f>B11</f>
        <v/>
      </c>
      <c r="C107" s="8">
        <f>C11</f>
        <v/>
      </c>
      <c r="D107" s="14" t="n"/>
      <c r="E107" s="14" t="n"/>
      <c r="F107" s="8">
        <f>D107+E107</f>
        <v/>
      </c>
      <c r="G107" s="14" t="n"/>
      <c r="H107" s="14" t="n"/>
      <c r="I107" s="8">
        <f>G107+H107</f>
        <v/>
      </c>
      <c r="J107" s="8">
        <f>D107+G107</f>
        <v/>
      </c>
      <c r="K107" s="8">
        <f>E107+H107</f>
        <v/>
      </c>
      <c r="L107" s="8">
        <f>J107+K107</f>
        <v/>
      </c>
      <c r="M107" s="9">
        <f>IF(C107=0,0,L107/C107*100)</f>
        <v/>
      </c>
    </row>
    <row r="108">
      <c r="A108" s="7" t="n">
        <v>8</v>
      </c>
      <c r="B108" s="8">
        <f>B12</f>
        <v/>
      </c>
      <c r="C108" s="8">
        <f>C12</f>
        <v/>
      </c>
      <c r="D108" s="14" t="n"/>
      <c r="E108" s="14" t="n"/>
      <c r="F108" s="8">
        <f>D108+E108</f>
        <v/>
      </c>
      <c r="G108" s="14" t="n"/>
      <c r="H108" s="14" t="n"/>
      <c r="I108" s="8">
        <f>G108+H108</f>
        <v/>
      </c>
      <c r="J108" s="8">
        <f>D108+G108</f>
        <v/>
      </c>
      <c r="K108" s="8">
        <f>E108+H108</f>
        <v/>
      </c>
      <c r="L108" s="8">
        <f>J108+K108</f>
        <v/>
      </c>
      <c r="M108" s="9">
        <f>IF(C108=0,0,L108/C108*100)</f>
        <v/>
      </c>
    </row>
    <row r="109">
      <c r="A109" s="7" t="n">
        <v>9</v>
      </c>
      <c r="B109" s="8">
        <f>B13</f>
        <v/>
      </c>
      <c r="C109" s="8">
        <f>C13</f>
        <v/>
      </c>
      <c r="D109" s="14" t="n"/>
      <c r="E109" s="14" t="n"/>
      <c r="F109" s="8">
        <f>D109+E109</f>
        <v/>
      </c>
      <c r="G109" s="14" t="n"/>
      <c r="H109" s="14" t="n"/>
      <c r="I109" s="8">
        <f>G109+H109</f>
        <v/>
      </c>
      <c r="J109" s="8">
        <f>D109+G109</f>
        <v/>
      </c>
      <c r="K109" s="8">
        <f>E109+H109</f>
        <v/>
      </c>
      <c r="L109" s="8">
        <f>J109+K109</f>
        <v/>
      </c>
      <c r="M109" s="9">
        <f>IF(C109=0,0,L109/C109*100)</f>
        <v/>
      </c>
    </row>
    <row r="110">
      <c r="A110" s="7" t="n">
        <v>10</v>
      </c>
      <c r="B110" s="8">
        <f>B14</f>
        <v/>
      </c>
      <c r="C110" s="8">
        <f>C14</f>
        <v/>
      </c>
      <c r="D110" s="14" t="n"/>
      <c r="E110" s="14" t="n"/>
      <c r="F110" s="8">
        <f>D110+E110</f>
        <v/>
      </c>
      <c r="G110" s="14" t="n"/>
      <c r="H110" s="14" t="n"/>
      <c r="I110" s="8">
        <f>G110+H110</f>
        <v/>
      </c>
      <c r="J110" s="8">
        <f>D110+G110</f>
        <v/>
      </c>
      <c r="K110" s="8">
        <f>E110+H110</f>
        <v/>
      </c>
      <c r="L110" s="8">
        <f>J110+K110</f>
        <v/>
      </c>
      <c r="M110" s="9">
        <f>IF(C110=0,0,L110/C110*100)</f>
        <v/>
      </c>
    </row>
    <row r="111">
      <c r="A111" s="10" t="inlineStr">
        <is>
          <t>Total</t>
        </is>
      </c>
      <c r="B111" s="11">
        <f>SUM(B101:B110)</f>
        <v/>
      </c>
      <c r="C111" s="11">
        <f>SUM(C101:C110)</f>
        <v/>
      </c>
      <c r="D111" s="11">
        <f>SUM(D101:D110)</f>
        <v/>
      </c>
      <c r="E111" s="11">
        <f>SUM(E101:E110)</f>
        <v/>
      </c>
      <c r="F111" s="11">
        <f>D111+E111</f>
        <v/>
      </c>
      <c r="G111" s="11">
        <f>SUM(G101:G110)</f>
        <v/>
      </c>
      <c r="H111" s="11">
        <f>SUM(H101:H110)</f>
        <v/>
      </c>
      <c r="I111" s="11">
        <f>G111+H111</f>
        <v/>
      </c>
      <c r="J111" s="11">
        <f>D111+G111</f>
        <v/>
      </c>
      <c r="K111" s="11">
        <f>E111+H111</f>
        <v/>
      </c>
      <c r="L111" s="11">
        <f>J111+K111</f>
        <v/>
      </c>
      <c r="M111" s="12">
        <f>IF(C111=0,0,L111/C111*100)</f>
        <v/>
      </c>
    </row>
    <row r="113">
      <c r="A113" s="13" t="inlineStr">
        <is>
          <t>Day 7 - 2026-10-11 (Sun 25 Aswin 2083)</t>
        </is>
      </c>
    </row>
    <row r="114">
      <c r="A114" s="6" t="inlineStr">
        <is>
          <t>Ward no.</t>
        </is>
      </c>
      <c r="B114" s="6" t="inlineStr">
        <is>
          <t>Total population</t>
        </is>
      </c>
      <c r="C114" s="6" t="inlineStr">
        <is>
          <t>JE target population</t>
        </is>
      </c>
      <c r="D114" s="6" t="inlineStr">
        <is>
          <t>Vaccinated</t>
        </is>
      </c>
      <c r="E114" s="6" t="n"/>
      <c r="F114" s="6" t="n"/>
      <c r="G114" s="6" t="n"/>
      <c r="H114" s="6" t="n"/>
      <c r="I114" s="6" t="n"/>
      <c r="J114" s="6" t="n"/>
      <c r="K114" s="6" t="n"/>
      <c r="L114" s="6" t="n"/>
      <c r="M114" s="6" t="inlineStr">
        <is>
          <t>Progress %</t>
        </is>
      </c>
    </row>
    <row r="115">
      <c r="A115" s="6" t="n"/>
      <c r="B115" s="6" t="n"/>
      <c r="C115" s="6" t="n"/>
      <c r="D115" s="6" t="inlineStr">
        <is>
          <t>Age 30-60 yrs</t>
        </is>
      </c>
      <c r="E115" s="6" t="n"/>
      <c r="F115" s="6" t="n"/>
      <c r="G115" s="6" t="inlineStr">
        <is>
          <t>Age 60 above</t>
        </is>
      </c>
      <c r="H115" s="6" t="n"/>
      <c r="I115" s="6" t="n"/>
      <c r="J115" s="6" t="inlineStr">
        <is>
          <t>Total</t>
        </is>
      </c>
      <c r="K115" s="6" t="n"/>
      <c r="L115" s="6" t="inlineStr">
        <is>
          <t>Grand Total</t>
        </is>
      </c>
      <c r="M115" s="6" t="n"/>
    </row>
    <row r="116">
      <c r="A116" s="6" t="n"/>
      <c r="B116" s="6" t="n"/>
      <c r="C116" s="6" t="n"/>
      <c r="D116" s="6" t="inlineStr">
        <is>
          <t>F</t>
        </is>
      </c>
      <c r="E116" s="6" t="inlineStr">
        <is>
          <t>M</t>
        </is>
      </c>
      <c r="F116" s="6" t="inlineStr">
        <is>
          <t>Total</t>
        </is>
      </c>
      <c r="G116" s="6" t="inlineStr">
        <is>
          <t>F</t>
        </is>
      </c>
      <c r="H116" s="6" t="inlineStr">
        <is>
          <t>M</t>
        </is>
      </c>
      <c r="I116" s="6" t="inlineStr">
        <is>
          <t>Total</t>
        </is>
      </c>
      <c r="J116" s="6" t="inlineStr">
        <is>
          <t>F</t>
        </is>
      </c>
      <c r="K116" s="6" t="inlineStr">
        <is>
          <t>M</t>
        </is>
      </c>
      <c r="L116" s="6" t="n"/>
      <c r="M116" s="6" t="n"/>
    </row>
    <row r="117">
      <c r="A117" s="7" t="n">
        <v>1</v>
      </c>
      <c r="B117" s="8">
        <f>B5</f>
        <v/>
      </c>
      <c r="C117" s="8">
        <f>C5</f>
        <v/>
      </c>
      <c r="D117" s="14" t="n"/>
      <c r="E117" s="14" t="n"/>
      <c r="F117" s="8">
        <f>D117+E117</f>
        <v/>
      </c>
      <c r="G117" s="14" t="n"/>
      <c r="H117" s="14" t="n"/>
      <c r="I117" s="8">
        <f>G117+H117</f>
        <v/>
      </c>
      <c r="J117" s="8">
        <f>D117+G117</f>
        <v/>
      </c>
      <c r="K117" s="8">
        <f>E117+H117</f>
        <v/>
      </c>
      <c r="L117" s="8">
        <f>J117+K117</f>
        <v/>
      </c>
      <c r="M117" s="9">
        <f>IF(C117=0,0,L117/C117*100)</f>
        <v/>
      </c>
    </row>
    <row r="118">
      <c r="A118" s="7" t="n">
        <v>2</v>
      </c>
      <c r="B118" s="8">
        <f>B6</f>
        <v/>
      </c>
      <c r="C118" s="8">
        <f>C6</f>
        <v/>
      </c>
      <c r="D118" s="14" t="n"/>
      <c r="E118" s="14" t="n"/>
      <c r="F118" s="8">
        <f>D118+E118</f>
        <v/>
      </c>
      <c r="G118" s="14" t="n"/>
      <c r="H118" s="14" t="n"/>
      <c r="I118" s="8">
        <f>G118+H118</f>
        <v/>
      </c>
      <c r="J118" s="8">
        <f>D118+G118</f>
        <v/>
      </c>
      <c r="K118" s="8">
        <f>E118+H118</f>
        <v/>
      </c>
      <c r="L118" s="8">
        <f>J118+K118</f>
        <v/>
      </c>
      <c r="M118" s="9">
        <f>IF(C118=0,0,L118/C118*100)</f>
        <v/>
      </c>
    </row>
    <row r="119">
      <c r="A119" s="7" t="n">
        <v>3</v>
      </c>
      <c r="B119" s="8">
        <f>B7</f>
        <v/>
      </c>
      <c r="C119" s="8">
        <f>C7</f>
        <v/>
      </c>
      <c r="D119" s="14" t="n"/>
      <c r="E119" s="14" t="n"/>
      <c r="F119" s="8">
        <f>D119+E119</f>
        <v/>
      </c>
      <c r="G119" s="14" t="n"/>
      <c r="H119" s="14" t="n"/>
      <c r="I119" s="8">
        <f>G119+H119</f>
        <v/>
      </c>
      <c r="J119" s="8">
        <f>D119+G119</f>
        <v/>
      </c>
      <c r="K119" s="8">
        <f>E119+H119</f>
        <v/>
      </c>
      <c r="L119" s="8">
        <f>J119+K119</f>
        <v/>
      </c>
      <c r="M119" s="9">
        <f>IF(C119=0,0,L119/C119*100)</f>
        <v/>
      </c>
    </row>
    <row r="120">
      <c r="A120" s="7" t="n">
        <v>4</v>
      </c>
      <c r="B120" s="8">
        <f>B8</f>
        <v/>
      </c>
      <c r="C120" s="8">
        <f>C8</f>
        <v/>
      </c>
      <c r="D120" s="14" t="n"/>
      <c r="E120" s="14" t="n"/>
      <c r="F120" s="8">
        <f>D120+E120</f>
        <v/>
      </c>
      <c r="G120" s="14" t="n"/>
      <c r="H120" s="14" t="n"/>
      <c r="I120" s="8">
        <f>G120+H120</f>
        <v/>
      </c>
      <c r="J120" s="8">
        <f>D120+G120</f>
        <v/>
      </c>
      <c r="K120" s="8">
        <f>E120+H120</f>
        <v/>
      </c>
      <c r="L120" s="8">
        <f>J120+K120</f>
        <v/>
      </c>
      <c r="M120" s="9">
        <f>IF(C120=0,0,L120/C120*100)</f>
        <v/>
      </c>
    </row>
    <row r="121">
      <c r="A121" s="7" t="n">
        <v>5</v>
      </c>
      <c r="B121" s="8">
        <f>B9</f>
        <v/>
      </c>
      <c r="C121" s="8">
        <f>C9</f>
        <v/>
      </c>
      <c r="D121" s="14" t="n"/>
      <c r="E121" s="14" t="n"/>
      <c r="F121" s="8">
        <f>D121+E121</f>
        <v/>
      </c>
      <c r="G121" s="14" t="n"/>
      <c r="H121" s="14" t="n"/>
      <c r="I121" s="8">
        <f>G121+H121</f>
        <v/>
      </c>
      <c r="J121" s="8">
        <f>D121+G121</f>
        <v/>
      </c>
      <c r="K121" s="8">
        <f>E121+H121</f>
        <v/>
      </c>
      <c r="L121" s="8">
        <f>J121+K121</f>
        <v/>
      </c>
      <c r="M121" s="9">
        <f>IF(C121=0,0,L121/C121*100)</f>
        <v/>
      </c>
    </row>
    <row r="122">
      <c r="A122" s="7" t="n">
        <v>6</v>
      </c>
      <c r="B122" s="8">
        <f>B10</f>
        <v/>
      </c>
      <c r="C122" s="8">
        <f>C10</f>
        <v/>
      </c>
      <c r="D122" s="14" t="n"/>
      <c r="E122" s="14" t="n"/>
      <c r="F122" s="8">
        <f>D122+E122</f>
        <v/>
      </c>
      <c r="G122" s="14" t="n"/>
      <c r="H122" s="14" t="n"/>
      <c r="I122" s="8">
        <f>G122+H122</f>
        <v/>
      </c>
      <c r="J122" s="8">
        <f>D122+G122</f>
        <v/>
      </c>
      <c r="K122" s="8">
        <f>E122+H122</f>
        <v/>
      </c>
      <c r="L122" s="8">
        <f>J122+K122</f>
        <v/>
      </c>
      <c r="M122" s="9">
        <f>IF(C122=0,0,L122/C122*100)</f>
        <v/>
      </c>
    </row>
    <row r="123">
      <c r="A123" s="7" t="n">
        <v>7</v>
      </c>
      <c r="B123" s="8">
        <f>B11</f>
        <v/>
      </c>
      <c r="C123" s="8">
        <f>C11</f>
        <v/>
      </c>
      <c r="D123" s="14" t="n"/>
      <c r="E123" s="14" t="n"/>
      <c r="F123" s="8">
        <f>D123+E123</f>
        <v/>
      </c>
      <c r="G123" s="14" t="n"/>
      <c r="H123" s="14" t="n"/>
      <c r="I123" s="8">
        <f>G123+H123</f>
        <v/>
      </c>
      <c r="J123" s="8">
        <f>D123+G123</f>
        <v/>
      </c>
      <c r="K123" s="8">
        <f>E123+H123</f>
        <v/>
      </c>
      <c r="L123" s="8">
        <f>J123+K123</f>
        <v/>
      </c>
      <c r="M123" s="9">
        <f>IF(C123=0,0,L123/C123*100)</f>
        <v/>
      </c>
    </row>
    <row r="124">
      <c r="A124" s="7" t="n">
        <v>8</v>
      </c>
      <c r="B124" s="8">
        <f>B12</f>
        <v/>
      </c>
      <c r="C124" s="8">
        <f>C12</f>
        <v/>
      </c>
      <c r="D124" s="14" t="n"/>
      <c r="E124" s="14" t="n"/>
      <c r="F124" s="8">
        <f>D124+E124</f>
        <v/>
      </c>
      <c r="G124" s="14" t="n"/>
      <c r="H124" s="14" t="n"/>
      <c r="I124" s="8">
        <f>G124+H124</f>
        <v/>
      </c>
      <c r="J124" s="8">
        <f>D124+G124</f>
        <v/>
      </c>
      <c r="K124" s="8">
        <f>E124+H124</f>
        <v/>
      </c>
      <c r="L124" s="8">
        <f>J124+K124</f>
        <v/>
      </c>
      <c r="M124" s="9">
        <f>IF(C124=0,0,L124/C124*100)</f>
        <v/>
      </c>
    </row>
    <row r="125">
      <c r="A125" s="7" t="n">
        <v>9</v>
      </c>
      <c r="B125" s="8">
        <f>B13</f>
        <v/>
      </c>
      <c r="C125" s="8">
        <f>C13</f>
        <v/>
      </c>
      <c r="D125" s="14" t="n"/>
      <c r="E125" s="14" t="n"/>
      <c r="F125" s="8">
        <f>D125+E125</f>
        <v/>
      </c>
      <c r="G125" s="14" t="n"/>
      <c r="H125" s="14" t="n"/>
      <c r="I125" s="8">
        <f>G125+H125</f>
        <v/>
      </c>
      <c r="J125" s="8">
        <f>D125+G125</f>
        <v/>
      </c>
      <c r="K125" s="8">
        <f>E125+H125</f>
        <v/>
      </c>
      <c r="L125" s="8">
        <f>J125+K125</f>
        <v/>
      </c>
      <c r="M125" s="9">
        <f>IF(C125=0,0,L125/C125*100)</f>
        <v/>
      </c>
    </row>
    <row r="126">
      <c r="A126" s="7" t="n">
        <v>10</v>
      </c>
      <c r="B126" s="8">
        <f>B14</f>
        <v/>
      </c>
      <c r="C126" s="8">
        <f>C14</f>
        <v/>
      </c>
      <c r="D126" s="14" t="n"/>
      <c r="E126" s="14" t="n"/>
      <c r="F126" s="8">
        <f>D126+E126</f>
        <v/>
      </c>
      <c r="G126" s="14" t="n"/>
      <c r="H126" s="14" t="n"/>
      <c r="I126" s="8">
        <f>G126+H126</f>
        <v/>
      </c>
      <c r="J126" s="8">
        <f>D126+G126</f>
        <v/>
      </c>
      <c r="K126" s="8">
        <f>E126+H126</f>
        <v/>
      </c>
      <c r="L126" s="8">
        <f>J126+K126</f>
        <v/>
      </c>
      <c r="M126" s="9">
        <f>IF(C126=0,0,L126/C126*100)</f>
        <v/>
      </c>
    </row>
    <row r="127">
      <c r="A127" s="10" t="inlineStr">
        <is>
          <t>Total</t>
        </is>
      </c>
      <c r="B127" s="11">
        <f>SUM(B117:B126)</f>
        <v/>
      </c>
      <c r="C127" s="11">
        <f>SUM(C117:C126)</f>
        <v/>
      </c>
      <c r="D127" s="11">
        <f>SUM(D117:D126)</f>
        <v/>
      </c>
      <c r="E127" s="11">
        <f>SUM(E117:E126)</f>
        <v/>
      </c>
      <c r="F127" s="11">
        <f>D127+E127</f>
        <v/>
      </c>
      <c r="G127" s="11">
        <f>SUM(G117:G126)</f>
        <v/>
      </c>
      <c r="H127" s="11">
        <f>SUM(H117:H126)</f>
        <v/>
      </c>
      <c r="I127" s="11">
        <f>G127+H127</f>
        <v/>
      </c>
      <c r="J127" s="11">
        <f>D127+G127</f>
        <v/>
      </c>
      <c r="K127" s="11">
        <f>E127+H127</f>
        <v/>
      </c>
      <c r="L127" s="11">
        <f>J127+K127</f>
        <v/>
      </c>
      <c r="M127" s="12">
        <f>IF(C127=0,0,L127/C127*100)</f>
        <v/>
      </c>
    </row>
    <row r="129">
      <c r="A129" s="13" t="inlineStr">
        <is>
          <t>Day 8 - 2026-10-12 (Mon 26 Aswin 2083)</t>
        </is>
      </c>
    </row>
    <row r="130">
      <c r="A130" s="6" t="inlineStr">
        <is>
          <t>Ward no.</t>
        </is>
      </c>
      <c r="B130" s="6" t="inlineStr">
        <is>
          <t>Total population</t>
        </is>
      </c>
      <c r="C130" s="6" t="inlineStr">
        <is>
          <t>JE target population</t>
        </is>
      </c>
      <c r="D130" s="6" t="inlineStr">
        <is>
          <t>Vaccinated</t>
        </is>
      </c>
      <c r="E130" s="6" t="n"/>
      <c r="F130" s="6" t="n"/>
      <c r="G130" s="6" t="n"/>
      <c r="H130" s="6" t="n"/>
      <c r="I130" s="6" t="n"/>
      <c r="J130" s="6" t="n"/>
      <c r="K130" s="6" t="n"/>
      <c r="L130" s="6" t="n"/>
      <c r="M130" s="6" t="inlineStr">
        <is>
          <t>Progress %</t>
        </is>
      </c>
    </row>
    <row r="131">
      <c r="A131" s="6" t="n"/>
      <c r="B131" s="6" t="n"/>
      <c r="C131" s="6" t="n"/>
      <c r="D131" s="6" t="inlineStr">
        <is>
          <t>Age 30-60 yrs</t>
        </is>
      </c>
      <c r="E131" s="6" t="n"/>
      <c r="F131" s="6" t="n"/>
      <c r="G131" s="6" t="inlineStr">
        <is>
          <t>Age 60 above</t>
        </is>
      </c>
      <c r="H131" s="6" t="n"/>
      <c r="I131" s="6" t="n"/>
      <c r="J131" s="6" t="inlineStr">
        <is>
          <t>Total</t>
        </is>
      </c>
      <c r="K131" s="6" t="n"/>
      <c r="L131" s="6" t="inlineStr">
        <is>
          <t>Grand Total</t>
        </is>
      </c>
      <c r="M131" s="6" t="n"/>
    </row>
    <row r="132">
      <c r="A132" s="6" t="n"/>
      <c r="B132" s="6" t="n"/>
      <c r="C132" s="6" t="n"/>
      <c r="D132" s="6" t="inlineStr">
        <is>
          <t>F</t>
        </is>
      </c>
      <c r="E132" s="6" t="inlineStr">
        <is>
          <t>M</t>
        </is>
      </c>
      <c r="F132" s="6" t="inlineStr">
        <is>
          <t>Total</t>
        </is>
      </c>
      <c r="G132" s="6" t="inlineStr">
        <is>
          <t>F</t>
        </is>
      </c>
      <c r="H132" s="6" t="inlineStr">
        <is>
          <t>M</t>
        </is>
      </c>
      <c r="I132" s="6" t="inlineStr">
        <is>
          <t>Total</t>
        </is>
      </c>
      <c r="J132" s="6" t="inlineStr">
        <is>
          <t>F</t>
        </is>
      </c>
      <c r="K132" s="6" t="inlineStr">
        <is>
          <t>M</t>
        </is>
      </c>
      <c r="L132" s="6" t="n"/>
      <c r="M132" s="6" t="n"/>
    </row>
    <row r="133">
      <c r="A133" s="7" t="n">
        <v>1</v>
      </c>
      <c r="B133" s="8">
        <f>B5</f>
        <v/>
      </c>
      <c r="C133" s="8">
        <f>C5</f>
        <v/>
      </c>
      <c r="D133" s="14" t="n"/>
      <c r="E133" s="14" t="n"/>
      <c r="F133" s="8">
        <f>D133+E133</f>
        <v/>
      </c>
      <c r="G133" s="14" t="n"/>
      <c r="H133" s="14" t="n"/>
      <c r="I133" s="8">
        <f>G133+H133</f>
        <v/>
      </c>
      <c r="J133" s="8">
        <f>D133+G133</f>
        <v/>
      </c>
      <c r="K133" s="8">
        <f>E133+H133</f>
        <v/>
      </c>
      <c r="L133" s="8">
        <f>J133+K133</f>
        <v/>
      </c>
      <c r="M133" s="9">
        <f>IF(C133=0,0,L133/C133*100)</f>
        <v/>
      </c>
    </row>
    <row r="134">
      <c r="A134" s="7" t="n">
        <v>2</v>
      </c>
      <c r="B134" s="8">
        <f>B6</f>
        <v/>
      </c>
      <c r="C134" s="8">
        <f>C6</f>
        <v/>
      </c>
      <c r="D134" s="14" t="n"/>
      <c r="E134" s="14" t="n"/>
      <c r="F134" s="8">
        <f>D134+E134</f>
        <v/>
      </c>
      <c r="G134" s="14" t="n"/>
      <c r="H134" s="14" t="n"/>
      <c r="I134" s="8">
        <f>G134+H134</f>
        <v/>
      </c>
      <c r="J134" s="8">
        <f>D134+G134</f>
        <v/>
      </c>
      <c r="K134" s="8">
        <f>E134+H134</f>
        <v/>
      </c>
      <c r="L134" s="8">
        <f>J134+K134</f>
        <v/>
      </c>
      <c r="M134" s="9">
        <f>IF(C134=0,0,L134/C134*100)</f>
        <v/>
      </c>
    </row>
    <row r="135">
      <c r="A135" s="7" t="n">
        <v>3</v>
      </c>
      <c r="B135" s="8">
        <f>B7</f>
        <v/>
      </c>
      <c r="C135" s="8">
        <f>C7</f>
        <v/>
      </c>
      <c r="D135" s="14" t="n"/>
      <c r="E135" s="14" t="n"/>
      <c r="F135" s="8">
        <f>D135+E135</f>
        <v/>
      </c>
      <c r="G135" s="14" t="n"/>
      <c r="H135" s="14" t="n"/>
      <c r="I135" s="8">
        <f>G135+H135</f>
        <v/>
      </c>
      <c r="J135" s="8">
        <f>D135+G135</f>
        <v/>
      </c>
      <c r="K135" s="8">
        <f>E135+H135</f>
        <v/>
      </c>
      <c r="L135" s="8">
        <f>J135+K135</f>
        <v/>
      </c>
      <c r="M135" s="9">
        <f>IF(C135=0,0,L135/C135*100)</f>
        <v/>
      </c>
    </row>
    <row r="136">
      <c r="A136" s="7" t="n">
        <v>4</v>
      </c>
      <c r="B136" s="8">
        <f>B8</f>
        <v/>
      </c>
      <c r="C136" s="8">
        <f>C8</f>
        <v/>
      </c>
      <c r="D136" s="14" t="n"/>
      <c r="E136" s="14" t="n"/>
      <c r="F136" s="8">
        <f>D136+E136</f>
        <v/>
      </c>
      <c r="G136" s="14" t="n"/>
      <c r="H136" s="14" t="n"/>
      <c r="I136" s="8">
        <f>G136+H136</f>
        <v/>
      </c>
      <c r="J136" s="8">
        <f>D136+G136</f>
        <v/>
      </c>
      <c r="K136" s="8">
        <f>E136+H136</f>
        <v/>
      </c>
      <c r="L136" s="8">
        <f>J136+K136</f>
        <v/>
      </c>
      <c r="M136" s="9">
        <f>IF(C136=0,0,L136/C136*100)</f>
        <v/>
      </c>
    </row>
    <row r="137">
      <c r="A137" s="7" t="n">
        <v>5</v>
      </c>
      <c r="B137" s="8">
        <f>B9</f>
        <v/>
      </c>
      <c r="C137" s="8">
        <f>C9</f>
        <v/>
      </c>
      <c r="D137" s="14" t="n"/>
      <c r="E137" s="14" t="n"/>
      <c r="F137" s="8">
        <f>D137+E137</f>
        <v/>
      </c>
      <c r="G137" s="14" t="n"/>
      <c r="H137" s="14" t="n"/>
      <c r="I137" s="8">
        <f>G137+H137</f>
        <v/>
      </c>
      <c r="J137" s="8">
        <f>D137+G137</f>
        <v/>
      </c>
      <c r="K137" s="8">
        <f>E137+H137</f>
        <v/>
      </c>
      <c r="L137" s="8">
        <f>J137+K137</f>
        <v/>
      </c>
      <c r="M137" s="9">
        <f>IF(C137=0,0,L137/C137*100)</f>
        <v/>
      </c>
    </row>
    <row r="138">
      <c r="A138" s="7" t="n">
        <v>6</v>
      </c>
      <c r="B138" s="8">
        <f>B10</f>
        <v/>
      </c>
      <c r="C138" s="8">
        <f>C10</f>
        <v/>
      </c>
      <c r="D138" s="14" t="n"/>
      <c r="E138" s="14" t="n"/>
      <c r="F138" s="8">
        <f>D138+E138</f>
        <v/>
      </c>
      <c r="G138" s="14" t="n"/>
      <c r="H138" s="14" t="n"/>
      <c r="I138" s="8">
        <f>G138+H138</f>
        <v/>
      </c>
      <c r="J138" s="8">
        <f>D138+G138</f>
        <v/>
      </c>
      <c r="K138" s="8">
        <f>E138+H138</f>
        <v/>
      </c>
      <c r="L138" s="8">
        <f>J138+K138</f>
        <v/>
      </c>
      <c r="M138" s="9">
        <f>IF(C138=0,0,L138/C138*100)</f>
        <v/>
      </c>
    </row>
    <row r="139">
      <c r="A139" s="7" t="n">
        <v>7</v>
      </c>
      <c r="B139" s="8">
        <f>B11</f>
        <v/>
      </c>
      <c r="C139" s="8">
        <f>C11</f>
        <v/>
      </c>
      <c r="D139" s="14" t="n"/>
      <c r="E139" s="14" t="n"/>
      <c r="F139" s="8">
        <f>D139+E139</f>
        <v/>
      </c>
      <c r="G139" s="14" t="n"/>
      <c r="H139" s="14" t="n"/>
      <c r="I139" s="8">
        <f>G139+H139</f>
        <v/>
      </c>
      <c r="J139" s="8">
        <f>D139+G139</f>
        <v/>
      </c>
      <c r="K139" s="8">
        <f>E139+H139</f>
        <v/>
      </c>
      <c r="L139" s="8">
        <f>J139+K139</f>
        <v/>
      </c>
      <c r="M139" s="9">
        <f>IF(C139=0,0,L139/C139*100)</f>
        <v/>
      </c>
    </row>
    <row r="140">
      <c r="A140" s="7" t="n">
        <v>8</v>
      </c>
      <c r="B140" s="8">
        <f>B12</f>
        <v/>
      </c>
      <c r="C140" s="8">
        <f>C12</f>
        <v/>
      </c>
      <c r="D140" s="14" t="n"/>
      <c r="E140" s="14" t="n"/>
      <c r="F140" s="8">
        <f>D140+E140</f>
        <v/>
      </c>
      <c r="G140" s="14" t="n"/>
      <c r="H140" s="14" t="n"/>
      <c r="I140" s="8">
        <f>G140+H140</f>
        <v/>
      </c>
      <c r="J140" s="8">
        <f>D140+G140</f>
        <v/>
      </c>
      <c r="K140" s="8">
        <f>E140+H140</f>
        <v/>
      </c>
      <c r="L140" s="8">
        <f>J140+K140</f>
        <v/>
      </c>
      <c r="M140" s="9">
        <f>IF(C140=0,0,L140/C140*100)</f>
        <v/>
      </c>
    </row>
    <row r="141">
      <c r="A141" s="7" t="n">
        <v>9</v>
      </c>
      <c r="B141" s="8">
        <f>B13</f>
        <v/>
      </c>
      <c r="C141" s="8">
        <f>C13</f>
        <v/>
      </c>
      <c r="D141" s="14" t="n"/>
      <c r="E141" s="14" t="n"/>
      <c r="F141" s="8">
        <f>D141+E141</f>
        <v/>
      </c>
      <c r="G141" s="14" t="n"/>
      <c r="H141" s="14" t="n"/>
      <c r="I141" s="8">
        <f>G141+H141</f>
        <v/>
      </c>
      <c r="J141" s="8">
        <f>D141+G141</f>
        <v/>
      </c>
      <c r="K141" s="8">
        <f>E141+H141</f>
        <v/>
      </c>
      <c r="L141" s="8">
        <f>J141+K141</f>
        <v/>
      </c>
      <c r="M141" s="9">
        <f>IF(C141=0,0,L141/C141*100)</f>
        <v/>
      </c>
    </row>
    <row r="142">
      <c r="A142" s="7" t="n">
        <v>10</v>
      </c>
      <c r="B142" s="8">
        <f>B14</f>
        <v/>
      </c>
      <c r="C142" s="8">
        <f>C14</f>
        <v/>
      </c>
      <c r="D142" s="14" t="n"/>
      <c r="E142" s="14" t="n"/>
      <c r="F142" s="8">
        <f>D142+E142</f>
        <v/>
      </c>
      <c r="G142" s="14" t="n"/>
      <c r="H142" s="14" t="n"/>
      <c r="I142" s="8">
        <f>G142+H142</f>
        <v/>
      </c>
      <c r="J142" s="8">
        <f>D142+G142</f>
        <v/>
      </c>
      <c r="K142" s="8">
        <f>E142+H142</f>
        <v/>
      </c>
      <c r="L142" s="8">
        <f>J142+K142</f>
        <v/>
      </c>
      <c r="M142" s="9">
        <f>IF(C142=0,0,L142/C142*100)</f>
        <v/>
      </c>
    </row>
    <row r="143">
      <c r="A143" s="10" t="inlineStr">
        <is>
          <t>Total</t>
        </is>
      </c>
      <c r="B143" s="11">
        <f>SUM(B133:B142)</f>
        <v/>
      </c>
      <c r="C143" s="11">
        <f>SUM(C133:C142)</f>
        <v/>
      </c>
      <c r="D143" s="11">
        <f>SUM(D133:D142)</f>
        <v/>
      </c>
      <c r="E143" s="11">
        <f>SUM(E133:E142)</f>
        <v/>
      </c>
      <c r="F143" s="11">
        <f>D143+E143</f>
        <v/>
      </c>
      <c r="G143" s="11">
        <f>SUM(G133:G142)</f>
        <v/>
      </c>
      <c r="H143" s="11">
        <f>SUM(H133:H142)</f>
        <v/>
      </c>
      <c r="I143" s="11">
        <f>G143+H143</f>
        <v/>
      </c>
      <c r="J143" s="11">
        <f>D143+G143</f>
        <v/>
      </c>
      <c r="K143" s="11">
        <f>E143+H143</f>
        <v/>
      </c>
      <c r="L143" s="11">
        <f>J143+K143</f>
        <v/>
      </c>
      <c r="M143" s="12">
        <f>IF(C143=0,0,L143/C143*100)</f>
        <v/>
      </c>
    </row>
    <row r="145">
      <c r="A145" s="13" t="inlineStr">
        <is>
          <t>Day 9 - 2026-10-13 (Tue 27 Aswin 2083)</t>
        </is>
      </c>
    </row>
    <row r="146">
      <c r="A146" s="6" t="inlineStr">
        <is>
          <t>Ward no.</t>
        </is>
      </c>
      <c r="B146" s="6" t="inlineStr">
        <is>
          <t>Total population</t>
        </is>
      </c>
      <c r="C146" s="6" t="inlineStr">
        <is>
          <t>JE target population</t>
        </is>
      </c>
      <c r="D146" s="6" t="inlineStr">
        <is>
          <t>Vaccinated</t>
        </is>
      </c>
      <c r="E146" s="6" t="n"/>
      <c r="F146" s="6" t="n"/>
      <c r="G146" s="6" t="n"/>
      <c r="H146" s="6" t="n"/>
      <c r="I146" s="6" t="n"/>
      <c r="J146" s="6" t="n"/>
      <c r="K146" s="6" t="n"/>
      <c r="L146" s="6" t="n"/>
      <c r="M146" s="6" t="inlineStr">
        <is>
          <t>Progress %</t>
        </is>
      </c>
    </row>
    <row r="147">
      <c r="A147" s="6" t="n"/>
      <c r="B147" s="6" t="n"/>
      <c r="C147" s="6" t="n"/>
      <c r="D147" s="6" t="inlineStr">
        <is>
          <t>Age 30-60 yrs</t>
        </is>
      </c>
      <c r="E147" s="6" t="n"/>
      <c r="F147" s="6" t="n"/>
      <c r="G147" s="6" t="inlineStr">
        <is>
          <t>Age 60 above</t>
        </is>
      </c>
      <c r="H147" s="6" t="n"/>
      <c r="I147" s="6" t="n"/>
      <c r="J147" s="6" t="inlineStr">
        <is>
          <t>Total</t>
        </is>
      </c>
      <c r="K147" s="6" t="n"/>
      <c r="L147" s="6" t="inlineStr">
        <is>
          <t>Grand Total</t>
        </is>
      </c>
      <c r="M147" s="6" t="n"/>
    </row>
    <row r="148">
      <c r="A148" s="6" t="n"/>
      <c r="B148" s="6" t="n"/>
      <c r="C148" s="6" t="n"/>
      <c r="D148" s="6" t="inlineStr">
        <is>
          <t>F</t>
        </is>
      </c>
      <c r="E148" s="6" t="inlineStr">
        <is>
          <t>M</t>
        </is>
      </c>
      <c r="F148" s="6" t="inlineStr">
        <is>
          <t>Total</t>
        </is>
      </c>
      <c r="G148" s="6" t="inlineStr">
        <is>
          <t>F</t>
        </is>
      </c>
      <c r="H148" s="6" t="inlineStr">
        <is>
          <t>M</t>
        </is>
      </c>
      <c r="I148" s="6" t="inlineStr">
        <is>
          <t>Total</t>
        </is>
      </c>
      <c r="J148" s="6" t="inlineStr">
        <is>
          <t>F</t>
        </is>
      </c>
      <c r="K148" s="6" t="inlineStr">
        <is>
          <t>M</t>
        </is>
      </c>
      <c r="L148" s="6" t="n"/>
      <c r="M148" s="6" t="n"/>
    </row>
    <row r="149">
      <c r="A149" s="7" t="n">
        <v>1</v>
      </c>
      <c r="B149" s="8">
        <f>B5</f>
        <v/>
      </c>
      <c r="C149" s="8">
        <f>C5</f>
        <v/>
      </c>
      <c r="D149" s="14" t="n"/>
      <c r="E149" s="14" t="n"/>
      <c r="F149" s="8">
        <f>D149+E149</f>
        <v/>
      </c>
      <c r="G149" s="14" t="n"/>
      <c r="H149" s="14" t="n"/>
      <c r="I149" s="8">
        <f>G149+H149</f>
        <v/>
      </c>
      <c r="J149" s="8">
        <f>D149+G149</f>
        <v/>
      </c>
      <c r="K149" s="8">
        <f>E149+H149</f>
        <v/>
      </c>
      <c r="L149" s="8">
        <f>J149+K149</f>
        <v/>
      </c>
      <c r="M149" s="9">
        <f>IF(C149=0,0,L149/C149*100)</f>
        <v/>
      </c>
    </row>
    <row r="150">
      <c r="A150" s="7" t="n">
        <v>2</v>
      </c>
      <c r="B150" s="8">
        <f>B6</f>
        <v/>
      </c>
      <c r="C150" s="8">
        <f>C6</f>
        <v/>
      </c>
      <c r="D150" s="14" t="n"/>
      <c r="E150" s="14" t="n"/>
      <c r="F150" s="8">
        <f>D150+E150</f>
        <v/>
      </c>
      <c r="G150" s="14" t="n"/>
      <c r="H150" s="14" t="n"/>
      <c r="I150" s="8">
        <f>G150+H150</f>
        <v/>
      </c>
      <c r="J150" s="8">
        <f>D150+G150</f>
        <v/>
      </c>
      <c r="K150" s="8">
        <f>E150+H150</f>
        <v/>
      </c>
      <c r="L150" s="8">
        <f>J150+K150</f>
        <v/>
      </c>
      <c r="M150" s="9">
        <f>IF(C150=0,0,L150/C150*100)</f>
        <v/>
      </c>
    </row>
    <row r="151">
      <c r="A151" s="7" t="n">
        <v>3</v>
      </c>
      <c r="B151" s="8">
        <f>B7</f>
        <v/>
      </c>
      <c r="C151" s="8">
        <f>C7</f>
        <v/>
      </c>
      <c r="D151" s="14" t="n"/>
      <c r="E151" s="14" t="n"/>
      <c r="F151" s="8">
        <f>D151+E151</f>
        <v/>
      </c>
      <c r="G151" s="14" t="n"/>
      <c r="H151" s="14" t="n"/>
      <c r="I151" s="8">
        <f>G151+H151</f>
        <v/>
      </c>
      <c r="J151" s="8">
        <f>D151+G151</f>
        <v/>
      </c>
      <c r="K151" s="8">
        <f>E151+H151</f>
        <v/>
      </c>
      <c r="L151" s="8">
        <f>J151+K151</f>
        <v/>
      </c>
      <c r="M151" s="9">
        <f>IF(C151=0,0,L151/C151*100)</f>
        <v/>
      </c>
    </row>
    <row r="152">
      <c r="A152" s="7" t="n">
        <v>4</v>
      </c>
      <c r="B152" s="8">
        <f>B8</f>
        <v/>
      </c>
      <c r="C152" s="8">
        <f>C8</f>
        <v/>
      </c>
      <c r="D152" s="14" t="n"/>
      <c r="E152" s="14" t="n"/>
      <c r="F152" s="8">
        <f>D152+E152</f>
        <v/>
      </c>
      <c r="G152" s="14" t="n"/>
      <c r="H152" s="14" t="n"/>
      <c r="I152" s="8">
        <f>G152+H152</f>
        <v/>
      </c>
      <c r="J152" s="8">
        <f>D152+G152</f>
        <v/>
      </c>
      <c r="K152" s="8">
        <f>E152+H152</f>
        <v/>
      </c>
      <c r="L152" s="8">
        <f>J152+K152</f>
        <v/>
      </c>
      <c r="M152" s="9">
        <f>IF(C152=0,0,L152/C152*100)</f>
        <v/>
      </c>
    </row>
    <row r="153">
      <c r="A153" s="7" t="n">
        <v>5</v>
      </c>
      <c r="B153" s="8">
        <f>B9</f>
        <v/>
      </c>
      <c r="C153" s="8">
        <f>C9</f>
        <v/>
      </c>
      <c r="D153" s="14" t="n"/>
      <c r="E153" s="14" t="n"/>
      <c r="F153" s="8">
        <f>D153+E153</f>
        <v/>
      </c>
      <c r="G153" s="14" t="n"/>
      <c r="H153" s="14" t="n"/>
      <c r="I153" s="8">
        <f>G153+H153</f>
        <v/>
      </c>
      <c r="J153" s="8">
        <f>D153+G153</f>
        <v/>
      </c>
      <c r="K153" s="8">
        <f>E153+H153</f>
        <v/>
      </c>
      <c r="L153" s="8">
        <f>J153+K153</f>
        <v/>
      </c>
      <c r="M153" s="9">
        <f>IF(C153=0,0,L153/C153*100)</f>
        <v/>
      </c>
    </row>
    <row r="154">
      <c r="A154" s="7" t="n">
        <v>6</v>
      </c>
      <c r="B154" s="8">
        <f>B10</f>
        <v/>
      </c>
      <c r="C154" s="8">
        <f>C10</f>
        <v/>
      </c>
      <c r="D154" s="14" t="n"/>
      <c r="E154" s="14" t="n"/>
      <c r="F154" s="8">
        <f>D154+E154</f>
        <v/>
      </c>
      <c r="G154" s="14" t="n"/>
      <c r="H154" s="14" t="n"/>
      <c r="I154" s="8">
        <f>G154+H154</f>
        <v/>
      </c>
      <c r="J154" s="8">
        <f>D154+G154</f>
        <v/>
      </c>
      <c r="K154" s="8">
        <f>E154+H154</f>
        <v/>
      </c>
      <c r="L154" s="8">
        <f>J154+K154</f>
        <v/>
      </c>
      <c r="M154" s="9">
        <f>IF(C154=0,0,L154/C154*100)</f>
        <v/>
      </c>
    </row>
    <row r="155">
      <c r="A155" s="7" t="n">
        <v>7</v>
      </c>
      <c r="B155" s="8">
        <f>B11</f>
        <v/>
      </c>
      <c r="C155" s="8">
        <f>C11</f>
        <v/>
      </c>
      <c r="D155" s="14" t="n"/>
      <c r="E155" s="14" t="n"/>
      <c r="F155" s="8">
        <f>D155+E155</f>
        <v/>
      </c>
      <c r="G155" s="14" t="n"/>
      <c r="H155" s="14" t="n"/>
      <c r="I155" s="8">
        <f>G155+H155</f>
        <v/>
      </c>
      <c r="J155" s="8">
        <f>D155+G155</f>
        <v/>
      </c>
      <c r="K155" s="8">
        <f>E155+H155</f>
        <v/>
      </c>
      <c r="L155" s="8">
        <f>J155+K155</f>
        <v/>
      </c>
      <c r="M155" s="9">
        <f>IF(C155=0,0,L155/C155*100)</f>
        <v/>
      </c>
    </row>
    <row r="156">
      <c r="A156" s="7" t="n">
        <v>8</v>
      </c>
      <c r="B156" s="8">
        <f>B12</f>
        <v/>
      </c>
      <c r="C156" s="8">
        <f>C12</f>
        <v/>
      </c>
      <c r="D156" s="14" t="n"/>
      <c r="E156" s="14" t="n"/>
      <c r="F156" s="8">
        <f>D156+E156</f>
        <v/>
      </c>
      <c r="G156" s="14" t="n"/>
      <c r="H156" s="14" t="n"/>
      <c r="I156" s="8">
        <f>G156+H156</f>
        <v/>
      </c>
      <c r="J156" s="8">
        <f>D156+G156</f>
        <v/>
      </c>
      <c r="K156" s="8">
        <f>E156+H156</f>
        <v/>
      </c>
      <c r="L156" s="8">
        <f>J156+K156</f>
        <v/>
      </c>
      <c r="M156" s="9">
        <f>IF(C156=0,0,L156/C156*100)</f>
        <v/>
      </c>
    </row>
    <row r="157">
      <c r="A157" s="7" t="n">
        <v>9</v>
      </c>
      <c r="B157" s="8">
        <f>B13</f>
        <v/>
      </c>
      <c r="C157" s="8">
        <f>C13</f>
        <v/>
      </c>
      <c r="D157" s="14" t="n"/>
      <c r="E157" s="14" t="n"/>
      <c r="F157" s="8">
        <f>D157+E157</f>
        <v/>
      </c>
      <c r="G157" s="14" t="n"/>
      <c r="H157" s="14" t="n"/>
      <c r="I157" s="8">
        <f>G157+H157</f>
        <v/>
      </c>
      <c r="J157" s="8">
        <f>D157+G157</f>
        <v/>
      </c>
      <c r="K157" s="8">
        <f>E157+H157</f>
        <v/>
      </c>
      <c r="L157" s="8">
        <f>J157+K157</f>
        <v/>
      </c>
      <c r="M157" s="9">
        <f>IF(C157=0,0,L157/C157*100)</f>
        <v/>
      </c>
    </row>
    <row r="158">
      <c r="A158" s="7" t="n">
        <v>10</v>
      </c>
      <c r="B158" s="8">
        <f>B14</f>
        <v/>
      </c>
      <c r="C158" s="8">
        <f>C14</f>
        <v/>
      </c>
      <c r="D158" s="14" t="n"/>
      <c r="E158" s="14" t="n"/>
      <c r="F158" s="8">
        <f>D158+E158</f>
        <v/>
      </c>
      <c r="G158" s="14" t="n"/>
      <c r="H158" s="14" t="n"/>
      <c r="I158" s="8">
        <f>G158+H158</f>
        <v/>
      </c>
      <c r="J158" s="8">
        <f>D158+G158</f>
        <v/>
      </c>
      <c r="K158" s="8">
        <f>E158+H158</f>
        <v/>
      </c>
      <c r="L158" s="8">
        <f>J158+K158</f>
        <v/>
      </c>
      <c r="M158" s="9">
        <f>IF(C158=0,0,L158/C158*100)</f>
        <v/>
      </c>
    </row>
    <row r="159">
      <c r="A159" s="10" t="inlineStr">
        <is>
          <t>Total</t>
        </is>
      </c>
      <c r="B159" s="11">
        <f>SUM(B149:B158)</f>
        <v/>
      </c>
      <c r="C159" s="11">
        <f>SUM(C149:C158)</f>
        <v/>
      </c>
      <c r="D159" s="11">
        <f>SUM(D149:D158)</f>
        <v/>
      </c>
      <c r="E159" s="11">
        <f>SUM(E149:E158)</f>
        <v/>
      </c>
      <c r="F159" s="11">
        <f>D159+E159</f>
        <v/>
      </c>
      <c r="G159" s="11">
        <f>SUM(G149:G158)</f>
        <v/>
      </c>
      <c r="H159" s="11">
        <f>SUM(H149:H158)</f>
        <v/>
      </c>
      <c r="I159" s="11">
        <f>G159+H159</f>
        <v/>
      </c>
      <c r="J159" s="11">
        <f>D159+G159</f>
        <v/>
      </c>
      <c r="K159" s="11">
        <f>E159+H159</f>
        <v/>
      </c>
      <c r="L159" s="11">
        <f>J159+K159</f>
        <v/>
      </c>
      <c r="M159" s="12">
        <f>IF(C159=0,0,L159/C159*100)</f>
        <v/>
      </c>
    </row>
    <row r="161">
      <c r="A161" s="13" t="inlineStr">
        <is>
          <t>Day 10 - 2026-10-14 (Wed 28 Aswin 2083)</t>
        </is>
      </c>
    </row>
    <row r="162">
      <c r="A162" s="6" t="inlineStr">
        <is>
          <t>Ward no.</t>
        </is>
      </c>
      <c r="B162" s="6" t="inlineStr">
        <is>
          <t>Total population</t>
        </is>
      </c>
      <c r="C162" s="6" t="inlineStr">
        <is>
          <t>JE target population</t>
        </is>
      </c>
      <c r="D162" s="6" t="inlineStr">
        <is>
          <t>Vaccinated</t>
        </is>
      </c>
      <c r="E162" s="6" t="n"/>
      <c r="F162" s="6" t="n"/>
      <c r="G162" s="6" t="n"/>
      <c r="H162" s="6" t="n"/>
      <c r="I162" s="6" t="n"/>
      <c r="J162" s="6" t="n"/>
      <c r="K162" s="6" t="n"/>
      <c r="L162" s="6" t="n"/>
      <c r="M162" s="6" t="inlineStr">
        <is>
          <t>Progress %</t>
        </is>
      </c>
    </row>
    <row r="163">
      <c r="A163" s="6" t="n"/>
      <c r="B163" s="6" t="n"/>
      <c r="C163" s="6" t="n"/>
      <c r="D163" s="6" t="inlineStr">
        <is>
          <t>Age 30-60 yrs</t>
        </is>
      </c>
      <c r="E163" s="6" t="n"/>
      <c r="F163" s="6" t="n"/>
      <c r="G163" s="6" t="inlineStr">
        <is>
          <t>Age 60 above</t>
        </is>
      </c>
      <c r="H163" s="6" t="n"/>
      <c r="I163" s="6" t="n"/>
      <c r="J163" s="6" t="inlineStr">
        <is>
          <t>Total</t>
        </is>
      </c>
      <c r="K163" s="6" t="n"/>
      <c r="L163" s="6" t="inlineStr">
        <is>
          <t>Grand Total</t>
        </is>
      </c>
      <c r="M163" s="6" t="n"/>
    </row>
    <row r="164">
      <c r="A164" s="6" t="n"/>
      <c r="B164" s="6" t="n"/>
      <c r="C164" s="6" t="n"/>
      <c r="D164" s="6" t="inlineStr">
        <is>
          <t>F</t>
        </is>
      </c>
      <c r="E164" s="6" t="inlineStr">
        <is>
          <t>M</t>
        </is>
      </c>
      <c r="F164" s="6" t="inlineStr">
        <is>
          <t>Total</t>
        </is>
      </c>
      <c r="G164" s="6" t="inlineStr">
        <is>
          <t>F</t>
        </is>
      </c>
      <c r="H164" s="6" t="inlineStr">
        <is>
          <t>M</t>
        </is>
      </c>
      <c r="I164" s="6" t="inlineStr">
        <is>
          <t>Total</t>
        </is>
      </c>
      <c r="J164" s="6" t="inlineStr">
        <is>
          <t>F</t>
        </is>
      </c>
      <c r="K164" s="6" t="inlineStr">
        <is>
          <t>M</t>
        </is>
      </c>
      <c r="L164" s="6" t="n"/>
      <c r="M164" s="6" t="n"/>
    </row>
    <row r="165">
      <c r="A165" s="7" t="n">
        <v>1</v>
      </c>
      <c r="B165" s="8">
        <f>B5</f>
        <v/>
      </c>
      <c r="C165" s="8">
        <f>C5</f>
        <v/>
      </c>
      <c r="D165" s="14" t="n"/>
      <c r="E165" s="14" t="n"/>
      <c r="F165" s="8">
        <f>D165+E165</f>
        <v/>
      </c>
      <c r="G165" s="14" t="n"/>
      <c r="H165" s="14" t="n"/>
      <c r="I165" s="8">
        <f>G165+H165</f>
        <v/>
      </c>
      <c r="J165" s="8">
        <f>D165+G165</f>
        <v/>
      </c>
      <c r="K165" s="8">
        <f>E165+H165</f>
        <v/>
      </c>
      <c r="L165" s="8">
        <f>J165+K165</f>
        <v/>
      </c>
      <c r="M165" s="9">
        <f>IF(C165=0,0,L165/C165*100)</f>
        <v/>
      </c>
    </row>
    <row r="166">
      <c r="A166" s="7" t="n">
        <v>2</v>
      </c>
      <c r="B166" s="8">
        <f>B6</f>
        <v/>
      </c>
      <c r="C166" s="8">
        <f>C6</f>
        <v/>
      </c>
      <c r="D166" s="14" t="n"/>
      <c r="E166" s="14" t="n"/>
      <c r="F166" s="8">
        <f>D166+E166</f>
        <v/>
      </c>
      <c r="G166" s="14" t="n"/>
      <c r="H166" s="14" t="n"/>
      <c r="I166" s="8">
        <f>G166+H166</f>
        <v/>
      </c>
      <c r="J166" s="8">
        <f>D166+G166</f>
        <v/>
      </c>
      <c r="K166" s="8">
        <f>E166+H166</f>
        <v/>
      </c>
      <c r="L166" s="8">
        <f>J166+K166</f>
        <v/>
      </c>
      <c r="M166" s="9">
        <f>IF(C166=0,0,L166/C166*100)</f>
        <v/>
      </c>
    </row>
    <row r="167">
      <c r="A167" s="7" t="n">
        <v>3</v>
      </c>
      <c r="B167" s="8">
        <f>B7</f>
        <v/>
      </c>
      <c r="C167" s="8">
        <f>C7</f>
        <v/>
      </c>
      <c r="D167" s="14" t="n"/>
      <c r="E167" s="14" t="n"/>
      <c r="F167" s="8">
        <f>D167+E167</f>
        <v/>
      </c>
      <c r="G167" s="14" t="n"/>
      <c r="H167" s="14" t="n"/>
      <c r="I167" s="8">
        <f>G167+H167</f>
        <v/>
      </c>
      <c r="J167" s="8">
        <f>D167+G167</f>
        <v/>
      </c>
      <c r="K167" s="8">
        <f>E167+H167</f>
        <v/>
      </c>
      <c r="L167" s="8">
        <f>J167+K167</f>
        <v/>
      </c>
      <c r="M167" s="9">
        <f>IF(C167=0,0,L167/C167*100)</f>
        <v/>
      </c>
    </row>
    <row r="168">
      <c r="A168" s="7" t="n">
        <v>4</v>
      </c>
      <c r="B168" s="8">
        <f>B8</f>
        <v/>
      </c>
      <c r="C168" s="8">
        <f>C8</f>
        <v/>
      </c>
      <c r="D168" s="14" t="n"/>
      <c r="E168" s="14" t="n"/>
      <c r="F168" s="8">
        <f>D168+E168</f>
        <v/>
      </c>
      <c r="G168" s="14" t="n"/>
      <c r="H168" s="14" t="n"/>
      <c r="I168" s="8">
        <f>G168+H168</f>
        <v/>
      </c>
      <c r="J168" s="8">
        <f>D168+G168</f>
        <v/>
      </c>
      <c r="K168" s="8">
        <f>E168+H168</f>
        <v/>
      </c>
      <c r="L168" s="8">
        <f>J168+K168</f>
        <v/>
      </c>
      <c r="M168" s="9">
        <f>IF(C168=0,0,L168/C168*100)</f>
        <v/>
      </c>
    </row>
    <row r="169">
      <c r="A169" s="7" t="n">
        <v>5</v>
      </c>
      <c r="B169" s="8">
        <f>B9</f>
        <v/>
      </c>
      <c r="C169" s="8">
        <f>C9</f>
        <v/>
      </c>
      <c r="D169" s="14" t="n"/>
      <c r="E169" s="14" t="n"/>
      <c r="F169" s="8">
        <f>D169+E169</f>
        <v/>
      </c>
      <c r="G169" s="14" t="n"/>
      <c r="H169" s="14" t="n"/>
      <c r="I169" s="8">
        <f>G169+H169</f>
        <v/>
      </c>
      <c r="J169" s="8">
        <f>D169+G169</f>
        <v/>
      </c>
      <c r="K169" s="8">
        <f>E169+H169</f>
        <v/>
      </c>
      <c r="L169" s="8">
        <f>J169+K169</f>
        <v/>
      </c>
      <c r="M169" s="9">
        <f>IF(C169=0,0,L169/C169*100)</f>
        <v/>
      </c>
    </row>
    <row r="170">
      <c r="A170" s="7" t="n">
        <v>6</v>
      </c>
      <c r="B170" s="8">
        <f>B10</f>
        <v/>
      </c>
      <c r="C170" s="8">
        <f>C10</f>
        <v/>
      </c>
      <c r="D170" s="14" t="n"/>
      <c r="E170" s="14" t="n"/>
      <c r="F170" s="8">
        <f>D170+E170</f>
        <v/>
      </c>
      <c r="G170" s="14" t="n"/>
      <c r="H170" s="14" t="n"/>
      <c r="I170" s="8">
        <f>G170+H170</f>
        <v/>
      </c>
      <c r="J170" s="8">
        <f>D170+G170</f>
        <v/>
      </c>
      <c r="K170" s="8">
        <f>E170+H170</f>
        <v/>
      </c>
      <c r="L170" s="8">
        <f>J170+K170</f>
        <v/>
      </c>
      <c r="M170" s="9">
        <f>IF(C170=0,0,L170/C170*100)</f>
        <v/>
      </c>
    </row>
    <row r="171">
      <c r="A171" s="7" t="n">
        <v>7</v>
      </c>
      <c r="B171" s="8">
        <f>B11</f>
        <v/>
      </c>
      <c r="C171" s="8">
        <f>C11</f>
        <v/>
      </c>
      <c r="D171" s="14" t="n"/>
      <c r="E171" s="14" t="n"/>
      <c r="F171" s="8">
        <f>D171+E171</f>
        <v/>
      </c>
      <c r="G171" s="14" t="n"/>
      <c r="H171" s="14" t="n"/>
      <c r="I171" s="8">
        <f>G171+H171</f>
        <v/>
      </c>
      <c r="J171" s="8">
        <f>D171+G171</f>
        <v/>
      </c>
      <c r="K171" s="8">
        <f>E171+H171</f>
        <v/>
      </c>
      <c r="L171" s="8">
        <f>J171+K171</f>
        <v/>
      </c>
      <c r="M171" s="9">
        <f>IF(C171=0,0,L171/C171*100)</f>
        <v/>
      </c>
    </row>
    <row r="172">
      <c r="A172" s="7" t="n">
        <v>8</v>
      </c>
      <c r="B172" s="8">
        <f>B12</f>
        <v/>
      </c>
      <c r="C172" s="8">
        <f>C12</f>
        <v/>
      </c>
      <c r="D172" s="14" t="n"/>
      <c r="E172" s="14" t="n"/>
      <c r="F172" s="8">
        <f>D172+E172</f>
        <v/>
      </c>
      <c r="G172" s="14" t="n"/>
      <c r="H172" s="14" t="n"/>
      <c r="I172" s="8">
        <f>G172+H172</f>
        <v/>
      </c>
      <c r="J172" s="8">
        <f>D172+G172</f>
        <v/>
      </c>
      <c r="K172" s="8">
        <f>E172+H172</f>
        <v/>
      </c>
      <c r="L172" s="8">
        <f>J172+K172</f>
        <v/>
      </c>
      <c r="M172" s="9">
        <f>IF(C172=0,0,L172/C172*100)</f>
        <v/>
      </c>
    </row>
    <row r="173">
      <c r="A173" s="7" t="n">
        <v>9</v>
      </c>
      <c r="B173" s="8">
        <f>B13</f>
        <v/>
      </c>
      <c r="C173" s="8">
        <f>C13</f>
        <v/>
      </c>
      <c r="D173" s="14" t="n"/>
      <c r="E173" s="14" t="n"/>
      <c r="F173" s="8">
        <f>D173+E173</f>
        <v/>
      </c>
      <c r="G173" s="14" t="n"/>
      <c r="H173" s="14" t="n"/>
      <c r="I173" s="8">
        <f>G173+H173</f>
        <v/>
      </c>
      <c r="J173" s="8">
        <f>D173+G173</f>
        <v/>
      </c>
      <c r="K173" s="8">
        <f>E173+H173</f>
        <v/>
      </c>
      <c r="L173" s="8">
        <f>J173+K173</f>
        <v/>
      </c>
      <c r="M173" s="9">
        <f>IF(C173=0,0,L173/C173*100)</f>
        <v/>
      </c>
    </row>
    <row r="174">
      <c r="A174" s="7" t="n">
        <v>10</v>
      </c>
      <c r="B174" s="8">
        <f>B14</f>
        <v/>
      </c>
      <c r="C174" s="8">
        <f>C14</f>
        <v/>
      </c>
      <c r="D174" s="14" t="n"/>
      <c r="E174" s="14" t="n"/>
      <c r="F174" s="8">
        <f>D174+E174</f>
        <v/>
      </c>
      <c r="G174" s="14" t="n"/>
      <c r="H174" s="14" t="n"/>
      <c r="I174" s="8">
        <f>G174+H174</f>
        <v/>
      </c>
      <c r="J174" s="8">
        <f>D174+G174</f>
        <v/>
      </c>
      <c r="K174" s="8">
        <f>E174+H174</f>
        <v/>
      </c>
      <c r="L174" s="8">
        <f>J174+K174</f>
        <v/>
      </c>
      <c r="M174" s="9">
        <f>IF(C174=0,0,L174/C174*100)</f>
        <v/>
      </c>
    </row>
    <row r="175">
      <c r="A175" s="10" t="inlineStr">
        <is>
          <t>Total</t>
        </is>
      </c>
      <c r="B175" s="11">
        <f>SUM(B165:B174)</f>
        <v/>
      </c>
      <c r="C175" s="11">
        <f>SUM(C165:C174)</f>
        <v/>
      </c>
      <c r="D175" s="11">
        <f>SUM(D165:D174)</f>
        <v/>
      </c>
      <c r="E175" s="11">
        <f>SUM(E165:E174)</f>
        <v/>
      </c>
      <c r="F175" s="11">
        <f>D175+E175</f>
        <v/>
      </c>
      <c r="G175" s="11">
        <f>SUM(G165:G174)</f>
        <v/>
      </c>
      <c r="H175" s="11">
        <f>SUM(H165:H174)</f>
        <v/>
      </c>
      <c r="I175" s="11">
        <f>G175+H175</f>
        <v/>
      </c>
      <c r="J175" s="11">
        <f>D175+G175</f>
        <v/>
      </c>
      <c r="K175" s="11">
        <f>E175+H175</f>
        <v/>
      </c>
      <c r="L175" s="11">
        <f>J175+K175</f>
        <v/>
      </c>
      <c r="M175" s="12">
        <f>IF(C175=0,0,L175/C175*100)</f>
        <v/>
      </c>
    </row>
    <row r="177">
      <c r="A177" s="13" t="inlineStr">
        <is>
          <t>Day 11 - 2026-10-15 (Thu 29 Aswin 2083)</t>
        </is>
      </c>
    </row>
    <row r="178">
      <c r="A178" s="6" t="inlineStr">
        <is>
          <t>Ward no.</t>
        </is>
      </c>
      <c r="B178" s="6" t="inlineStr">
        <is>
          <t>Total population</t>
        </is>
      </c>
      <c r="C178" s="6" t="inlineStr">
        <is>
          <t>JE target population</t>
        </is>
      </c>
      <c r="D178" s="6" t="inlineStr">
        <is>
          <t>Vaccinated</t>
        </is>
      </c>
      <c r="E178" s="6" t="n"/>
      <c r="F178" s="6" t="n"/>
      <c r="G178" s="6" t="n"/>
      <c r="H178" s="6" t="n"/>
      <c r="I178" s="6" t="n"/>
      <c r="J178" s="6" t="n"/>
      <c r="K178" s="6" t="n"/>
      <c r="L178" s="6" t="n"/>
      <c r="M178" s="6" t="inlineStr">
        <is>
          <t>Progress %</t>
        </is>
      </c>
    </row>
    <row r="179">
      <c r="A179" s="6" t="n"/>
      <c r="B179" s="6" t="n"/>
      <c r="C179" s="6" t="n"/>
      <c r="D179" s="6" t="inlineStr">
        <is>
          <t>Age 30-60 yrs</t>
        </is>
      </c>
      <c r="E179" s="6" t="n"/>
      <c r="F179" s="6" t="n"/>
      <c r="G179" s="6" t="inlineStr">
        <is>
          <t>Age 60 above</t>
        </is>
      </c>
      <c r="H179" s="6" t="n"/>
      <c r="I179" s="6" t="n"/>
      <c r="J179" s="6" t="inlineStr">
        <is>
          <t>Total</t>
        </is>
      </c>
      <c r="K179" s="6" t="n"/>
      <c r="L179" s="6" t="inlineStr">
        <is>
          <t>Grand Total</t>
        </is>
      </c>
      <c r="M179" s="6" t="n"/>
    </row>
    <row r="180">
      <c r="A180" s="6" t="n"/>
      <c r="B180" s="6" t="n"/>
      <c r="C180" s="6" t="n"/>
      <c r="D180" s="6" t="inlineStr">
        <is>
          <t>F</t>
        </is>
      </c>
      <c r="E180" s="6" t="inlineStr">
        <is>
          <t>M</t>
        </is>
      </c>
      <c r="F180" s="6" t="inlineStr">
        <is>
          <t>Total</t>
        </is>
      </c>
      <c r="G180" s="6" t="inlineStr">
        <is>
          <t>F</t>
        </is>
      </c>
      <c r="H180" s="6" t="inlineStr">
        <is>
          <t>M</t>
        </is>
      </c>
      <c r="I180" s="6" t="inlineStr">
        <is>
          <t>Total</t>
        </is>
      </c>
      <c r="J180" s="6" t="inlineStr">
        <is>
          <t>F</t>
        </is>
      </c>
      <c r="K180" s="6" t="inlineStr">
        <is>
          <t>M</t>
        </is>
      </c>
      <c r="L180" s="6" t="n"/>
      <c r="M180" s="6" t="n"/>
    </row>
    <row r="181">
      <c r="A181" s="7" t="n">
        <v>1</v>
      </c>
      <c r="B181" s="8">
        <f>B5</f>
        <v/>
      </c>
      <c r="C181" s="8">
        <f>C5</f>
        <v/>
      </c>
      <c r="D181" s="14" t="n"/>
      <c r="E181" s="14" t="n"/>
      <c r="F181" s="8">
        <f>D181+E181</f>
        <v/>
      </c>
      <c r="G181" s="14" t="n"/>
      <c r="H181" s="14" t="n"/>
      <c r="I181" s="8">
        <f>G181+H181</f>
        <v/>
      </c>
      <c r="J181" s="8">
        <f>D181+G181</f>
        <v/>
      </c>
      <c r="K181" s="8">
        <f>E181+H181</f>
        <v/>
      </c>
      <c r="L181" s="8">
        <f>J181+K181</f>
        <v/>
      </c>
      <c r="M181" s="9">
        <f>IF(C181=0,0,L181/C181*100)</f>
        <v/>
      </c>
    </row>
    <row r="182">
      <c r="A182" s="7" t="n">
        <v>2</v>
      </c>
      <c r="B182" s="8">
        <f>B6</f>
        <v/>
      </c>
      <c r="C182" s="8">
        <f>C6</f>
        <v/>
      </c>
      <c r="D182" s="14" t="n"/>
      <c r="E182" s="14" t="n"/>
      <c r="F182" s="8">
        <f>D182+E182</f>
        <v/>
      </c>
      <c r="G182" s="14" t="n"/>
      <c r="H182" s="14" t="n"/>
      <c r="I182" s="8">
        <f>G182+H182</f>
        <v/>
      </c>
      <c r="J182" s="8">
        <f>D182+G182</f>
        <v/>
      </c>
      <c r="K182" s="8">
        <f>E182+H182</f>
        <v/>
      </c>
      <c r="L182" s="8">
        <f>J182+K182</f>
        <v/>
      </c>
      <c r="M182" s="9">
        <f>IF(C182=0,0,L182/C182*100)</f>
        <v/>
      </c>
    </row>
    <row r="183">
      <c r="A183" s="7" t="n">
        <v>3</v>
      </c>
      <c r="B183" s="8">
        <f>B7</f>
        <v/>
      </c>
      <c r="C183" s="8">
        <f>C7</f>
        <v/>
      </c>
      <c r="D183" s="14" t="n"/>
      <c r="E183" s="14" t="n"/>
      <c r="F183" s="8">
        <f>D183+E183</f>
        <v/>
      </c>
      <c r="G183" s="14" t="n"/>
      <c r="H183" s="14" t="n"/>
      <c r="I183" s="8">
        <f>G183+H183</f>
        <v/>
      </c>
      <c r="J183" s="8">
        <f>D183+G183</f>
        <v/>
      </c>
      <c r="K183" s="8">
        <f>E183+H183</f>
        <v/>
      </c>
      <c r="L183" s="8">
        <f>J183+K183</f>
        <v/>
      </c>
      <c r="M183" s="9">
        <f>IF(C183=0,0,L183/C183*100)</f>
        <v/>
      </c>
    </row>
    <row r="184">
      <c r="A184" s="7" t="n">
        <v>4</v>
      </c>
      <c r="B184" s="8">
        <f>B8</f>
        <v/>
      </c>
      <c r="C184" s="8">
        <f>C8</f>
        <v/>
      </c>
      <c r="D184" s="14" t="n"/>
      <c r="E184" s="14" t="n"/>
      <c r="F184" s="8">
        <f>D184+E184</f>
        <v/>
      </c>
      <c r="G184" s="14" t="n"/>
      <c r="H184" s="14" t="n"/>
      <c r="I184" s="8">
        <f>G184+H184</f>
        <v/>
      </c>
      <c r="J184" s="8">
        <f>D184+G184</f>
        <v/>
      </c>
      <c r="K184" s="8">
        <f>E184+H184</f>
        <v/>
      </c>
      <c r="L184" s="8">
        <f>J184+K184</f>
        <v/>
      </c>
      <c r="M184" s="9">
        <f>IF(C184=0,0,L184/C184*100)</f>
        <v/>
      </c>
    </row>
    <row r="185">
      <c r="A185" s="7" t="n">
        <v>5</v>
      </c>
      <c r="B185" s="8">
        <f>B9</f>
        <v/>
      </c>
      <c r="C185" s="8">
        <f>C9</f>
        <v/>
      </c>
      <c r="D185" s="14" t="n"/>
      <c r="E185" s="14" t="n"/>
      <c r="F185" s="8">
        <f>D185+E185</f>
        <v/>
      </c>
      <c r="G185" s="14" t="n"/>
      <c r="H185" s="14" t="n"/>
      <c r="I185" s="8">
        <f>G185+H185</f>
        <v/>
      </c>
      <c r="J185" s="8">
        <f>D185+G185</f>
        <v/>
      </c>
      <c r="K185" s="8">
        <f>E185+H185</f>
        <v/>
      </c>
      <c r="L185" s="8">
        <f>J185+K185</f>
        <v/>
      </c>
      <c r="M185" s="9">
        <f>IF(C185=0,0,L185/C185*100)</f>
        <v/>
      </c>
    </row>
    <row r="186">
      <c r="A186" s="7" t="n">
        <v>6</v>
      </c>
      <c r="B186" s="8">
        <f>B10</f>
        <v/>
      </c>
      <c r="C186" s="8">
        <f>C10</f>
        <v/>
      </c>
      <c r="D186" s="14" t="n"/>
      <c r="E186" s="14" t="n"/>
      <c r="F186" s="8">
        <f>D186+E186</f>
        <v/>
      </c>
      <c r="G186" s="14" t="n"/>
      <c r="H186" s="14" t="n"/>
      <c r="I186" s="8">
        <f>G186+H186</f>
        <v/>
      </c>
      <c r="J186" s="8">
        <f>D186+G186</f>
        <v/>
      </c>
      <c r="K186" s="8">
        <f>E186+H186</f>
        <v/>
      </c>
      <c r="L186" s="8">
        <f>J186+K186</f>
        <v/>
      </c>
      <c r="M186" s="9">
        <f>IF(C186=0,0,L186/C186*100)</f>
        <v/>
      </c>
    </row>
    <row r="187">
      <c r="A187" s="7" t="n">
        <v>7</v>
      </c>
      <c r="B187" s="8">
        <f>B11</f>
        <v/>
      </c>
      <c r="C187" s="8">
        <f>C11</f>
        <v/>
      </c>
      <c r="D187" s="14" t="n"/>
      <c r="E187" s="14" t="n"/>
      <c r="F187" s="8">
        <f>D187+E187</f>
        <v/>
      </c>
      <c r="G187" s="14" t="n"/>
      <c r="H187" s="14" t="n"/>
      <c r="I187" s="8">
        <f>G187+H187</f>
        <v/>
      </c>
      <c r="J187" s="8">
        <f>D187+G187</f>
        <v/>
      </c>
      <c r="K187" s="8">
        <f>E187+H187</f>
        <v/>
      </c>
      <c r="L187" s="8">
        <f>J187+K187</f>
        <v/>
      </c>
      <c r="M187" s="9">
        <f>IF(C187=0,0,L187/C187*100)</f>
        <v/>
      </c>
    </row>
    <row r="188">
      <c r="A188" s="7" t="n">
        <v>8</v>
      </c>
      <c r="B188" s="8">
        <f>B12</f>
        <v/>
      </c>
      <c r="C188" s="8">
        <f>C12</f>
        <v/>
      </c>
      <c r="D188" s="14" t="n"/>
      <c r="E188" s="14" t="n"/>
      <c r="F188" s="8">
        <f>D188+E188</f>
        <v/>
      </c>
      <c r="G188" s="14" t="n"/>
      <c r="H188" s="14" t="n"/>
      <c r="I188" s="8">
        <f>G188+H188</f>
        <v/>
      </c>
      <c r="J188" s="8">
        <f>D188+G188</f>
        <v/>
      </c>
      <c r="K188" s="8">
        <f>E188+H188</f>
        <v/>
      </c>
      <c r="L188" s="8">
        <f>J188+K188</f>
        <v/>
      </c>
      <c r="M188" s="9">
        <f>IF(C188=0,0,L188/C188*100)</f>
        <v/>
      </c>
    </row>
    <row r="189">
      <c r="A189" s="7" t="n">
        <v>9</v>
      </c>
      <c r="B189" s="8">
        <f>B13</f>
        <v/>
      </c>
      <c r="C189" s="8">
        <f>C13</f>
        <v/>
      </c>
      <c r="D189" s="14" t="n"/>
      <c r="E189" s="14" t="n"/>
      <c r="F189" s="8">
        <f>D189+E189</f>
        <v/>
      </c>
      <c r="G189" s="14" t="n"/>
      <c r="H189" s="14" t="n"/>
      <c r="I189" s="8">
        <f>G189+H189</f>
        <v/>
      </c>
      <c r="J189" s="8">
        <f>D189+G189</f>
        <v/>
      </c>
      <c r="K189" s="8">
        <f>E189+H189</f>
        <v/>
      </c>
      <c r="L189" s="8">
        <f>J189+K189</f>
        <v/>
      </c>
      <c r="M189" s="9">
        <f>IF(C189=0,0,L189/C189*100)</f>
        <v/>
      </c>
    </row>
    <row r="190">
      <c r="A190" s="7" t="n">
        <v>10</v>
      </c>
      <c r="B190" s="8">
        <f>B14</f>
        <v/>
      </c>
      <c r="C190" s="8">
        <f>C14</f>
        <v/>
      </c>
      <c r="D190" s="14" t="n"/>
      <c r="E190" s="14" t="n"/>
      <c r="F190" s="8">
        <f>D190+E190</f>
        <v/>
      </c>
      <c r="G190" s="14" t="n"/>
      <c r="H190" s="14" t="n"/>
      <c r="I190" s="8">
        <f>G190+H190</f>
        <v/>
      </c>
      <c r="J190" s="8">
        <f>D190+G190</f>
        <v/>
      </c>
      <c r="K190" s="8">
        <f>E190+H190</f>
        <v/>
      </c>
      <c r="L190" s="8">
        <f>J190+K190</f>
        <v/>
      </c>
      <c r="M190" s="9">
        <f>IF(C190=0,0,L190/C190*100)</f>
        <v/>
      </c>
    </row>
    <row r="191">
      <c r="A191" s="10" t="inlineStr">
        <is>
          <t>Total</t>
        </is>
      </c>
      <c r="B191" s="11">
        <f>SUM(B181:B190)</f>
        <v/>
      </c>
      <c r="C191" s="11">
        <f>SUM(C181:C190)</f>
        <v/>
      </c>
      <c r="D191" s="11">
        <f>SUM(D181:D190)</f>
        <v/>
      </c>
      <c r="E191" s="11">
        <f>SUM(E181:E190)</f>
        <v/>
      </c>
      <c r="F191" s="11">
        <f>D191+E191</f>
        <v/>
      </c>
      <c r="G191" s="11">
        <f>SUM(G181:G190)</f>
        <v/>
      </c>
      <c r="H191" s="11">
        <f>SUM(H181:H190)</f>
        <v/>
      </c>
      <c r="I191" s="11">
        <f>G191+H191</f>
        <v/>
      </c>
      <c r="J191" s="11">
        <f>D191+G191</f>
        <v/>
      </c>
      <c r="K191" s="11">
        <f>E191+H191</f>
        <v/>
      </c>
      <c r="L191" s="11">
        <f>J191+K191</f>
        <v/>
      </c>
      <c r="M191" s="12">
        <f>IF(C191=0,0,L191/C191*100)</f>
        <v/>
      </c>
    </row>
    <row r="193">
      <c r="A193" s="13" t="inlineStr">
        <is>
          <t>Day 12 - 2026-10-16 (Fri 30 Aswin 2083)</t>
        </is>
      </c>
    </row>
    <row r="194">
      <c r="A194" s="6" t="inlineStr">
        <is>
          <t>Ward no.</t>
        </is>
      </c>
      <c r="B194" s="6" t="inlineStr">
        <is>
          <t>Total population</t>
        </is>
      </c>
      <c r="C194" s="6" t="inlineStr">
        <is>
          <t>JE target population</t>
        </is>
      </c>
      <c r="D194" s="6" t="inlineStr">
        <is>
          <t>Vaccinated</t>
        </is>
      </c>
      <c r="E194" s="6" t="n"/>
      <c r="F194" s="6" t="n"/>
      <c r="G194" s="6" t="n"/>
      <c r="H194" s="6" t="n"/>
      <c r="I194" s="6" t="n"/>
      <c r="J194" s="6" t="n"/>
      <c r="K194" s="6" t="n"/>
      <c r="L194" s="6" t="n"/>
      <c r="M194" s="6" t="inlineStr">
        <is>
          <t>Progress %</t>
        </is>
      </c>
    </row>
    <row r="195">
      <c r="A195" s="6" t="n"/>
      <c r="B195" s="6" t="n"/>
      <c r="C195" s="6" t="n"/>
      <c r="D195" s="6" t="inlineStr">
        <is>
          <t>Age 30-60 yrs</t>
        </is>
      </c>
      <c r="E195" s="6" t="n"/>
      <c r="F195" s="6" t="n"/>
      <c r="G195" s="6" t="inlineStr">
        <is>
          <t>Age 60 above</t>
        </is>
      </c>
      <c r="H195" s="6" t="n"/>
      <c r="I195" s="6" t="n"/>
      <c r="J195" s="6" t="inlineStr">
        <is>
          <t>Total</t>
        </is>
      </c>
      <c r="K195" s="6" t="n"/>
      <c r="L195" s="6" t="inlineStr">
        <is>
          <t>Grand Total</t>
        </is>
      </c>
      <c r="M195" s="6" t="n"/>
    </row>
    <row r="196">
      <c r="A196" s="6" t="n"/>
      <c r="B196" s="6" t="n"/>
      <c r="C196" s="6" t="n"/>
      <c r="D196" s="6" t="inlineStr">
        <is>
          <t>F</t>
        </is>
      </c>
      <c r="E196" s="6" t="inlineStr">
        <is>
          <t>M</t>
        </is>
      </c>
      <c r="F196" s="6" t="inlineStr">
        <is>
          <t>Total</t>
        </is>
      </c>
      <c r="G196" s="6" t="inlineStr">
        <is>
          <t>F</t>
        </is>
      </c>
      <c r="H196" s="6" t="inlineStr">
        <is>
          <t>M</t>
        </is>
      </c>
      <c r="I196" s="6" t="inlineStr">
        <is>
          <t>Total</t>
        </is>
      </c>
      <c r="J196" s="6" t="inlineStr">
        <is>
          <t>F</t>
        </is>
      </c>
      <c r="K196" s="6" t="inlineStr">
        <is>
          <t>M</t>
        </is>
      </c>
      <c r="L196" s="6" t="n"/>
      <c r="M196" s="6" t="n"/>
    </row>
    <row r="197">
      <c r="A197" s="7" t="n">
        <v>1</v>
      </c>
      <c r="B197" s="8">
        <f>B5</f>
        <v/>
      </c>
      <c r="C197" s="8">
        <f>C5</f>
        <v/>
      </c>
      <c r="D197" s="14" t="n"/>
      <c r="E197" s="14" t="n"/>
      <c r="F197" s="8">
        <f>D197+E197</f>
        <v/>
      </c>
      <c r="G197" s="14" t="n"/>
      <c r="H197" s="14" t="n"/>
      <c r="I197" s="8">
        <f>G197+H197</f>
        <v/>
      </c>
      <c r="J197" s="8">
        <f>D197+G197</f>
        <v/>
      </c>
      <c r="K197" s="8">
        <f>E197+H197</f>
        <v/>
      </c>
      <c r="L197" s="8">
        <f>J197+K197</f>
        <v/>
      </c>
      <c r="M197" s="9">
        <f>IF(C197=0,0,L197/C197*100)</f>
        <v/>
      </c>
    </row>
    <row r="198">
      <c r="A198" s="7" t="n">
        <v>2</v>
      </c>
      <c r="B198" s="8">
        <f>B6</f>
        <v/>
      </c>
      <c r="C198" s="8">
        <f>C6</f>
        <v/>
      </c>
      <c r="D198" s="14" t="n"/>
      <c r="E198" s="14" t="n"/>
      <c r="F198" s="8">
        <f>D198+E198</f>
        <v/>
      </c>
      <c r="G198" s="14" t="n"/>
      <c r="H198" s="14" t="n"/>
      <c r="I198" s="8">
        <f>G198+H198</f>
        <v/>
      </c>
      <c r="J198" s="8">
        <f>D198+G198</f>
        <v/>
      </c>
      <c r="K198" s="8">
        <f>E198+H198</f>
        <v/>
      </c>
      <c r="L198" s="8">
        <f>J198+K198</f>
        <v/>
      </c>
      <c r="M198" s="9">
        <f>IF(C198=0,0,L198/C198*100)</f>
        <v/>
      </c>
    </row>
    <row r="199">
      <c r="A199" s="7" t="n">
        <v>3</v>
      </c>
      <c r="B199" s="8">
        <f>B7</f>
        <v/>
      </c>
      <c r="C199" s="8">
        <f>C7</f>
        <v/>
      </c>
      <c r="D199" s="14" t="n"/>
      <c r="E199" s="14" t="n"/>
      <c r="F199" s="8">
        <f>D199+E199</f>
        <v/>
      </c>
      <c r="G199" s="14" t="n"/>
      <c r="H199" s="14" t="n"/>
      <c r="I199" s="8">
        <f>G199+H199</f>
        <v/>
      </c>
      <c r="J199" s="8">
        <f>D199+G199</f>
        <v/>
      </c>
      <c r="K199" s="8">
        <f>E199+H199</f>
        <v/>
      </c>
      <c r="L199" s="8">
        <f>J199+K199</f>
        <v/>
      </c>
      <c r="M199" s="9">
        <f>IF(C199=0,0,L199/C199*100)</f>
        <v/>
      </c>
    </row>
    <row r="200">
      <c r="A200" s="7" t="n">
        <v>4</v>
      </c>
      <c r="B200" s="8">
        <f>B8</f>
        <v/>
      </c>
      <c r="C200" s="8">
        <f>C8</f>
        <v/>
      </c>
      <c r="D200" s="14" t="n"/>
      <c r="E200" s="14" t="n"/>
      <c r="F200" s="8">
        <f>D200+E200</f>
        <v/>
      </c>
      <c r="G200" s="14" t="n"/>
      <c r="H200" s="14" t="n"/>
      <c r="I200" s="8">
        <f>G200+H200</f>
        <v/>
      </c>
      <c r="J200" s="8">
        <f>D200+G200</f>
        <v/>
      </c>
      <c r="K200" s="8">
        <f>E200+H200</f>
        <v/>
      </c>
      <c r="L200" s="8">
        <f>J200+K200</f>
        <v/>
      </c>
      <c r="M200" s="9">
        <f>IF(C200=0,0,L200/C200*100)</f>
        <v/>
      </c>
    </row>
    <row r="201">
      <c r="A201" s="7" t="n">
        <v>5</v>
      </c>
      <c r="B201" s="8">
        <f>B9</f>
        <v/>
      </c>
      <c r="C201" s="8">
        <f>C9</f>
        <v/>
      </c>
      <c r="D201" s="14" t="n"/>
      <c r="E201" s="14" t="n"/>
      <c r="F201" s="8">
        <f>D201+E201</f>
        <v/>
      </c>
      <c r="G201" s="14" t="n"/>
      <c r="H201" s="14" t="n"/>
      <c r="I201" s="8">
        <f>G201+H201</f>
        <v/>
      </c>
      <c r="J201" s="8">
        <f>D201+G201</f>
        <v/>
      </c>
      <c r="K201" s="8">
        <f>E201+H201</f>
        <v/>
      </c>
      <c r="L201" s="8">
        <f>J201+K201</f>
        <v/>
      </c>
      <c r="M201" s="9">
        <f>IF(C201=0,0,L201/C201*100)</f>
        <v/>
      </c>
    </row>
    <row r="202">
      <c r="A202" s="7" t="n">
        <v>6</v>
      </c>
      <c r="B202" s="8">
        <f>B10</f>
        <v/>
      </c>
      <c r="C202" s="8">
        <f>C10</f>
        <v/>
      </c>
      <c r="D202" s="14" t="n"/>
      <c r="E202" s="14" t="n"/>
      <c r="F202" s="8">
        <f>D202+E202</f>
        <v/>
      </c>
      <c r="G202" s="14" t="n"/>
      <c r="H202" s="14" t="n"/>
      <c r="I202" s="8">
        <f>G202+H202</f>
        <v/>
      </c>
      <c r="J202" s="8">
        <f>D202+G202</f>
        <v/>
      </c>
      <c r="K202" s="8">
        <f>E202+H202</f>
        <v/>
      </c>
      <c r="L202" s="8">
        <f>J202+K202</f>
        <v/>
      </c>
      <c r="M202" s="9">
        <f>IF(C202=0,0,L202/C202*100)</f>
        <v/>
      </c>
    </row>
    <row r="203">
      <c r="A203" s="7" t="n">
        <v>7</v>
      </c>
      <c r="B203" s="8">
        <f>B11</f>
        <v/>
      </c>
      <c r="C203" s="8">
        <f>C11</f>
        <v/>
      </c>
      <c r="D203" s="14" t="n"/>
      <c r="E203" s="14" t="n"/>
      <c r="F203" s="8">
        <f>D203+E203</f>
        <v/>
      </c>
      <c r="G203" s="14" t="n"/>
      <c r="H203" s="14" t="n"/>
      <c r="I203" s="8">
        <f>G203+H203</f>
        <v/>
      </c>
      <c r="J203" s="8">
        <f>D203+G203</f>
        <v/>
      </c>
      <c r="K203" s="8">
        <f>E203+H203</f>
        <v/>
      </c>
      <c r="L203" s="8">
        <f>J203+K203</f>
        <v/>
      </c>
      <c r="M203" s="9">
        <f>IF(C203=0,0,L203/C203*100)</f>
        <v/>
      </c>
    </row>
    <row r="204">
      <c r="A204" s="7" t="n">
        <v>8</v>
      </c>
      <c r="B204" s="8">
        <f>B12</f>
        <v/>
      </c>
      <c r="C204" s="8">
        <f>C12</f>
        <v/>
      </c>
      <c r="D204" s="14" t="n"/>
      <c r="E204" s="14" t="n"/>
      <c r="F204" s="8">
        <f>D204+E204</f>
        <v/>
      </c>
      <c r="G204" s="14" t="n"/>
      <c r="H204" s="14" t="n"/>
      <c r="I204" s="8">
        <f>G204+H204</f>
        <v/>
      </c>
      <c r="J204" s="8">
        <f>D204+G204</f>
        <v/>
      </c>
      <c r="K204" s="8">
        <f>E204+H204</f>
        <v/>
      </c>
      <c r="L204" s="8">
        <f>J204+K204</f>
        <v/>
      </c>
      <c r="M204" s="9">
        <f>IF(C204=0,0,L204/C204*100)</f>
        <v/>
      </c>
    </row>
    <row r="205">
      <c r="A205" s="7" t="n">
        <v>9</v>
      </c>
      <c r="B205" s="8">
        <f>B13</f>
        <v/>
      </c>
      <c r="C205" s="8">
        <f>C13</f>
        <v/>
      </c>
      <c r="D205" s="14" t="n"/>
      <c r="E205" s="14" t="n"/>
      <c r="F205" s="8">
        <f>D205+E205</f>
        <v/>
      </c>
      <c r="G205" s="14" t="n"/>
      <c r="H205" s="14" t="n"/>
      <c r="I205" s="8">
        <f>G205+H205</f>
        <v/>
      </c>
      <c r="J205" s="8">
        <f>D205+G205</f>
        <v/>
      </c>
      <c r="K205" s="8">
        <f>E205+H205</f>
        <v/>
      </c>
      <c r="L205" s="8">
        <f>J205+K205</f>
        <v/>
      </c>
      <c r="M205" s="9">
        <f>IF(C205=0,0,L205/C205*100)</f>
        <v/>
      </c>
    </row>
    <row r="206">
      <c r="A206" s="7" t="n">
        <v>10</v>
      </c>
      <c r="B206" s="8">
        <f>B14</f>
        <v/>
      </c>
      <c r="C206" s="8">
        <f>C14</f>
        <v/>
      </c>
      <c r="D206" s="14" t="n"/>
      <c r="E206" s="14" t="n"/>
      <c r="F206" s="8">
        <f>D206+E206</f>
        <v/>
      </c>
      <c r="G206" s="14" t="n"/>
      <c r="H206" s="14" t="n"/>
      <c r="I206" s="8">
        <f>G206+H206</f>
        <v/>
      </c>
      <c r="J206" s="8">
        <f>D206+G206</f>
        <v/>
      </c>
      <c r="K206" s="8">
        <f>E206+H206</f>
        <v/>
      </c>
      <c r="L206" s="8">
        <f>J206+K206</f>
        <v/>
      </c>
      <c r="M206" s="9">
        <f>IF(C206=0,0,L206/C206*100)</f>
        <v/>
      </c>
    </row>
    <row r="207">
      <c r="A207" s="10" t="inlineStr">
        <is>
          <t>Total</t>
        </is>
      </c>
      <c r="B207" s="11">
        <f>SUM(B197:B206)</f>
        <v/>
      </c>
      <c r="C207" s="11">
        <f>SUM(C197:C206)</f>
        <v/>
      </c>
      <c r="D207" s="11">
        <f>SUM(D197:D206)</f>
        <v/>
      </c>
      <c r="E207" s="11">
        <f>SUM(E197:E206)</f>
        <v/>
      </c>
      <c r="F207" s="11">
        <f>D207+E207</f>
        <v/>
      </c>
      <c r="G207" s="11">
        <f>SUM(G197:G206)</f>
        <v/>
      </c>
      <c r="H207" s="11">
        <f>SUM(H197:H206)</f>
        <v/>
      </c>
      <c r="I207" s="11">
        <f>G207+H207</f>
        <v/>
      </c>
      <c r="J207" s="11">
        <f>D207+G207</f>
        <v/>
      </c>
      <c r="K207" s="11">
        <f>E207+H207</f>
        <v/>
      </c>
      <c r="L207" s="11">
        <f>J207+K207</f>
        <v/>
      </c>
      <c r="M207" s="12">
        <f>IF(C207=0,0,L207/C207*100)</f>
        <v/>
      </c>
    </row>
    <row r="209">
      <c r="A209" s="13" t="inlineStr">
        <is>
          <t>Day 13 - 2026-10-17 (Sat 31 Aswin 2083)</t>
        </is>
      </c>
    </row>
    <row r="210">
      <c r="A210" s="6" t="inlineStr">
        <is>
          <t>Ward no.</t>
        </is>
      </c>
      <c r="B210" s="6" t="inlineStr">
        <is>
          <t>Total population</t>
        </is>
      </c>
      <c r="C210" s="6" t="inlineStr">
        <is>
          <t>JE target population</t>
        </is>
      </c>
      <c r="D210" s="6" t="inlineStr">
        <is>
          <t>Vaccinated</t>
        </is>
      </c>
      <c r="E210" s="6" t="n"/>
      <c r="F210" s="6" t="n"/>
      <c r="G210" s="6" t="n"/>
      <c r="H210" s="6" t="n"/>
      <c r="I210" s="6" t="n"/>
      <c r="J210" s="6" t="n"/>
      <c r="K210" s="6" t="n"/>
      <c r="L210" s="6" t="n"/>
      <c r="M210" s="6" t="inlineStr">
        <is>
          <t>Progress %</t>
        </is>
      </c>
    </row>
    <row r="211">
      <c r="A211" s="6" t="n"/>
      <c r="B211" s="6" t="n"/>
      <c r="C211" s="6" t="n"/>
      <c r="D211" s="6" t="inlineStr">
        <is>
          <t>Age 30-60 yrs</t>
        </is>
      </c>
      <c r="E211" s="6" t="n"/>
      <c r="F211" s="6" t="n"/>
      <c r="G211" s="6" t="inlineStr">
        <is>
          <t>Age 60 above</t>
        </is>
      </c>
      <c r="H211" s="6" t="n"/>
      <c r="I211" s="6" t="n"/>
      <c r="J211" s="6" t="inlineStr">
        <is>
          <t>Total</t>
        </is>
      </c>
      <c r="K211" s="6" t="n"/>
      <c r="L211" s="6" t="inlineStr">
        <is>
          <t>Grand Total</t>
        </is>
      </c>
      <c r="M211" s="6" t="n"/>
    </row>
    <row r="212">
      <c r="A212" s="6" t="n"/>
      <c r="B212" s="6" t="n"/>
      <c r="C212" s="6" t="n"/>
      <c r="D212" s="6" t="inlineStr">
        <is>
          <t>F</t>
        </is>
      </c>
      <c r="E212" s="6" t="inlineStr">
        <is>
          <t>M</t>
        </is>
      </c>
      <c r="F212" s="6" t="inlineStr">
        <is>
          <t>Total</t>
        </is>
      </c>
      <c r="G212" s="6" t="inlineStr">
        <is>
          <t>F</t>
        </is>
      </c>
      <c r="H212" s="6" t="inlineStr">
        <is>
          <t>M</t>
        </is>
      </c>
      <c r="I212" s="6" t="inlineStr">
        <is>
          <t>Total</t>
        </is>
      </c>
      <c r="J212" s="6" t="inlineStr">
        <is>
          <t>F</t>
        </is>
      </c>
      <c r="K212" s="6" t="inlineStr">
        <is>
          <t>M</t>
        </is>
      </c>
      <c r="L212" s="6" t="n"/>
      <c r="M212" s="6" t="n"/>
    </row>
    <row r="213">
      <c r="A213" s="7" t="n">
        <v>1</v>
      </c>
      <c r="B213" s="8">
        <f>B5</f>
        <v/>
      </c>
      <c r="C213" s="8">
        <f>C5</f>
        <v/>
      </c>
      <c r="D213" s="14" t="n"/>
      <c r="E213" s="14" t="n"/>
      <c r="F213" s="8">
        <f>D213+E213</f>
        <v/>
      </c>
      <c r="G213" s="14" t="n"/>
      <c r="H213" s="14" t="n"/>
      <c r="I213" s="8">
        <f>G213+H213</f>
        <v/>
      </c>
      <c r="J213" s="8">
        <f>D213+G213</f>
        <v/>
      </c>
      <c r="K213" s="8">
        <f>E213+H213</f>
        <v/>
      </c>
      <c r="L213" s="8">
        <f>J213+K213</f>
        <v/>
      </c>
      <c r="M213" s="9">
        <f>IF(C213=0,0,L213/C213*100)</f>
        <v/>
      </c>
    </row>
    <row r="214">
      <c r="A214" s="7" t="n">
        <v>2</v>
      </c>
      <c r="B214" s="8">
        <f>B6</f>
        <v/>
      </c>
      <c r="C214" s="8">
        <f>C6</f>
        <v/>
      </c>
      <c r="D214" s="14" t="n"/>
      <c r="E214" s="14" t="n"/>
      <c r="F214" s="8">
        <f>D214+E214</f>
        <v/>
      </c>
      <c r="G214" s="14" t="n"/>
      <c r="H214" s="14" t="n"/>
      <c r="I214" s="8">
        <f>G214+H214</f>
        <v/>
      </c>
      <c r="J214" s="8">
        <f>D214+G214</f>
        <v/>
      </c>
      <c r="K214" s="8">
        <f>E214+H214</f>
        <v/>
      </c>
      <c r="L214" s="8">
        <f>J214+K214</f>
        <v/>
      </c>
      <c r="M214" s="9">
        <f>IF(C214=0,0,L214/C214*100)</f>
        <v/>
      </c>
    </row>
    <row r="215">
      <c r="A215" s="7" t="n">
        <v>3</v>
      </c>
      <c r="B215" s="8">
        <f>B7</f>
        <v/>
      </c>
      <c r="C215" s="8">
        <f>C7</f>
        <v/>
      </c>
      <c r="D215" s="14" t="n"/>
      <c r="E215" s="14" t="n"/>
      <c r="F215" s="8">
        <f>D215+E215</f>
        <v/>
      </c>
      <c r="G215" s="14" t="n"/>
      <c r="H215" s="14" t="n"/>
      <c r="I215" s="8">
        <f>G215+H215</f>
        <v/>
      </c>
      <c r="J215" s="8">
        <f>D215+G215</f>
        <v/>
      </c>
      <c r="K215" s="8">
        <f>E215+H215</f>
        <v/>
      </c>
      <c r="L215" s="8">
        <f>J215+K215</f>
        <v/>
      </c>
      <c r="M215" s="9">
        <f>IF(C215=0,0,L215/C215*100)</f>
        <v/>
      </c>
    </row>
    <row r="216">
      <c r="A216" s="7" t="n">
        <v>4</v>
      </c>
      <c r="B216" s="8">
        <f>B8</f>
        <v/>
      </c>
      <c r="C216" s="8">
        <f>C8</f>
        <v/>
      </c>
      <c r="D216" s="14" t="n"/>
      <c r="E216" s="14" t="n"/>
      <c r="F216" s="8">
        <f>D216+E216</f>
        <v/>
      </c>
      <c r="G216" s="14" t="n"/>
      <c r="H216" s="14" t="n"/>
      <c r="I216" s="8">
        <f>G216+H216</f>
        <v/>
      </c>
      <c r="J216" s="8">
        <f>D216+G216</f>
        <v/>
      </c>
      <c r="K216" s="8">
        <f>E216+H216</f>
        <v/>
      </c>
      <c r="L216" s="8">
        <f>J216+K216</f>
        <v/>
      </c>
      <c r="M216" s="9">
        <f>IF(C216=0,0,L216/C216*100)</f>
        <v/>
      </c>
    </row>
    <row r="217">
      <c r="A217" s="7" t="n">
        <v>5</v>
      </c>
      <c r="B217" s="8">
        <f>B9</f>
        <v/>
      </c>
      <c r="C217" s="8">
        <f>C9</f>
        <v/>
      </c>
      <c r="D217" s="14" t="n"/>
      <c r="E217" s="14" t="n"/>
      <c r="F217" s="8">
        <f>D217+E217</f>
        <v/>
      </c>
      <c r="G217" s="14" t="n"/>
      <c r="H217" s="14" t="n"/>
      <c r="I217" s="8">
        <f>G217+H217</f>
        <v/>
      </c>
      <c r="J217" s="8">
        <f>D217+G217</f>
        <v/>
      </c>
      <c r="K217" s="8">
        <f>E217+H217</f>
        <v/>
      </c>
      <c r="L217" s="8">
        <f>J217+K217</f>
        <v/>
      </c>
      <c r="M217" s="9">
        <f>IF(C217=0,0,L217/C217*100)</f>
        <v/>
      </c>
    </row>
    <row r="218">
      <c r="A218" s="7" t="n">
        <v>6</v>
      </c>
      <c r="B218" s="8">
        <f>B10</f>
        <v/>
      </c>
      <c r="C218" s="8">
        <f>C10</f>
        <v/>
      </c>
      <c r="D218" s="14" t="n"/>
      <c r="E218" s="14" t="n"/>
      <c r="F218" s="8">
        <f>D218+E218</f>
        <v/>
      </c>
      <c r="G218" s="14" t="n"/>
      <c r="H218" s="14" t="n"/>
      <c r="I218" s="8">
        <f>G218+H218</f>
        <v/>
      </c>
      <c r="J218" s="8">
        <f>D218+G218</f>
        <v/>
      </c>
      <c r="K218" s="8">
        <f>E218+H218</f>
        <v/>
      </c>
      <c r="L218" s="8">
        <f>J218+K218</f>
        <v/>
      </c>
      <c r="M218" s="9">
        <f>IF(C218=0,0,L218/C218*100)</f>
        <v/>
      </c>
    </row>
    <row r="219">
      <c r="A219" s="7" t="n">
        <v>7</v>
      </c>
      <c r="B219" s="8">
        <f>B11</f>
        <v/>
      </c>
      <c r="C219" s="8">
        <f>C11</f>
        <v/>
      </c>
      <c r="D219" s="14" t="n"/>
      <c r="E219" s="14" t="n"/>
      <c r="F219" s="8">
        <f>D219+E219</f>
        <v/>
      </c>
      <c r="G219" s="14" t="n"/>
      <c r="H219" s="14" t="n"/>
      <c r="I219" s="8">
        <f>G219+H219</f>
        <v/>
      </c>
      <c r="J219" s="8">
        <f>D219+G219</f>
        <v/>
      </c>
      <c r="K219" s="8">
        <f>E219+H219</f>
        <v/>
      </c>
      <c r="L219" s="8">
        <f>J219+K219</f>
        <v/>
      </c>
      <c r="M219" s="9">
        <f>IF(C219=0,0,L219/C219*100)</f>
        <v/>
      </c>
    </row>
    <row r="220">
      <c r="A220" s="7" t="n">
        <v>8</v>
      </c>
      <c r="B220" s="8">
        <f>B12</f>
        <v/>
      </c>
      <c r="C220" s="8">
        <f>C12</f>
        <v/>
      </c>
      <c r="D220" s="14" t="n"/>
      <c r="E220" s="14" t="n"/>
      <c r="F220" s="8">
        <f>D220+E220</f>
        <v/>
      </c>
      <c r="G220" s="14" t="n"/>
      <c r="H220" s="14" t="n"/>
      <c r="I220" s="8">
        <f>G220+H220</f>
        <v/>
      </c>
      <c r="J220" s="8">
        <f>D220+G220</f>
        <v/>
      </c>
      <c r="K220" s="8">
        <f>E220+H220</f>
        <v/>
      </c>
      <c r="L220" s="8">
        <f>J220+K220</f>
        <v/>
      </c>
      <c r="M220" s="9">
        <f>IF(C220=0,0,L220/C220*100)</f>
        <v/>
      </c>
    </row>
    <row r="221">
      <c r="A221" s="7" t="n">
        <v>9</v>
      </c>
      <c r="B221" s="8">
        <f>B13</f>
        <v/>
      </c>
      <c r="C221" s="8">
        <f>C13</f>
        <v/>
      </c>
      <c r="D221" s="14" t="n"/>
      <c r="E221" s="14" t="n"/>
      <c r="F221" s="8">
        <f>D221+E221</f>
        <v/>
      </c>
      <c r="G221" s="14" t="n"/>
      <c r="H221" s="14" t="n"/>
      <c r="I221" s="8">
        <f>G221+H221</f>
        <v/>
      </c>
      <c r="J221" s="8">
        <f>D221+G221</f>
        <v/>
      </c>
      <c r="K221" s="8">
        <f>E221+H221</f>
        <v/>
      </c>
      <c r="L221" s="8">
        <f>J221+K221</f>
        <v/>
      </c>
      <c r="M221" s="9">
        <f>IF(C221=0,0,L221/C221*100)</f>
        <v/>
      </c>
    </row>
    <row r="222">
      <c r="A222" s="7" t="n">
        <v>10</v>
      </c>
      <c r="B222" s="8">
        <f>B14</f>
        <v/>
      </c>
      <c r="C222" s="8">
        <f>C14</f>
        <v/>
      </c>
      <c r="D222" s="14" t="n"/>
      <c r="E222" s="14" t="n"/>
      <c r="F222" s="8">
        <f>D222+E222</f>
        <v/>
      </c>
      <c r="G222" s="14" t="n"/>
      <c r="H222" s="14" t="n"/>
      <c r="I222" s="8">
        <f>G222+H222</f>
        <v/>
      </c>
      <c r="J222" s="8">
        <f>D222+G222</f>
        <v/>
      </c>
      <c r="K222" s="8">
        <f>E222+H222</f>
        <v/>
      </c>
      <c r="L222" s="8">
        <f>J222+K222</f>
        <v/>
      </c>
      <c r="M222" s="9">
        <f>IF(C222=0,0,L222/C222*100)</f>
        <v/>
      </c>
    </row>
    <row r="223">
      <c r="A223" s="10" t="inlineStr">
        <is>
          <t>Total</t>
        </is>
      </c>
      <c r="B223" s="11">
        <f>SUM(B213:B222)</f>
        <v/>
      </c>
      <c r="C223" s="11">
        <f>SUM(C213:C222)</f>
        <v/>
      </c>
      <c r="D223" s="11">
        <f>SUM(D213:D222)</f>
        <v/>
      </c>
      <c r="E223" s="11">
        <f>SUM(E213:E222)</f>
        <v/>
      </c>
      <c r="F223" s="11">
        <f>D223+E223</f>
        <v/>
      </c>
      <c r="G223" s="11">
        <f>SUM(G213:G222)</f>
        <v/>
      </c>
      <c r="H223" s="11">
        <f>SUM(H213:H222)</f>
        <v/>
      </c>
      <c r="I223" s="11">
        <f>G223+H223</f>
        <v/>
      </c>
      <c r="J223" s="11">
        <f>D223+G223</f>
        <v/>
      </c>
      <c r="K223" s="11">
        <f>E223+H223</f>
        <v/>
      </c>
      <c r="L223" s="11">
        <f>J223+K223</f>
        <v/>
      </c>
      <c r="M223" s="12">
        <f>IF(C223=0,0,L223/C223*100)</f>
        <v/>
      </c>
    </row>
    <row r="225">
      <c r="A225" s="13" t="inlineStr">
        <is>
          <t>Day 14 - 2026-10-18 (Sun 01 Kartik 2083)</t>
        </is>
      </c>
    </row>
    <row r="226">
      <c r="A226" s="6" t="inlineStr">
        <is>
          <t>Ward no.</t>
        </is>
      </c>
      <c r="B226" s="6" t="inlineStr">
        <is>
          <t>Total population</t>
        </is>
      </c>
      <c r="C226" s="6" t="inlineStr">
        <is>
          <t>JE target population</t>
        </is>
      </c>
      <c r="D226" s="6" t="inlineStr">
        <is>
          <t>Vaccinated</t>
        </is>
      </c>
      <c r="E226" s="6" t="n"/>
      <c r="F226" s="6" t="n"/>
      <c r="G226" s="6" t="n"/>
      <c r="H226" s="6" t="n"/>
      <c r="I226" s="6" t="n"/>
      <c r="J226" s="6" t="n"/>
      <c r="K226" s="6" t="n"/>
      <c r="L226" s="6" t="n"/>
      <c r="M226" s="6" t="inlineStr">
        <is>
          <t>Progress %</t>
        </is>
      </c>
    </row>
    <row r="227">
      <c r="A227" s="6" t="n"/>
      <c r="B227" s="6" t="n"/>
      <c r="C227" s="6" t="n"/>
      <c r="D227" s="6" t="inlineStr">
        <is>
          <t>Age 30-60 yrs</t>
        </is>
      </c>
      <c r="E227" s="6" t="n"/>
      <c r="F227" s="6" t="n"/>
      <c r="G227" s="6" t="inlineStr">
        <is>
          <t>Age 60 above</t>
        </is>
      </c>
      <c r="H227" s="6" t="n"/>
      <c r="I227" s="6" t="n"/>
      <c r="J227" s="6" t="inlineStr">
        <is>
          <t>Total</t>
        </is>
      </c>
      <c r="K227" s="6" t="n"/>
      <c r="L227" s="6" t="inlineStr">
        <is>
          <t>Grand Total</t>
        </is>
      </c>
      <c r="M227" s="6" t="n"/>
    </row>
    <row r="228">
      <c r="A228" s="6" t="n"/>
      <c r="B228" s="6" t="n"/>
      <c r="C228" s="6" t="n"/>
      <c r="D228" s="6" t="inlineStr">
        <is>
          <t>F</t>
        </is>
      </c>
      <c r="E228" s="6" t="inlineStr">
        <is>
          <t>M</t>
        </is>
      </c>
      <c r="F228" s="6" t="inlineStr">
        <is>
          <t>Total</t>
        </is>
      </c>
      <c r="G228" s="6" t="inlineStr">
        <is>
          <t>F</t>
        </is>
      </c>
      <c r="H228" s="6" t="inlineStr">
        <is>
          <t>M</t>
        </is>
      </c>
      <c r="I228" s="6" t="inlineStr">
        <is>
          <t>Total</t>
        </is>
      </c>
      <c r="J228" s="6" t="inlineStr">
        <is>
          <t>F</t>
        </is>
      </c>
      <c r="K228" s="6" t="inlineStr">
        <is>
          <t>M</t>
        </is>
      </c>
      <c r="L228" s="6" t="n"/>
      <c r="M228" s="6" t="n"/>
    </row>
    <row r="229">
      <c r="A229" s="7" t="n">
        <v>1</v>
      </c>
      <c r="B229" s="8">
        <f>B5</f>
        <v/>
      </c>
      <c r="C229" s="8">
        <f>C5</f>
        <v/>
      </c>
      <c r="D229" s="14" t="n"/>
      <c r="E229" s="14" t="n"/>
      <c r="F229" s="8">
        <f>D229+E229</f>
        <v/>
      </c>
      <c r="G229" s="14" t="n"/>
      <c r="H229" s="14" t="n"/>
      <c r="I229" s="8">
        <f>G229+H229</f>
        <v/>
      </c>
      <c r="J229" s="8">
        <f>D229+G229</f>
        <v/>
      </c>
      <c r="K229" s="8">
        <f>E229+H229</f>
        <v/>
      </c>
      <c r="L229" s="8">
        <f>J229+K229</f>
        <v/>
      </c>
      <c r="M229" s="9">
        <f>IF(C229=0,0,L229/C229*100)</f>
        <v/>
      </c>
    </row>
    <row r="230">
      <c r="A230" s="7" t="n">
        <v>2</v>
      </c>
      <c r="B230" s="8">
        <f>B6</f>
        <v/>
      </c>
      <c r="C230" s="8">
        <f>C6</f>
        <v/>
      </c>
      <c r="D230" s="14" t="n"/>
      <c r="E230" s="14" t="n"/>
      <c r="F230" s="8">
        <f>D230+E230</f>
        <v/>
      </c>
      <c r="G230" s="14" t="n"/>
      <c r="H230" s="14" t="n"/>
      <c r="I230" s="8">
        <f>G230+H230</f>
        <v/>
      </c>
      <c r="J230" s="8">
        <f>D230+G230</f>
        <v/>
      </c>
      <c r="K230" s="8">
        <f>E230+H230</f>
        <v/>
      </c>
      <c r="L230" s="8">
        <f>J230+K230</f>
        <v/>
      </c>
      <c r="M230" s="9">
        <f>IF(C230=0,0,L230/C230*100)</f>
        <v/>
      </c>
    </row>
    <row r="231">
      <c r="A231" s="7" t="n">
        <v>3</v>
      </c>
      <c r="B231" s="8">
        <f>B7</f>
        <v/>
      </c>
      <c r="C231" s="8">
        <f>C7</f>
        <v/>
      </c>
      <c r="D231" s="14" t="n"/>
      <c r="E231" s="14" t="n"/>
      <c r="F231" s="8">
        <f>D231+E231</f>
        <v/>
      </c>
      <c r="G231" s="14" t="n"/>
      <c r="H231" s="14" t="n"/>
      <c r="I231" s="8">
        <f>G231+H231</f>
        <v/>
      </c>
      <c r="J231" s="8">
        <f>D231+G231</f>
        <v/>
      </c>
      <c r="K231" s="8">
        <f>E231+H231</f>
        <v/>
      </c>
      <c r="L231" s="8">
        <f>J231+K231</f>
        <v/>
      </c>
      <c r="M231" s="9">
        <f>IF(C231=0,0,L231/C231*100)</f>
        <v/>
      </c>
    </row>
    <row r="232">
      <c r="A232" s="7" t="n">
        <v>4</v>
      </c>
      <c r="B232" s="8">
        <f>B8</f>
        <v/>
      </c>
      <c r="C232" s="8">
        <f>C8</f>
        <v/>
      </c>
      <c r="D232" s="14" t="n"/>
      <c r="E232" s="14" t="n"/>
      <c r="F232" s="8">
        <f>D232+E232</f>
        <v/>
      </c>
      <c r="G232" s="14" t="n"/>
      <c r="H232" s="14" t="n"/>
      <c r="I232" s="8">
        <f>G232+H232</f>
        <v/>
      </c>
      <c r="J232" s="8">
        <f>D232+G232</f>
        <v/>
      </c>
      <c r="K232" s="8">
        <f>E232+H232</f>
        <v/>
      </c>
      <c r="L232" s="8">
        <f>J232+K232</f>
        <v/>
      </c>
      <c r="M232" s="9">
        <f>IF(C232=0,0,L232/C232*100)</f>
        <v/>
      </c>
    </row>
    <row r="233">
      <c r="A233" s="7" t="n">
        <v>5</v>
      </c>
      <c r="B233" s="8">
        <f>B9</f>
        <v/>
      </c>
      <c r="C233" s="8">
        <f>C9</f>
        <v/>
      </c>
      <c r="D233" s="14" t="n"/>
      <c r="E233" s="14" t="n"/>
      <c r="F233" s="8">
        <f>D233+E233</f>
        <v/>
      </c>
      <c r="G233" s="14" t="n"/>
      <c r="H233" s="14" t="n"/>
      <c r="I233" s="8">
        <f>G233+H233</f>
        <v/>
      </c>
      <c r="J233" s="8">
        <f>D233+G233</f>
        <v/>
      </c>
      <c r="K233" s="8">
        <f>E233+H233</f>
        <v/>
      </c>
      <c r="L233" s="8">
        <f>J233+K233</f>
        <v/>
      </c>
      <c r="M233" s="9">
        <f>IF(C233=0,0,L233/C233*100)</f>
        <v/>
      </c>
    </row>
    <row r="234">
      <c r="A234" s="7" t="n">
        <v>6</v>
      </c>
      <c r="B234" s="8">
        <f>B10</f>
        <v/>
      </c>
      <c r="C234" s="8">
        <f>C10</f>
        <v/>
      </c>
      <c r="D234" s="14" t="n"/>
      <c r="E234" s="14" t="n"/>
      <c r="F234" s="8">
        <f>D234+E234</f>
        <v/>
      </c>
      <c r="G234" s="14" t="n"/>
      <c r="H234" s="14" t="n"/>
      <c r="I234" s="8">
        <f>G234+H234</f>
        <v/>
      </c>
      <c r="J234" s="8">
        <f>D234+G234</f>
        <v/>
      </c>
      <c r="K234" s="8">
        <f>E234+H234</f>
        <v/>
      </c>
      <c r="L234" s="8">
        <f>J234+K234</f>
        <v/>
      </c>
      <c r="M234" s="9">
        <f>IF(C234=0,0,L234/C234*100)</f>
        <v/>
      </c>
    </row>
    <row r="235">
      <c r="A235" s="7" t="n">
        <v>7</v>
      </c>
      <c r="B235" s="8">
        <f>B11</f>
        <v/>
      </c>
      <c r="C235" s="8">
        <f>C11</f>
        <v/>
      </c>
      <c r="D235" s="14" t="n"/>
      <c r="E235" s="14" t="n"/>
      <c r="F235" s="8">
        <f>D235+E235</f>
        <v/>
      </c>
      <c r="G235" s="14" t="n"/>
      <c r="H235" s="14" t="n"/>
      <c r="I235" s="8">
        <f>G235+H235</f>
        <v/>
      </c>
      <c r="J235" s="8">
        <f>D235+G235</f>
        <v/>
      </c>
      <c r="K235" s="8">
        <f>E235+H235</f>
        <v/>
      </c>
      <c r="L235" s="8">
        <f>J235+K235</f>
        <v/>
      </c>
      <c r="M235" s="9">
        <f>IF(C235=0,0,L235/C235*100)</f>
        <v/>
      </c>
    </row>
    <row r="236">
      <c r="A236" s="7" t="n">
        <v>8</v>
      </c>
      <c r="B236" s="8">
        <f>B12</f>
        <v/>
      </c>
      <c r="C236" s="8">
        <f>C12</f>
        <v/>
      </c>
      <c r="D236" s="14" t="n"/>
      <c r="E236" s="14" t="n"/>
      <c r="F236" s="8">
        <f>D236+E236</f>
        <v/>
      </c>
      <c r="G236" s="14" t="n"/>
      <c r="H236" s="14" t="n"/>
      <c r="I236" s="8">
        <f>G236+H236</f>
        <v/>
      </c>
      <c r="J236" s="8">
        <f>D236+G236</f>
        <v/>
      </c>
      <c r="K236" s="8">
        <f>E236+H236</f>
        <v/>
      </c>
      <c r="L236" s="8">
        <f>J236+K236</f>
        <v/>
      </c>
      <c r="M236" s="9">
        <f>IF(C236=0,0,L236/C236*100)</f>
        <v/>
      </c>
    </row>
    <row r="237">
      <c r="A237" s="7" t="n">
        <v>9</v>
      </c>
      <c r="B237" s="8">
        <f>B13</f>
        <v/>
      </c>
      <c r="C237" s="8">
        <f>C13</f>
        <v/>
      </c>
      <c r="D237" s="14" t="n"/>
      <c r="E237" s="14" t="n"/>
      <c r="F237" s="8">
        <f>D237+E237</f>
        <v/>
      </c>
      <c r="G237" s="14" t="n"/>
      <c r="H237" s="14" t="n"/>
      <c r="I237" s="8">
        <f>G237+H237</f>
        <v/>
      </c>
      <c r="J237" s="8">
        <f>D237+G237</f>
        <v/>
      </c>
      <c r="K237" s="8">
        <f>E237+H237</f>
        <v/>
      </c>
      <c r="L237" s="8">
        <f>J237+K237</f>
        <v/>
      </c>
      <c r="M237" s="9">
        <f>IF(C237=0,0,L237/C237*100)</f>
        <v/>
      </c>
    </row>
    <row r="238">
      <c r="A238" s="7" t="n">
        <v>10</v>
      </c>
      <c r="B238" s="8">
        <f>B14</f>
        <v/>
      </c>
      <c r="C238" s="8">
        <f>C14</f>
        <v/>
      </c>
      <c r="D238" s="14" t="n"/>
      <c r="E238" s="14" t="n"/>
      <c r="F238" s="8">
        <f>D238+E238</f>
        <v/>
      </c>
      <c r="G238" s="14" t="n"/>
      <c r="H238" s="14" t="n"/>
      <c r="I238" s="8">
        <f>G238+H238</f>
        <v/>
      </c>
      <c r="J238" s="8">
        <f>D238+G238</f>
        <v/>
      </c>
      <c r="K238" s="8">
        <f>E238+H238</f>
        <v/>
      </c>
      <c r="L238" s="8">
        <f>J238+K238</f>
        <v/>
      </c>
      <c r="M238" s="9">
        <f>IF(C238=0,0,L238/C238*100)</f>
        <v/>
      </c>
    </row>
    <row r="239">
      <c r="A239" s="10" t="inlineStr">
        <is>
          <t>Total</t>
        </is>
      </c>
      <c r="B239" s="11">
        <f>SUM(B229:B238)</f>
        <v/>
      </c>
      <c r="C239" s="11">
        <f>SUM(C229:C238)</f>
        <v/>
      </c>
      <c r="D239" s="11">
        <f>SUM(D229:D238)</f>
        <v/>
      </c>
      <c r="E239" s="11">
        <f>SUM(E229:E238)</f>
        <v/>
      </c>
      <c r="F239" s="11">
        <f>D239+E239</f>
        <v/>
      </c>
      <c r="G239" s="11">
        <f>SUM(G229:G238)</f>
        <v/>
      </c>
      <c r="H239" s="11">
        <f>SUM(H229:H238)</f>
        <v/>
      </c>
      <c r="I239" s="11">
        <f>G239+H239</f>
        <v/>
      </c>
      <c r="J239" s="11">
        <f>D239+G239</f>
        <v/>
      </c>
      <c r="K239" s="11">
        <f>E239+H239</f>
        <v/>
      </c>
      <c r="L239" s="11">
        <f>J239+K239</f>
        <v/>
      </c>
      <c r="M239" s="12">
        <f>IF(C239=0,0,L239/C239*100)</f>
        <v/>
      </c>
    </row>
    <row r="241">
      <c r="A241" s="13" t="inlineStr">
        <is>
          <t>Day 15 - 2026-10-19 (Mon 02 Kartik 2083)</t>
        </is>
      </c>
    </row>
    <row r="242">
      <c r="A242" s="6" t="inlineStr">
        <is>
          <t>Ward no.</t>
        </is>
      </c>
      <c r="B242" s="6" t="inlineStr">
        <is>
          <t>Total population</t>
        </is>
      </c>
      <c r="C242" s="6" t="inlineStr">
        <is>
          <t>JE target population</t>
        </is>
      </c>
      <c r="D242" s="6" t="inlineStr">
        <is>
          <t>Vaccinated</t>
        </is>
      </c>
      <c r="E242" s="6" t="n"/>
      <c r="F242" s="6" t="n"/>
      <c r="G242" s="6" t="n"/>
      <c r="H242" s="6" t="n"/>
      <c r="I242" s="6" t="n"/>
      <c r="J242" s="6" t="n"/>
      <c r="K242" s="6" t="n"/>
      <c r="L242" s="6" t="n"/>
      <c r="M242" s="6" t="inlineStr">
        <is>
          <t>Progress %</t>
        </is>
      </c>
    </row>
    <row r="243">
      <c r="A243" s="6" t="n"/>
      <c r="B243" s="6" t="n"/>
      <c r="C243" s="6" t="n"/>
      <c r="D243" s="6" t="inlineStr">
        <is>
          <t>Age 30-60 yrs</t>
        </is>
      </c>
      <c r="E243" s="6" t="n"/>
      <c r="F243" s="6" t="n"/>
      <c r="G243" s="6" t="inlineStr">
        <is>
          <t>Age 60 above</t>
        </is>
      </c>
      <c r="H243" s="6" t="n"/>
      <c r="I243" s="6" t="n"/>
      <c r="J243" s="6" t="inlineStr">
        <is>
          <t>Total</t>
        </is>
      </c>
      <c r="K243" s="6" t="n"/>
      <c r="L243" s="6" t="inlineStr">
        <is>
          <t>Grand Total</t>
        </is>
      </c>
      <c r="M243" s="6" t="n"/>
    </row>
    <row r="244">
      <c r="A244" s="6" t="n"/>
      <c r="B244" s="6" t="n"/>
      <c r="C244" s="6" t="n"/>
      <c r="D244" s="6" t="inlineStr">
        <is>
          <t>F</t>
        </is>
      </c>
      <c r="E244" s="6" t="inlineStr">
        <is>
          <t>M</t>
        </is>
      </c>
      <c r="F244" s="6" t="inlineStr">
        <is>
          <t>Total</t>
        </is>
      </c>
      <c r="G244" s="6" t="inlineStr">
        <is>
          <t>F</t>
        </is>
      </c>
      <c r="H244" s="6" t="inlineStr">
        <is>
          <t>M</t>
        </is>
      </c>
      <c r="I244" s="6" t="inlineStr">
        <is>
          <t>Total</t>
        </is>
      </c>
      <c r="J244" s="6" t="inlineStr">
        <is>
          <t>F</t>
        </is>
      </c>
      <c r="K244" s="6" t="inlineStr">
        <is>
          <t>M</t>
        </is>
      </c>
      <c r="L244" s="6" t="n"/>
      <c r="M244" s="6" t="n"/>
    </row>
    <row r="245">
      <c r="A245" s="7" t="n">
        <v>1</v>
      </c>
      <c r="B245" s="8">
        <f>B5</f>
        <v/>
      </c>
      <c r="C245" s="8">
        <f>C5</f>
        <v/>
      </c>
      <c r="D245" s="14" t="n"/>
      <c r="E245" s="14" t="n"/>
      <c r="F245" s="8">
        <f>D245+E245</f>
        <v/>
      </c>
      <c r="G245" s="14" t="n"/>
      <c r="H245" s="14" t="n"/>
      <c r="I245" s="8">
        <f>G245+H245</f>
        <v/>
      </c>
      <c r="J245" s="8">
        <f>D245+G245</f>
        <v/>
      </c>
      <c r="K245" s="8">
        <f>E245+H245</f>
        <v/>
      </c>
      <c r="L245" s="8">
        <f>J245+K245</f>
        <v/>
      </c>
      <c r="M245" s="9">
        <f>IF(C245=0,0,L245/C245*100)</f>
        <v/>
      </c>
    </row>
    <row r="246">
      <c r="A246" s="7" t="n">
        <v>2</v>
      </c>
      <c r="B246" s="8">
        <f>B6</f>
        <v/>
      </c>
      <c r="C246" s="8">
        <f>C6</f>
        <v/>
      </c>
      <c r="D246" s="14" t="n"/>
      <c r="E246" s="14" t="n"/>
      <c r="F246" s="8">
        <f>D246+E246</f>
        <v/>
      </c>
      <c r="G246" s="14" t="n"/>
      <c r="H246" s="14" t="n"/>
      <c r="I246" s="8">
        <f>G246+H246</f>
        <v/>
      </c>
      <c r="J246" s="8">
        <f>D246+G246</f>
        <v/>
      </c>
      <c r="K246" s="8">
        <f>E246+H246</f>
        <v/>
      </c>
      <c r="L246" s="8">
        <f>J246+K246</f>
        <v/>
      </c>
      <c r="M246" s="9">
        <f>IF(C246=0,0,L246/C246*100)</f>
        <v/>
      </c>
    </row>
    <row r="247">
      <c r="A247" s="7" t="n">
        <v>3</v>
      </c>
      <c r="B247" s="8">
        <f>B7</f>
        <v/>
      </c>
      <c r="C247" s="8">
        <f>C7</f>
        <v/>
      </c>
      <c r="D247" s="14" t="n"/>
      <c r="E247" s="14" t="n"/>
      <c r="F247" s="8">
        <f>D247+E247</f>
        <v/>
      </c>
      <c r="G247" s="14" t="n"/>
      <c r="H247" s="14" t="n"/>
      <c r="I247" s="8">
        <f>G247+H247</f>
        <v/>
      </c>
      <c r="J247" s="8">
        <f>D247+G247</f>
        <v/>
      </c>
      <c r="K247" s="8">
        <f>E247+H247</f>
        <v/>
      </c>
      <c r="L247" s="8">
        <f>J247+K247</f>
        <v/>
      </c>
      <c r="M247" s="9">
        <f>IF(C247=0,0,L247/C247*100)</f>
        <v/>
      </c>
    </row>
    <row r="248">
      <c r="A248" s="7" t="n">
        <v>4</v>
      </c>
      <c r="B248" s="8">
        <f>B8</f>
        <v/>
      </c>
      <c r="C248" s="8">
        <f>C8</f>
        <v/>
      </c>
      <c r="D248" s="14" t="n"/>
      <c r="E248" s="14" t="n"/>
      <c r="F248" s="8">
        <f>D248+E248</f>
        <v/>
      </c>
      <c r="G248" s="14" t="n"/>
      <c r="H248" s="14" t="n"/>
      <c r="I248" s="8">
        <f>G248+H248</f>
        <v/>
      </c>
      <c r="J248" s="8">
        <f>D248+G248</f>
        <v/>
      </c>
      <c r="K248" s="8">
        <f>E248+H248</f>
        <v/>
      </c>
      <c r="L248" s="8">
        <f>J248+K248</f>
        <v/>
      </c>
      <c r="M248" s="9">
        <f>IF(C248=0,0,L248/C248*100)</f>
        <v/>
      </c>
    </row>
    <row r="249">
      <c r="A249" s="7" t="n">
        <v>5</v>
      </c>
      <c r="B249" s="8">
        <f>B9</f>
        <v/>
      </c>
      <c r="C249" s="8">
        <f>C9</f>
        <v/>
      </c>
      <c r="D249" s="14" t="n"/>
      <c r="E249" s="14" t="n"/>
      <c r="F249" s="8">
        <f>D249+E249</f>
        <v/>
      </c>
      <c r="G249" s="14" t="n"/>
      <c r="H249" s="14" t="n"/>
      <c r="I249" s="8">
        <f>G249+H249</f>
        <v/>
      </c>
      <c r="J249" s="8">
        <f>D249+G249</f>
        <v/>
      </c>
      <c r="K249" s="8">
        <f>E249+H249</f>
        <v/>
      </c>
      <c r="L249" s="8">
        <f>J249+K249</f>
        <v/>
      </c>
      <c r="M249" s="9">
        <f>IF(C249=0,0,L249/C249*100)</f>
        <v/>
      </c>
    </row>
    <row r="250">
      <c r="A250" s="7" t="n">
        <v>6</v>
      </c>
      <c r="B250" s="8">
        <f>B10</f>
        <v/>
      </c>
      <c r="C250" s="8">
        <f>C10</f>
        <v/>
      </c>
      <c r="D250" s="14" t="n"/>
      <c r="E250" s="14" t="n"/>
      <c r="F250" s="8">
        <f>D250+E250</f>
        <v/>
      </c>
      <c r="G250" s="14" t="n"/>
      <c r="H250" s="14" t="n"/>
      <c r="I250" s="8">
        <f>G250+H250</f>
        <v/>
      </c>
      <c r="J250" s="8">
        <f>D250+G250</f>
        <v/>
      </c>
      <c r="K250" s="8">
        <f>E250+H250</f>
        <v/>
      </c>
      <c r="L250" s="8">
        <f>J250+K250</f>
        <v/>
      </c>
      <c r="M250" s="9">
        <f>IF(C250=0,0,L250/C250*100)</f>
        <v/>
      </c>
    </row>
    <row r="251">
      <c r="A251" s="7" t="n">
        <v>7</v>
      </c>
      <c r="B251" s="8">
        <f>B11</f>
        <v/>
      </c>
      <c r="C251" s="8">
        <f>C11</f>
        <v/>
      </c>
      <c r="D251" s="14" t="n"/>
      <c r="E251" s="14" t="n"/>
      <c r="F251" s="8">
        <f>D251+E251</f>
        <v/>
      </c>
      <c r="G251" s="14" t="n"/>
      <c r="H251" s="14" t="n"/>
      <c r="I251" s="8">
        <f>G251+H251</f>
        <v/>
      </c>
      <c r="J251" s="8">
        <f>D251+G251</f>
        <v/>
      </c>
      <c r="K251" s="8">
        <f>E251+H251</f>
        <v/>
      </c>
      <c r="L251" s="8">
        <f>J251+K251</f>
        <v/>
      </c>
      <c r="M251" s="9">
        <f>IF(C251=0,0,L251/C251*100)</f>
        <v/>
      </c>
    </row>
    <row r="252">
      <c r="A252" s="7" t="n">
        <v>8</v>
      </c>
      <c r="B252" s="8">
        <f>B12</f>
        <v/>
      </c>
      <c r="C252" s="8">
        <f>C12</f>
        <v/>
      </c>
      <c r="D252" s="14" t="n"/>
      <c r="E252" s="14" t="n"/>
      <c r="F252" s="8">
        <f>D252+E252</f>
        <v/>
      </c>
      <c r="G252" s="14" t="n"/>
      <c r="H252" s="14" t="n"/>
      <c r="I252" s="8">
        <f>G252+H252</f>
        <v/>
      </c>
      <c r="J252" s="8">
        <f>D252+G252</f>
        <v/>
      </c>
      <c r="K252" s="8">
        <f>E252+H252</f>
        <v/>
      </c>
      <c r="L252" s="8">
        <f>J252+K252</f>
        <v/>
      </c>
      <c r="M252" s="9">
        <f>IF(C252=0,0,L252/C252*100)</f>
        <v/>
      </c>
    </row>
    <row r="253">
      <c r="A253" s="7" t="n">
        <v>9</v>
      </c>
      <c r="B253" s="8">
        <f>B13</f>
        <v/>
      </c>
      <c r="C253" s="8">
        <f>C13</f>
        <v/>
      </c>
      <c r="D253" s="14" t="n"/>
      <c r="E253" s="14" t="n"/>
      <c r="F253" s="8">
        <f>D253+E253</f>
        <v/>
      </c>
      <c r="G253" s="14" t="n"/>
      <c r="H253" s="14" t="n"/>
      <c r="I253" s="8">
        <f>G253+H253</f>
        <v/>
      </c>
      <c r="J253" s="8">
        <f>D253+G253</f>
        <v/>
      </c>
      <c r="K253" s="8">
        <f>E253+H253</f>
        <v/>
      </c>
      <c r="L253" s="8">
        <f>J253+K253</f>
        <v/>
      </c>
      <c r="M253" s="9">
        <f>IF(C253=0,0,L253/C253*100)</f>
        <v/>
      </c>
    </row>
    <row r="254">
      <c r="A254" s="7" t="n">
        <v>10</v>
      </c>
      <c r="B254" s="8">
        <f>B14</f>
        <v/>
      </c>
      <c r="C254" s="8">
        <f>C14</f>
        <v/>
      </c>
      <c r="D254" s="14" t="n"/>
      <c r="E254" s="14" t="n"/>
      <c r="F254" s="8">
        <f>D254+E254</f>
        <v/>
      </c>
      <c r="G254" s="14" t="n"/>
      <c r="H254" s="14" t="n"/>
      <c r="I254" s="8">
        <f>G254+H254</f>
        <v/>
      </c>
      <c r="J254" s="8">
        <f>D254+G254</f>
        <v/>
      </c>
      <c r="K254" s="8">
        <f>E254+H254</f>
        <v/>
      </c>
      <c r="L254" s="8">
        <f>J254+K254</f>
        <v/>
      </c>
      <c r="M254" s="9">
        <f>IF(C254=0,0,L254/C254*100)</f>
        <v/>
      </c>
    </row>
    <row r="255">
      <c r="A255" s="10" t="inlineStr">
        <is>
          <t>Total</t>
        </is>
      </c>
      <c r="B255" s="11">
        <f>SUM(B245:B254)</f>
        <v/>
      </c>
      <c r="C255" s="11">
        <f>SUM(C245:C254)</f>
        <v/>
      </c>
      <c r="D255" s="11">
        <f>SUM(D245:D254)</f>
        <v/>
      </c>
      <c r="E255" s="11">
        <f>SUM(E245:E254)</f>
        <v/>
      </c>
      <c r="F255" s="11">
        <f>D255+E255</f>
        <v/>
      </c>
      <c r="G255" s="11">
        <f>SUM(G245:G254)</f>
        <v/>
      </c>
      <c r="H255" s="11">
        <f>SUM(H245:H254)</f>
        <v/>
      </c>
      <c r="I255" s="11">
        <f>G255+H255</f>
        <v/>
      </c>
      <c r="J255" s="11">
        <f>D255+G255</f>
        <v/>
      </c>
      <c r="K255" s="11">
        <f>E255+H255</f>
        <v/>
      </c>
      <c r="L255" s="11">
        <f>J255+K255</f>
        <v/>
      </c>
      <c r="M255" s="12">
        <f>IF(C255=0,0,L255/C255*100)</f>
        <v/>
      </c>
    </row>
  </sheetData>
  <sheetProtection selectLockedCells="0" selectUnlockedCells="0" sheet="1" objects="0" insertRows="1" insertHyperlinks="1" autoFilter="1" scenarios="0" formatColumns="0" deleteColumns="1" insertColumns="1" pivotTables="1" deleteRows="1" formatCells="0" formatRows="0" sort="1"/>
  <mergeCells count="160">
    <mergeCell ref="B146:B148"/>
    <mergeCell ref="D195:F195"/>
    <mergeCell ref="M242:M244"/>
    <mergeCell ref="A210:A212"/>
    <mergeCell ref="B34:B36"/>
    <mergeCell ref="L3:L4"/>
    <mergeCell ref="A97:M97"/>
    <mergeCell ref="L83:L84"/>
    <mergeCell ref="J19:K19"/>
    <mergeCell ref="D179:F179"/>
    <mergeCell ref="A194:A196"/>
    <mergeCell ref="C194:C196"/>
    <mergeCell ref="A81:M81"/>
    <mergeCell ref="A130:A132"/>
    <mergeCell ref="A161:M161"/>
    <mergeCell ref="G195:I195"/>
    <mergeCell ref="M162:M164"/>
    <mergeCell ref="L147:L148"/>
    <mergeCell ref="A226:A228"/>
    <mergeCell ref="D114:L114"/>
    <mergeCell ref="C18:C20"/>
    <mergeCell ref="M146:M148"/>
    <mergeCell ref="D98:L98"/>
    <mergeCell ref="D226:L226"/>
    <mergeCell ref="L211:L212"/>
    <mergeCell ref="J147:K147"/>
    <mergeCell ref="A241:M241"/>
    <mergeCell ref="B242:B244"/>
    <mergeCell ref="M82:M84"/>
    <mergeCell ref="G131:I131"/>
    <mergeCell ref="A50:A52"/>
    <mergeCell ref="C50:C52"/>
    <mergeCell ref="G115:I115"/>
    <mergeCell ref="D34:L34"/>
    <mergeCell ref="B210:B212"/>
    <mergeCell ref="B98:B100"/>
    <mergeCell ref="G179:I179"/>
    <mergeCell ref="B178:B180"/>
    <mergeCell ref="J163:K163"/>
    <mergeCell ref="A33:M33"/>
    <mergeCell ref="D2:L2"/>
    <mergeCell ref="B162:B164"/>
    <mergeCell ref="C130:C132"/>
    <mergeCell ref="J243:K243"/>
    <mergeCell ref="D163:F163"/>
    <mergeCell ref="D66:L66"/>
    <mergeCell ref="C178:C180"/>
    <mergeCell ref="D147:F147"/>
    <mergeCell ref="D227:F227"/>
    <mergeCell ref="J99:K99"/>
    <mergeCell ref="D211:F211"/>
    <mergeCell ref="A114:A116"/>
    <mergeCell ref="D3:F3"/>
    <mergeCell ref="J83:K83"/>
    <mergeCell ref="D83:F83"/>
    <mergeCell ref="G51:I51"/>
    <mergeCell ref="A98:A100"/>
    <mergeCell ref="G227:I227"/>
    <mergeCell ref="C98:C100"/>
    <mergeCell ref="L35:L36"/>
    <mergeCell ref="L163:L164"/>
    <mergeCell ref="A225:M225"/>
    <mergeCell ref="D67:F67"/>
    <mergeCell ref="G211:I211"/>
    <mergeCell ref="A82:A84"/>
    <mergeCell ref="B130:B132"/>
    <mergeCell ref="L99:L100"/>
    <mergeCell ref="M226:M228"/>
    <mergeCell ref="M178:M180"/>
    <mergeCell ref="A146:A148"/>
    <mergeCell ref="A177:M177"/>
    <mergeCell ref="C146:C148"/>
    <mergeCell ref="J3:K3"/>
    <mergeCell ref="J51:K51"/>
    <mergeCell ref="A145:M145"/>
    <mergeCell ref="A129:M129"/>
    <mergeCell ref="G147:I147"/>
    <mergeCell ref="A18:A20"/>
    <mergeCell ref="L243:L244"/>
    <mergeCell ref="L131:L132"/>
    <mergeCell ref="M18:M20"/>
    <mergeCell ref="D242:L242"/>
    <mergeCell ref="A2:A4"/>
    <mergeCell ref="G19:I19"/>
    <mergeCell ref="C2:C4"/>
    <mergeCell ref="D194:L194"/>
    <mergeCell ref="A17:M17"/>
    <mergeCell ref="C82:C84"/>
    <mergeCell ref="G3:I3"/>
    <mergeCell ref="B226:B228"/>
    <mergeCell ref="L195:L196"/>
    <mergeCell ref="J131:K131"/>
    <mergeCell ref="G83:I83"/>
    <mergeCell ref="D162:L162"/>
    <mergeCell ref="C66:C68"/>
    <mergeCell ref="J211:K211"/>
    <mergeCell ref="A34:A36"/>
    <mergeCell ref="D146:L146"/>
    <mergeCell ref="J195:K195"/>
    <mergeCell ref="C34:C36"/>
    <mergeCell ref="B66:B68"/>
    <mergeCell ref="B194:B196"/>
    <mergeCell ref="B50:B52"/>
    <mergeCell ref="J179:K179"/>
    <mergeCell ref="A49:M49"/>
    <mergeCell ref="D51:F51"/>
    <mergeCell ref="J35:K35"/>
    <mergeCell ref="A1:M1"/>
    <mergeCell ref="C210:C212"/>
    <mergeCell ref="M114:M116"/>
    <mergeCell ref="D35:F35"/>
    <mergeCell ref="A178:A180"/>
    <mergeCell ref="D115:F115"/>
    <mergeCell ref="B2:B4"/>
    <mergeCell ref="A65:M65"/>
    <mergeCell ref="M98:M100"/>
    <mergeCell ref="L115:L116"/>
    <mergeCell ref="A162:A164"/>
    <mergeCell ref="D243:F243"/>
    <mergeCell ref="D99:F99"/>
    <mergeCell ref="C162:C164"/>
    <mergeCell ref="A193:M193"/>
    <mergeCell ref="A242:A244"/>
    <mergeCell ref="C114:C116"/>
    <mergeCell ref="C242:C244"/>
    <mergeCell ref="L179:L180"/>
    <mergeCell ref="J115:K115"/>
    <mergeCell ref="C226:C228"/>
    <mergeCell ref="A113:M113"/>
    <mergeCell ref="G243:I243"/>
    <mergeCell ref="J67:K67"/>
    <mergeCell ref="M210:M212"/>
    <mergeCell ref="M66:M68"/>
    <mergeCell ref="D210:L210"/>
    <mergeCell ref="A209:M209"/>
    <mergeCell ref="M194:M196"/>
    <mergeCell ref="B114:B116"/>
    <mergeCell ref="D18:L18"/>
    <mergeCell ref="G35:I35"/>
    <mergeCell ref="G163:I163"/>
    <mergeCell ref="M130:M132"/>
    <mergeCell ref="M50:M52"/>
    <mergeCell ref="D130:L130"/>
    <mergeCell ref="D82:L82"/>
    <mergeCell ref="G99:I99"/>
    <mergeCell ref="M34:M36"/>
    <mergeCell ref="J227:K227"/>
    <mergeCell ref="L51:L52"/>
    <mergeCell ref="L227:L228"/>
    <mergeCell ref="D50:L50"/>
    <mergeCell ref="M2:M4"/>
    <mergeCell ref="D178:L178"/>
    <mergeCell ref="B18:B20"/>
    <mergeCell ref="A66:A68"/>
    <mergeCell ref="D19:F19"/>
    <mergeCell ref="G67:I67"/>
    <mergeCell ref="B82:B84"/>
    <mergeCell ref="D131:F131"/>
    <mergeCell ref="L67:L68"/>
    <mergeCell ref="L19:L20"/>
  </mergeCells>
  <dataValidations count="1">
    <dataValidation sqref="D21 D22 D23 D24 D25 D26 D27 D28 D29 D30 D37 D38 D39 D40 D41 D42 D43 D44 D45 D46 D53 D54 D55 D56 D57 D58 D59 D60 D61 D62 D69 D70 D71 D72 D73 D74 D75 D76 D77 D78 D85 D86 D87 D88 D89 D90 D91 D92 D93 D94 D101 D102 D103 D104 D105 D106 D107 D108 D109 D110 D117 D118 D119 D120 D121 D122 D123 D124 D125 D126 D133 D134 D135 D136 D137 D138 D139 D140 D141 D142 D149 D150 D151 D152 D153 D154 D155 D156 D157 D158 D165 D166 D167 D168 D169 D170 D171 D172 D173 D174 D181 D182 D183 D184 D185 D186 D187 D188 D189 D190 D197 D198 D199 D200 D201 D202 D203 D204 D205 D206 D213 D214 D215 D216 D217 D218 D219 D220 D221 D222 D229 D230 D231 D232 D233 D234 D235 D236 D237 D238 D245 D246 D247 D248 D249 D250 D251 D252 D253 D254 E21 E22 E23 E24 E25 E26 E27 E28 E29 E30 E37 E38 E39 E40 E41 E42 E43 E44 E45 E46 E53 E54 E55 E56 E57 E58 E59 E60 E61 E62 E69 E70 E71 E72 E73 E74 E75 E76 E77 E78 E85 E86 E87 E88 E89 E90 E91 E92 E93 E94 E101 E102 E103 E104 E105 E106 E107 E108 E109 E110 E117 E118 E119 E120 E121 E122 E123 E124 E125 E126 E133 E134 E135 E136 E137 E138 E139 E140 E141 E142 E149 E150 E151 E152 E153 E154 E155 E156 E157 E158 E165 E166 E167 E168 E169 E170 E171 E172 E173 E174 E181 E182 E183 E184 E185 E186 E187 E188 E189 E190 E197 E198 E199 E200 E201 E202 E203 E204 E205 E206 E213 E214 E215 E216 E217 E218 E219 E220 E221 E222 E229 E230 E231 E232 E233 E234 E235 E236 E237 E238 E245 E246 E247 E248 E249 E250 E251 E252 E253 E254 G21 G22 G23 G24 G25 G26 G27 G28 G29 G30 G37 G38 G39 G40 G41 G42 G43 G44 G45 G46 G53 G54 G55 G56 G57 G58 G59 G60 G61 G62 G69 G70 G71 G72 G73 G74 G75 G76 G77 G78 G85 G86 G87 G88 G89 G90 G91 G92 G93 G94 G101 G102 G103 G104 G105 G106 G107 G108 G109 G110 G117 G118 G119 G120 G121 G122 G123 G124 G125 G126 G133 G134 G135 G136 G137 G138 G139 G140 G141 G142 G149 G150 G151 G152 G153 G154 G155 G156 G157 G158 G165 G166 G167 G168 G169 G170 G171 G172 G173 G174 G181 G182 G183 G184 G185 G186 G187 G188 G189 G190 G197 G198 G199 G200 G201 G202 G203 G204 G205 G206 G213 G214 G215 G216 G217 G218 G219 G220 G221 G222 G229 G230 G231 G232 G233 G234 G235 G236 G237 G238 G245 G246 G247 G248 G249 G250 G251 G252 G253 G254 H21 H22 H23 H24 H25 H26 H27 H28 H29 H30 H37 H38 H39 H40 H41 H42 H43 H44 H45 H46 H53 H54 H55 H56 H57 H58 H59 H60 H61 H62 H69 H70 H71 H72 H73 H74 H75 H76 H77 H78 H85 H86 H87 H88 H89 H90 H91 H92 H93 H94 H101 H102 H103 H104 H105 H106 H107 H108 H109 H110 H117 H118 H119 H120 H121 H122 H123 H124 H125 H126 H133 H134 H135 H136 H137 H138 H139 H140 H141 H142 H149 H150 H151 H152 H153 H154 H155 H156 H157 H158 H165 H166 H167 H168 H169 H170 H171 H172 H173 H174 H181 H182 H183 H184 H185 H186 H187 H188 H189 H190 H197 H198 H199 H200 H201 H202 H203 H204 H205 H206 H213 H214 H215 H216 H217 H218 H219 H220 H221 H222 H229 H230 H231 H232 H233 H234 H235 H236 H237 H238 H245 H246 H247 H248 H249 H250 H251 H252 H253 H254" showDropDown="0" showInputMessage="0" showErrorMessage="1" allowBlank="0" errorTitle="Whole number only" error="Enter a whole number of 0 or more." type="whole" operator="greaterThanOrEqual">
      <formula1>0</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07"/>
  <sheetViews>
    <sheetView showGridLines="0" workbookViewId="0">
      <pane ySplit="4" topLeftCell="A5" activePane="bottomLeft" state="frozen"/>
      <selection pane="bottomLeft" activeCell="A1" sqref="A1"/>
    </sheetView>
  </sheetViews>
  <sheetFormatPr baseColWidth="8" defaultRowHeight="15"/>
  <cols>
    <col width="9" customWidth="1" min="1" max="1"/>
    <col width="12" customWidth="1" min="2" max="2"/>
    <col width="13"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10" customWidth="1" min="12" max="12"/>
    <col width="9" customWidth="1" min="13" max="13"/>
  </cols>
  <sheetData>
    <row r="1">
      <c r="A1" s="5" t="inlineStr">
        <is>
          <t>Kachanakawal Gaunpalika - Campaign Total (5-19 Oct 2026)</t>
        </is>
      </c>
    </row>
    <row r="2">
      <c r="A2" s="6" t="inlineStr">
        <is>
          <t>Ward no.</t>
        </is>
      </c>
      <c r="B2" s="6" t="inlineStr">
        <is>
          <t>Total population</t>
        </is>
      </c>
      <c r="C2" s="6" t="inlineStr">
        <is>
          <t>JE target population</t>
        </is>
      </c>
      <c r="D2" s="6" t="inlineStr">
        <is>
          <t>Vaccinated</t>
        </is>
      </c>
      <c r="E2" s="6" t="n"/>
      <c r="F2" s="6" t="n"/>
      <c r="G2" s="6" t="n"/>
      <c r="H2" s="6" t="n"/>
      <c r="I2" s="6" t="n"/>
      <c r="J2" s="6" t="n"/>
      <c r="K2" s="6" t="n"/>
      <c r="L2" s="6" t="n"/>
      <c r="M2" s="6" t="inlineStr">
        <is>
          <t>Progress %</t>
        </is>
      </c>
    </row>
    <row r="3">
      <c r="A3" s="6" t="n"/>
      <c r="B3" s="6" t="n"/>
      <c r="C3" s="6" t="n"/>
      <c r="D3" s="6" t="inlineStr">
        <is>
          <t>Age 30-60 yrs</t>
        </is>
      </c>
      <c r="E3" s="6" t="n"/>
      <c r="F3" s="6" t="n"/>
      <c r="G3" s="6" t="inlineStr">
        <is>
          <t>Age 60 above</t>
        </is>
      </c>
      <c r="H3" s="6" t="n"/>
      <c r="I3" s="6" t="n"/>
      <c r="J3" s="6" t="inlineStr">
        <is>
          <t>Total</t>
        </is>
      </c>
      <c r="K3" s="6" t="n"/>
      <c r="L3" s="6" t="inlineStr">
        <is>
          <t>Grand Total</t>
        </is>
      </c>
      <c r="M3" s="6" t="n"/>
    </row>
    <row r="4">
      <c r="A4" s="6" t="n"/>
      <c r="B4" s="6" t="n"/>
      <c r="C4" s="6" t="n"/>
      <c r="D4" s="6" t="inlineStr">
        <is>
          <t>F</t>
        </is>
      </c>
      <c r="E4" s="6" t="inlineStr">
        <is>
          <t>M</t>
        </is>
      </c>
      <c r="F4" s="6" t="inlineStr">
        <is>
          <t>Total</t>
        </is>
      </c>
      <c r="G4" s="6" t="inlineStr">
        <is>
          <t>F</t>
        </is>
      </c>
      <c r="H4" s="6" t="inlineStr">
        <is>
          <t>M</t>
        </is>
      </c>
      <c r="I4" s="6" t="inlineStr">
        <is>
          <t>Total</t>
        </is>
      </c>
      <c r="J4" s="6" t="inlineStr">
        <is>
          <t>F</t>
        </is>
      </c>
      <c r="K4" s="6" t="inlineStr">
        <is>
          <t>M</t>
        </is>
      </c>
      <c r="L4" s="6" t="n"/>
      <c r="M4" s="6" t="n"/>
    </row>
    <row r="5">
      <c r="A5" s="7" t="n">
        <v>1</v>
      </c>
      <c r="B5" s="8" t="n">
        <v>7187</v>
      </c>
      <c r="C5" s="8" t="n">
        <v>3449.76</v>
      </c>
      <c r="D5" s="8">
        <f>D18+D31+D44+D57+D70+D83+D96+D109+D122+D135+D148+D161+D174+D187+D200</f>
        <v/>
      </c>
      <c r="E5" s="8">
        <f>E18+E31+E44+E57+E70+E83+E96+E109+E122+E135+E148+E161+E174+E187+E200</f>
        <v/>
      </c>
      <c r="F5" s="8">
        <f>D5+E5</f>
        <v/>
      </c>
      <c r="G5" s="8">
        <f>G18+G31+G44+G57+G70+G83+G96+G109+G122+G135+G148+G161+G174+G187+G200</f>
        <v/>
      </c>
      <c r="H5" s="8">
        <f>H18+H31+H44+H57+H70+H83+H96+H109+H122+H135+H148+H161+H174+H187+H200</f>
        <v/>
      </c>
      <c r="I5" s="8">
        <f>G5+H5</f>
        <v/>
      </c>
      <c r="J5" s="8">
        <f>D5+G5</f>
        <v/>
      </c>
      <c r="K5" s="8">
        <f>E5+H5</f>
        <v/>
      </c>
      <c r="L5" s="8">
        <f>J5+K5</f>
        <v/>
      </c>
      <c r="M5" s="9">
        <f>IF(C5=0,0,L5/C5*100)</f>
        <v/>
      </c>
    </row>
    <row r="6">
      <c r="A6" s="7" t="n">
        <v>2</v>
      </c>
      <c r="B6" s="8" t="n">
        <v>3911</v>
      </c>
      <c r="C6" s="8" t="n">
        <v>1877.28</v>
      </c>
      <c r="D6" s="8">
        <f>D19+D32+D45+D58+D71+D84+D97+D110+D123+D136+D149+D162+D175+D188+D201</f>
        <v/>
      </c>
      <c r="E6" s="8">
        <f>E19+E32+E45+E58+E71+E84+E97+E110+E123+E136+E149+E162+E175+E188+E201</f>
        <v/>
      </c>
      <c r="F6" s="8">
        <f>D6+E6</f>
        <v/>
      </c>
      <c r="G6" s="8">
        <f>G19+G32+G45+G58+G71+G84+G97+G110+G123+G136+G149+G162+G175+G188+G201</f>
        <v/>
      </c>
      <c r="H6" s="8">
        <f>H19+H32+H45+H58+H71+H84+H97+H110+H123+H136+H149+H162+H175+H188+H201</f>
        <v/>
      </c>
      <c r="I6" s="8">
        <f>G6+H6</f>
        <v/>
      </c>
      <c r="J6" s="8">
        <f>D6+G6</f>
        <v/>
      </c>
      <c r="K6" s="8">
        <f>E6+H6</f>
        <v/>
      </c>
      <c r="L6" s="8">
        <f>J6+K6</f>
        <v/>
      </c>
      <c r="M6" s="9">
        <f>IF(C6=0,0,L6/C6*100)</f>
        <v/>
      </c>
    </row>
    <row r="7">
      <c r="A7" s="7" t="n">
        <v>3</v>
      </c>
      <c r="B7" s="8" t="n">
        <v>6370</v>
      </c>
      <c r="C7" s="8" t="n">
        <v>3057.6</v>
      </c>
      <c r="D7" s="8">
        <f>D20+D33+D46+D59+D72+D85+D98+D111+D124+D137+D150+D163+D176+D189+D202</f>
        <v/>
      </c>
      <c r="E7" s="8">
        <f>E20+E33+E46+E59+E72+E85+E98+E111+E124+E137+E150+E163+E176+E189+E202</f>
        <v/>
      </c>
      <c r="F7" s="8">
        <f>D7+E7</f>
        <v/>
      </c>
      <c r="G7" s="8">
        <f>G20+G33+G46+G59+G72+G85+G98+G111+G124+G137+G150+G163+G176+G189+G202</f>
        <v/>
      </c>
      <c r="H7" s="8">
        <f>H20+H33+H46+H59+H72+H85+H98+H111+H124+H137+H150+H163+H176+H189+H202</f>
        <v/>
      </c>
      <c r="I7" s="8">
        <f>G7+H7</f>
        <v/>
      </c>
      <c r="J7" s="8">
        <f>D7+G7</f>
        <v/>
      </c>
      <c r="K7" s="8">
        <f>E7+H7</f>
        <v/>
      </c>
      <c r="L7" s="8">
        <f>J7+K7</f>
        <v/>
      </c>
      <c r="M7" s="9">
        <f>IF(C7=0,0,L7/C7*100)</f>
        <v/>
      </c>
    </row>
    <row r="8">
      <c r="A8" s="7" t="n">
        <v>4</v>
      </c>
      <c r="B8" s="8" t="n">
        <v>6489</v>
      </c>
      <c r="C8" s="8" t="n">
        <v>3114.72</v>
      </c>
      <c r="D8" s="8">
        <f>D21+D34+D47+D60+D73+D86+D99+D112+D125+D138+D151+D164+D177+D190+D203</f>
        <v/>
      </c>
      <c r="E8" s="8">
        <f>E21+E34+E47+E60+E73+E86+E99+E112+E125+E138+E151+E164+E177+E190+E203</f>
        <v/>
      </c>
      <c r="F8" s="8">
        <f>D8+E8</f>
        <v/>
      </c>
      <c r="G8" s="8">
        <f>G21+G34+G47+G60+G73+G86+G99+G112+G125+G138+G151+G164+G177+G190+G203</f>
        <v/>
      </c>
      <c r="H8" s="8">
        <f>H21+H34+H47+H60+H73+H86+H99+H112+H125+H138+H151+H164+H177+H190+H203</f>
        <v/>
      </c>
      <c r="I8" s="8">
        <f>G8+H8</f>
        <v/>
      </c>
      <c r="J8" s="8">
        <f>D8+G8</f>
        <v/>
      </c>
      <c r="K8" s="8">
        <f>E8+H8</f>
        <v/>
      </c>
      <c r="L8" s="8">
        <f>J8+K8</f>
        <v/>
      </c>
      <c r="M8" s="9">
        <f>IF(C8=0,0,L8/C8*100)</f>
        <v/>
      </c>
    </row>
    <row r="9">
      <c r="A9" s="7" t="n">
        <v>5</v>
      </c>
      <c r="B9" s="8" t="n">
        <v>4740</v>
      </c>
      <c r="C9" s="8" t="n">
        <v>2275.2</v>
      </c>
      <c r="D9" s="8">
        <f>D22+D35+D48+D61+D74+D87+D100+D113+D126+D139+D152+D165+D178+D191+D204</f>
        <v/>
      </c>
      <c r="E9" s="8">
        <f>E22+E35+E48+E61+E74+E87+E100+E113+E126+E139+E152+E165+E178+E191+E204</f>
        <v/>
      </c>
      <c r="F9" s="8">
        <f>D9+E9</f>
        <v/>
      </c>
      <c r="G9" s="8">
        <f>G22+G35+G48+G61+G74+G87+G100+G113+G126+G139+G152+G165+G178+G191+G204</f>
        <v/>
      </c>
      <c r="H9" s="8">
        <f>H22+H35+H48+H61+H74+H87+H100+H113+H126+H139+H152+H165+H178+H191+H204</f>
        <v/>
      </c>
      <c r="I9" s="8">
        <f>G9+H9</f>
        <v/>
      </c>
      <c r="J9" s="8">
        <f>D9+G9</f>
        <v/>
      </c>
      <c r="K9" s="8">
        <f>E9+H9</f>
        <v/>
      </c>
      <c r="L9" s="8">
        <f>J9+K9</f>
        <v/>
      </c>
      <c r="M9" s="9">
        <f>IF(C9=0,0,L9/C9*100)</f>
        <v/>
      </c>
    </row>
    <row r="10">
      <c r="A10" s="7" t="n">
        <v>6</v>
      </c>
      <c r="B10" s="8" t="n">
        <v>6412</v>
      </c>
      <c r="C10" s="8" t="n">
        <v>3077.76</v>
      </c>
      <c r="D10" s="8">
        <f>D23+D36+D49+D62+D75+D88+D101+D114+D127+D140+D153+D166+D179+D192+D205</f>
        <v/>
      </c>
      <c r="E10" s="8">
        <f>E23+E36+E49+E62+E75+E88+E101+E114+E127+E140+E153+E166+E179+E192+E205</f>
        <v/>
      </c>
      <c r="F10" s="8">
        <f>D10+E10</f>
        <v/>
      </c>
      <c r="G10" s="8">
        <f>G23+G36+G49+G62+G75+G88+G101+G114+G127+G140+G153+G166+G179+G192+G205</f>
        <v/>
      </c>
      <c r="H10" s="8">
        <f>H23+H36+H49+H62+H75+H88+H101+H114+H127+H140+H153+H166+H179+H192+H205</f>
        <v/>
      </c>
      <c r="I10" s="8">
        <f>G10+H10</f>
        <v/>
      </c>
      <c r="J10" s="8">
        <f>D10+G10</f>
        <v/>
      </c>
      <c r="K10" s="8">
        <f>E10+H10</f>
        <v/>
      </c>
      <c r="L10" s="8">
        <f>J10+K10</f>
        <v/>
      </c>
      <c r="M10" s="9">
        <f>IF(C10=0,0,L10/C10*100)</f>
        <v/>
      </c>
    </row>
    <row r="11">
      <c r="A11" s="7" t="n">
        <v>7</v>
      </c>
      <c r="B11" s="8" t="n">
        <v>5946</v>
      </c>
      <c r="C11" s="8" t="n">
        <v>2854.08</v>
      </c>
      <c r="D11" s="8">
        <f>D24+D37+D50+D63+D76+D89+D102+D115+D128+D141+D154+D167+D180+D193+D206</f>
        <v/>
      </c>
      <c r="E11" s="8">
        <f>E24+E37+E50+E63+E76+E89+E102+E115+E128+E141+E154+E167+E180+E193+E206</f>
        <v/>
      </c>
      <c r="F11" s="8">
        <f>D11+E11</f>
        <v/>
      </c>
      <c r="G11" s="8">
        <f>G24+G37+G50+G63+G76+G89+G102+G115+G128+G141+G154+G167+G180+G193+G206</f>
        <v/>
      </c>
      <c r="H11" s="8">
        <f>H24+H37+H50+H63+H76+H89+H102+H115+H128+H141+H154+H167+H180+H193+H206</f>
        <v/>
      </c>
      <c r="I11" s="8">
        <f>G11+H11</f>
        <v/>
      </c>
      <c r="J11" s="8">
        <f>D11+G11</f>
        <v/>
      </c>
      <c r="K11" s="8">
        <f>E11+H11</f>
        <v/>
      </c>
      <c r="L11" s="8">
        <f>J11+K11</f>
        <v/>
      </c>
      <c r="M11" s="9">
        <f>IF(C11=0,0,L11/C11*100)</f>
        <v/>
      </c>
    </row>
    <row r="12">
      <c r="A12" s="10" t="inlineStr">
        <is>
          <t>Total</t>
        </is>
      </c>
      <c r="B12" s="11">
        <f>SUM(B5:B11)</f>
        <v/>
      </c>
      <c r="C12" s="11">
        <f>SUM(C5:C11)</f>
        <v/>
      </c>
      <c r="D12" s="11">
        <f>SUM(D5:D11)</f>
        <v/>
      </c>
      <c r="E12" s="11">
        <f>SUM(E5:E11)</f>
        <v/>
      </c>
      <c r="F12" s="11">
        <f>D12+E12</f>
        <v/>
      </c>
      <c r="G12" s="11">
        <f>SUM(G5:G11)</f>
        <v/>
      </c>
      <c r="H12" s="11">
        <f>SUM(H5:H11)</f>
        <v/>
      </c>
      <c r="I12" s="11">
        <f>G12+H12</f>
        <v/>
      </c>
      <c r="J12" s="11">
        <f>D12+G12</f>
        <v/>
      </c>
      <c r="K12" s="11">
        <f>E12+H12</f>
        <v/>
      </c>
      <c r="L12" s="11">
        <f>J12+K12</f>
        <v/>
      </c>
      <c r="M12" s="12">
        <f>IF(C12=0,0,L12/C12*100)</f>
        <v/>
      </c>
    </row>
    <row r="14">
      <c r="A14" s="13" t="inlineStr">
        <is>
          <t>Day 1 - 2026-10-05 (Mon 19 Aswin 2083)</t>
        </is>
      </c>
    </row>
    <row r="15">
      <c r="A15" s="6" t="inlineStr">
        <is>
          <t>Ward no.</t>
        </is>
      </c>
      <c r="B15" s="6" t="inlineStr">
        <is>
          <t>Total population</t>
        </is>
      </c>
      <c r="C15" s="6" t="inlineStr">
        <is>
          <t>JE target population</t>
        </is>
      </c>
      <c r="D15" s="6" t="inlineStr">
        <is>
          <t>Vaccinated</t>
        </is>
      </c>
      <c r="E15" s="6" t="n"/>
      <c r="F15" s="6" t="n"/>
      <c r="G15" s="6" t="n"/>
      <c r="H15" s="6" t="n"/>
      <c r="I15" s="6" t="n"/>
      <c r="J15" s="6" t="n"/>
      <c r="K15" s="6" t="n"/>
      <c r="L15" s="6" t="n"/>
      <c r="M15" s="6" t="inlineStr">
        <is>
          <t>Progress %</t>
        </is>
      </c>
    </row>
    <row r="16">
      <c r="A16" s="6" t="n"/>
      <c r="B16" s="6" t="n"/>
      <c r="C16" s="6" t="n"/>
      <c r="D16" s="6" t="inlineStr">
        <is>
          <t>Age 30-60 yrs</t>
        </is>
      </c>
      <c r="E16" s="6" t="n"/>
      <c r="F16" s="6" t="n"/>
      <c r="G16" s="6" t="inlineStr">
        <is>
          <t>Age 60 above</t>
        </is>
      </c>
      <c r="H16" s="6" t="n"/>
      <c r="I16" s="6" t="n"/>
      <c r="J16" s="6" t="inlineStr">
        <is>
          <t>Total</t>
        </is>
      </c>
      <c r="K16" s="6" t="n"/>
      <c r="L16" s="6" t="inlineStr">
        <is>
          <t>Grand Total</t>
        </is>
      </c>
      <c r="M16" s="6" t="n"/>
    </row>
    <row r="17">
      <c r="A17" s="6" t="n"/>
      <c r="B17" s="6" t="n"/>
      <c r="C17" s="6" t="n"/>
      <c r="D17" s="6" t="inlineStr">
        <is>
          <t>F</t>
        </is>
      </c>
      <c r="E17" s="6" t="inlineStr">
        <is>
          <t>M</t>
        </is>
      </c>
      <c r="F17" s="6" t="inlineStr">
        <is>
          <t>Total</t>
        </is>
      </c>
      <c r="G17" s="6" t="inlineStr">
        <is>
          <t>F</t>
        </is>
      </c>
      <c r="H17" s="6" t="inlineStr">
        <is>
          <t>M</t>
        </is>
      </c>
      <c r="I17" s="6" t="inlineStr">
        <is>
          <t>Total</t>
        </is>
      </c>
      <c r="J17" s="6" t="inlineStr">
        <is>
          <t>F</t>
        </is>
      </c>
      <c r="K17" s="6" t="inlineStr">
        <is>
          <t>M</t>
        </is>
      </c>
      <c r="L17" s="6" t="n"/>
      <c r="M17" s="6" t="n"/>
    </row>
    <row r="18">
      <c r="A18" s="7" t="n">
        <v>1</v>
      </c>
      <c r="B18" s="8">
        <f>B5</f>
        <v/>
      </c>
      <c r="C18" s="8">
        <f>C5</f>
        <v/>
      </c>
      <c r="D18" s="14" t="n"/>
      <c r="E18" s="14" t="n"/>
      <c r="F18" s="8">
        <f>D18+E18</f>
        <v/>
      </c>
      <c r="G18" s="14" t="n"/>
      <c r="H18" s="14" t="n"/>
      <c r="I18" s="8">
        <f>G18+H18</f>
        <v/>
      </c>
      <c r="J18" s="8">
        <f>D18+G18</f>
        <v/>
      </c>
      <c r="K18" s="8">
        <f>E18+H18</f>
        <v/>
      </c>
      <c r="L18" s="8">
        <f>J18+K18</f>
        <v/>
      </c>
      <c r="M18" s="9">
        <f>IF(C18=0,0,L18/C18*100)</f>
        <v/>
      </c>
    </row>
    <row r="19">
      <c r="A19" s="7" t="n">
        <v>2</v>
      </c>
      <c r="B19" s="8">
        <f>B6</f>
        <v/>
      </c>
      <c r="C19" s="8">
        <f>C6</f>
        <v/>
      </c>
      <c r="D19" s="14" t="n"/>
      <c r="E19" s="14" t="n"/>
      <c r="F19" s="8">
        <f>D19+E19</f>
        <v/>
      </c>
      <c r="G19" s="14" t="n"/>
      <c r="H19" s="14" t="n"/>
      <c r="I19" s="8">
        <f>G19+H19</f>
        <v/>
      </c>
      <c r="J19" s="8">
        <f>D19+G19</f>
        <v/>
      </c>
      <c r="K19" s="8">
        <f>E19+H19</f>
        <v/>
      </c>
      <c r="L19" s="8">
        <f>J19+K19</f>
        <v/>
      </c>
      <c r="M19" s="9">
        <f>IF(C19=0,0,L19/C19*100)</f>
        <v/>
      </c>
    </row>
    <row r="20">
      <c r="A20" s="7" t="n">
        <v>3</v>
      </c>
      <c r="B20" s="8">
        <f>B7</f>
        <v/>
      </c>
      <c r="C20" s="8">
        <f>C7</f>
        <v/>
      </c>
      <c r="D20" s="14" t="n"/>
      <c r="E20" s="14" t="n"/>
      <c r="F20" s="8">
        <f>D20+E20</f>
        <v/>
      </c>
      <c r="G20" s="14" t="n"/>
      <c r="H20" s="14" t="n"/>
      <c r="I20" s="8">
        <f>G20+H20</f>
        <v/>
      </c>
      <c r="J20" s="8">
        <f>D20+G20</f>
        <v/>
      </c>
      <c r="K20" s="8">
        <f>E20+H20</f>
        <v/>
      </c>
      <c r="L20" s="8">
        <f>J20+K20</f>
        <v/>
      </c>
      <c r="M20" s="9">
        <f>IF(C20=0,0,L20/C20*100)</f>
        <v/>
      </c>
    </row>
    <row r="21">
      <c r="A21" s="7" t="n">
        <v>4</v>
      </c>
      <c r="B21" s="8">
        <f>B8</f>
        <v/>
      </c>
      <c r="C21" s="8">
        <f>C8</f>
        <v/>
      </c>
      <c r="D21" s="14" t="n"/>
      <c r="E21" s="14" t="n"/>
      <c r="F21" s="8">
        <f>D21+E21</f>
        <v/>
      </c>
      <c r="G21" s="14" t="n"/>
      <c r="H21" s="14" t="n"/>
      <c r="I21" s="8">
        <f>G21+H21</f>
        <v/>
      </c>
      <c r="J21" s="8">
        <f>D21+G21</f>
        <v/>
      </c>
      <c r="K21" s="8">
        <f>E21+H21</f>
        <v/>
      </c>
      <c r="L21" s="8">
        <f>J21+K21</f>
        <v/>
      </c>
      <c r="M21" s="9">
        <f>IF(C21=0,0,L21/C21*100)</f>
        <v/>
      </c>
    </row>
    <row r="22">
      <c r="A22" s="7" t="n">
        <v>5</v>
      </c>
      <c r="B22" s="8">
        <f>B9</f>
        <v/>
      </c>
      <c r="C22" s="8">
        <f>C9</f>
        <v/>
      </c>
      <c r="D22" s="14" t="n"/>
      <c r="E22" s="14" t="n"/>
      <c r="F22" s="8">
        <f>D22+E22</f>
        <v/>
      </c>
      <c r="G22" s="14" t="n"/>
      <c r="H22" s="14" t="n"/>
      <c r="I22" s="8">
        <f>G22+H22</f>
        <v/>
      </c>
      <c r="J22" s="8">
        <f>D22+G22</f>
        <v/>
      </c>
      <c r="K22" s="8">
        <f>E22+H22</f>
        <v/>
      </c>
      <c r="L22" s="8">
        <f>J22+K22</f>
        <v/>
      </c>
      <c r="M22" s="9">
        <f>IF(C22=0,0,L22/C22*100)</f>
        <v/>
      </c>
    </row>
    <row r="23">
      <c r="A23" s="7" t="n">
        <v>6</v>
      </c>
      <c r="B23" s="8">
        <f>B10</f>
        <v/>
      </c>
      <c r="C23" s="8">
        <f>C10</f>
        <v/>
      </c>
      <c r="D23" s="14" t="n"/>
      <c r="E23" s="14" t="n"/>
      <c r="F23" s="8">
        <f>D23+E23</f>
        <v/>
      </c>
      <c r="G23" s="14" t="n"/>
      <c r="H23" s="14" t="n"/>
      <c r="I23" s="8">
        <f>G23+H23</f>
        <v/>
      </c>
      <c r="J23" s="8">
        <f>D23+G23</f>
        <v/>
      </c>
      <c r="K23" s="8">
        <f>E23+H23</f>
        <v/>
      </c>
      <c r="L23" s="8">
        <f>J23+K23</f>
        <v/>
      </c>
      <c r="M23" s="9">
        <f>IF(C23=0,0,L23/C23*100)</f>
        <v/>
      </c>
    </row>
    <row r="24">
      <c r="A24" s="7" t="n">
        <v>7</v>
      </c>
      <c r="B24" s="8">
        <f>B11</f>
        <v/>
      </c>
      <c r="C24" s="8">
        <f>C11</f>
        <v/>
      </c>
      <c r="D24" s="14" t="n"/>
      <c r="E24" s="14" t="n"/>
      <c r="F24" s="8">
        <f>D24+E24</f>
        <v/>
      </c>
      <c r="G24" s="14" t="n"/>
      <c r="H24" s="14" t="n"/>
      <c r="I24" s="8">
        <f>G24+H24</f>
        <v/>
      </c>
      <c r="J24" s="8">
        <f>D24+G24</f>
        <v/>
      </c>
      <c r="K24" s="8">
        <f>E24+H24</f>
        <v/>
      </c>
      <c r="L24" s="8">
        <f>J24+K24</f>
        <v/>
      </c>
      <c r="M24" s="9">
        <f>IF(C24=0,0,L24/C24*100)</f>
        <v/>
      </c>
    </row>
    <row r="25">
      <c r="A25" s="10" t="inlineStr">
        <is>
          <t>Total</t>
        </is>
      </c>
      <c r="B25" s="11">
        <f>SUM(B18:B24)</f>
        <v/>
      </c>
      <c r="C25" s="11">
        <f>SUM(C18:C24)</f>
        <v/>
      </c>
      <c r="D25" s="11">
        <f>SUM(D18:D24)</f>
        <v/>
      </c>
      <c r="E25" s="11">
        <f>SUM(E18:E24)</f>
        <v/>
      </c>
      <c r="F25" s="11">
        <f>D25+E25</f>
        <v/>
      </c>
      <c r="G25" s="11">
        <f>SUM(G18:G24)</f>
        <v/>
      </c>
      <c r="H25" s="11">
        <f>SUM(H18:H24)</f>
        <v/>
      </c>
      <c r="I25" s="11">
        <f>G25+H25</f>
        <v/>
      </c>
      <c r="J25" s="11">
        <f>D25+G25</f>
        <v/>
      </c>
      <c r="K25" s="11">
        <f>E25+H25</f>
        <v/>
      </c>
      <c r="L25" s="11">
        <f>J25+K25</f>
        <v/>
      </c>
      <c r="M25" s="12">
        <f>IF(C25=0,0,L25/C25*100)</f>
        <v/>
      </c>
    </row>
    <row r="27">
      <c r="A27" s="13" t="inlineStr">
        <is>
          <t>Day 2 - 2026-10-06 (Tue 20 Aswin 2083)</t>
        </is>
      </c>
    </row>
    <row r="28">
      <c r="A28" s="6" t="inlineStr">
        <is>
          <t>Ward no.</t>
        </is>
      </c>
      <c r="B28" s="6" t="inlineStr">
        <is>
          <t>Total population</t>
        </is>
      </c>
      <c r="C28" s="6" t="inlineStr">
        <is>
          <t>JE target population</t>
        </is>
      </c>
      <c r="D28" s="6" t="inlineStr">
        <is>
          <t>Vaccinated</t>
        </is>
      </c>
      <c r="E28" s="6" t="n"/>
      <c r="F28" s="6" t="n"/>
      <c r="G28" s="6" t="n"/>
      <c r="H28" s="6" t="n"/>
      <c r="I28" s="6" t="n"/>
      <c r="J28" s="6" t="n"/>
      <c r="K28" s="6" t="n"/>
      <c r="L28" s="6" t="n"/>
      <c r="M28" s="6" t="inlineStr">
        <is>
          <t>Progress %</t>
        </is>
      </c>
    </row>
    <row r="29">
      <c r="A29" s="6" t="n"/>
      <c r="B29" s="6" t="n"/>
      <c r="C29" s="6" t="n"/>
      <c r="D29" s="6" t="inlineStr">
        <is>
          <t>Age 30-60 yrs</t>
        </is>
      </c>
      <c r="E29" s="6" t="n"/>
      <c r="F29" s="6" t="n"/>
      <c r="G29" s="6" t="inlineStr">
        <is>
          <t>Age 60 above</t>
        </is>
      </c>
      <c r="H29" s="6" t="n"/>
      <c r="I29" s="6" t="n"/>
      <c r="J29" s="6" t="inlineStr">
        <is>
          <t>Total</t>
        </is>
      </c>
      <c r="K29" s="6" t="n"/>
      <c r="L29" s="6" t="inlineStr">
        <is>
          <t>Grand Total</t>
        </is>
      </c>
      <c r="M29" s="6" t="n"/>
    </row>
    <row r="30">
      <c r="A30" s="6" t="n"/>
      <c r="B30" s="6" t="n"/>
      <c r="C30" s="6" t="n"/>
      <c r="D30" s="6" t="inlineStr">
        <is>
          <t>F</t>
        </is>
      </c>
      <c r="E30" s="6" t="inlineStr">
        <is>
          <t>M</t>
        </is>
      </c>
      <c r="F30" s="6" t="inlineStr">
        <is>
          <t>Total</t>
        </is>
      </c>
      <c r="G30" s="6" t="inlineStr">
        <is>
          <t>F</t>
        </is>
      </c>
      <c r="H30" s="6" t="inlineStr">
        <is>
          <t>M</t>
        </is>
      </c>
      <c r="I30" s="6" t="inlineStr">
        <is>
          <t>Total</t>
        </is>
      </c>
      <c r="J30" s="6" t="inlineStr">
        <is>
          <t>F</t>
        </is>
      </c>
      <c r="K30" s="6" t="inlineStr">
        <is>
          <t>M</t>
        </is>
      </c>
      <c r="L30" s="6" t="n"/>
      <c r="M30" s="6" t="n"/>
    </row>
    <row r="31">
      <c r="A31" s="7" t="n">
        <v>1</v>
      </c>
      <c r="B31" s="8">
        <f>B5</f>
        <v/>
      </c>
      <c r="C31" s="8">
        <f>C5</f>
        <v/>
      </c>
      <c r="D31" s="14" t="n"/>
      <c r="E31" s="14" t="n"/>
      <c r="F31" s="8">
        <f>D31+E31</f>
        <v/>
      </c>
      <c r="G31" s="14" t="n"/>
      <c r="H31" s="14" t="n"/>
      <c r="I31" s="8">
        <f>G31+H31</f>
        <v/>
      </c>
      <c r="J31" s="8">
        <f>D31+G31</f>
        <v/>
      </c>
      <c r="K31" s="8">
        <f>E31+H31</f>
        <v/>
      </c>
      <c r="L31" s="8">
        <f>J31+K31</f>
        <v/>
      </c>
      <c r="M31" s="9">
        <f>IF(C31=0,0,L31/C31*100)</f>
        <v/>
      </c>
    </row>
    <row r="32">
      <c r="A32" s="7" t="n">
        <v>2</v>
      </c>
      <c r="B32" s="8">
        <f>B6</f>
        <v/>
      </c>
      <c r="C32" s="8">
        <f>C6</f>
        <v/>
      </c>
      <c r="D32" s="14" t="n"/>
      <c r="E32" s="14" t="n"/>
      <c r="F32" s="8">
        <f>D32+E32</f>
        <v/>
      </c>
      <c r="G32" s="14" t="n"/>
      <c r="H32" s="14" t="n"/>
      <c r="I32" s="8">
        <f>G32+H32</f>
        <v/>
      </c>
      <c r="J32" s="8">
        <f>D32+G32</f>
        <v/>
      </c>
      <c r="K32" s="8">
        <f>E32+H32</f>
        <v/>
      </c>
      <c r="L32" s="8">
        <f>J32+K32</f>
        <v/>
      </c>
      <c r="M32" s="9">
        <f>IF(C32=0,0,L32/C32*100)</f>
        <v/>
      </c>
    </row>
    <row r="33">
      <c r="A33" s="7" t="n">
        <v>3</v>
      </c>
      <c r="B33" s="8">
        <f>B7</f>
        <v/>
      </c>
      <c r="C33" s="8">
        <f>C7</f>
        <v/>
      </c>
      <c r="D33" s="14" t="n"/>
      <c r="E33" s="14" t="n"/>
      <c r="F33" s="8">
        <f>D33+E33</f>
        <v/>
      </c>
      <c r="G33" s="14" t="n"/>
      <c r="H33" s="14" t="n"/>
      <c r="I33" s="8">
        <f>G33+H33</f>
        <v/>
      </c>
      <c r="J33" s="8">
        <f>D33+G33</f>
        <v/>
      </c>
      <c r="K33" s="8">
        <f>E33+H33</f>
        <v/>
      </c>
      <c r="L33" s="8">
        <f>J33+K33</f>
        <v/>
      </c>
      <c r="M33" s="9">
        <f>IF(C33=0,0,L33/C33*100)</f>
        <v/>
      </c>
    </row>
    <row r="34">
      <c r="A34" s="7" t="n">
        <v>4</v>
      </c>
      <c r="B34" s="8">
        <f>B8</f>
        <v/>
      </c>
      <c r="C34" s="8">
        <f>C8</f>
        <v/>
      </c>
      <c r="D34" s="14" t="n"/>
      <c r="E34" s="14" t="n"/>
      <c r="F34" s="8">
        <f>D34+E34</f>
        <v/>
      </c>
      <c r="G34" s="14" t="n"/>
      <c r="H34" s="14" t="n"/>
      <c r="I34" s="8">
        <f>G34+H34</f>
        <v/>
      </c>
      <c r="J34" s="8">
        <f>D34+G34</f>
        <v/>
      </c>
      <c r="K34" s="8">
        <f>E34+H34</f>
        <v/>
      </c>
      <c r="L34" s="8">
        <f>J34+K34</f>
        <v/>
      </c>
      <c r="M34" s="9">
        <f>IF(C34=0,0,L34/C34*100)</f>
        <v/>
      </c>
    </row>
    <row r="35">
      <c r="A35" s="7" t="n">
        <v>5</v>
      </c>
      <c r="B35" s="8">
        <f>B9</f>
        <v/>
      </c>
      <c r="C35" s="8">
        <f>C9</f>
        <v/>
      </c>
      <c r="D35" s="14" t="n"/>
      <c r="E35" s="14" t="n"/>
      <c r="F35" s="8">
        <f>D35+E35</f>
        <v/>
      </c>
      <c r="G35" s="14" t="n"/>
      <c r="H35" s="14" t="n"/>
      <c r="I35" s="8">
        <f>G35+H35</f>
        <v/>
      </c>
      <c r="J35" s="8">
        <f>D35+G35</f>
        <v/>
      </c>
      <c r="K35" s="8">
        <f>E35+H35</f>
        <v/>
      </c>
      <c r="L35" s="8">
        <f>J35+K35</f>
        <v/>
      </c>
      <c r="M35" s="9">
        <f>IF(C35=0,0,L35/C35*100)</f>
        <v/>
      </c>
    </row>
    <row r="36">
      <c r="A36" s="7" t="n">
        <v>6</v>
      </c>
      <c r="B36" s="8">
        <f>B10</f>
        <v/>
      </c>
      <c r="C36" s="8">
        <f>C10</f>
        <v/>
      </c>
      <c r="D36" s="14" t="n"/>
      <c r="E36" s="14" t="n"/>
      <c r="F36" s="8">
        <f>D36+E36</f>
        <v/>
      </c>
      <c r="G36" s="14" t="n"/>
      <c r="H36" s="14" t="n"/>
      <c r="I36" s="8">
        <f>G36+H36</f>
        <v/>
      </c>
      <c r="J36" s="8">
        <f>D36+G36</f>
        <v/>
      </c>
      <c r="K36" s="8">
        <f>E36+H36</f>
        <v/>
      </c>
      <c r="L36" s="8">
        <f>J36+K36</f>
        <v/>
      </c>
      <c r="M36" s="9">
        <f>IF(C36=0,0,L36/C36*100)</f>
        <v/>
      </c>
    </row>
    <row r="37">
      <c r="A37" s="7" t="n">
        <v>7</v>
      </c>
      <c r="B37" s="8">
        <f>B11</f>
        <v/>
      </c>
      <c r="C37" s="8">
        <f>C11</f>
        <v/>
      </c>
      <c r="D37" s="14" t="n"/>
      <c r="E37" s="14" t="n"/>
      <c r="F37" s="8">
        <f>D37+E37</f>
        <v/>
      </c>
      <c r="G37" s="14" t="n"/>
      <c r="H37" s="14" t="n"/>
      <c r="I37" s="8">
        <f>G37+H37</f>
        <v/>
      </c>
      <c r="J37" s="8">
        <f>D37+G37</f>
        <v/>
      </c>
      <c r="K37" s="8">
        <f>E37+H37</f>
        <v/>
      </c>
      <c r="L37" s="8">
        <f>J37+K37</f>
        <v/>
      </c>
      <c r="M37" s="9">
        <f>IF(C37=0,0,L37/C37*100)</f>
        <v/>
      </c>
    </row>
    <row r="38">
      <c r="A38" s="10" t="inlineStr">
        <is>
          <t>Total</t>
        </is>
      </c>
      <c r="B38" s="11">
        <f>SUM(B31:B37)</f>
        <v/>
      </c>
      <c r="C38" s="11">
        <f>SUM(C31:C37)</f>
        <v/>
      </c>
      <c r="D38" s="11">
        <f>SUM(D31:D37)</f>
        <v/>
      </c>
      <c r="E38" s="11">
        <f>SUM(E31:E37)</f>
        <v/>
      </c>
      <c r="F38" s="11">
        <f>D38+E38</f>
        <v/>
      </c>
      <c r="G38" s="11">
        <f>SUM(G31:G37)</f>
        <v/>
      </c>
      <c r="H38" s="11">
        <f>SUM(H31:H37)</f>
        <v/>
      </c>
      <c r="I38" s="11">
        <f>G38+H38</f>
        <v/>
      </c>
      <c r="J38" s="11">
        <f>D38+G38</f>
        <v/>
      </c>
      <c r="K38" s="11">
        <f>E38+H38</f>
        <v/>
      </c>
      <c r="L38" s="11">
        <f>J38+K38</f>
        <v/>
      </c>
      <c r="M38" s="12">
        <f>IF(C38=0,0,L38/C38*100)</f>
        <v/>
      </c>
    </row>
    <row r="40">
      <c r="A40" s="13" t="inlineStr">
        <is>
          <t>Day 3 - 2026-10-07 (Wed 21 Aswin 2083)</t>
        </is>
      </c>
    </row>
    <row r="41">
      <c r="A41" s="6" t="inlineStr">
        <is>
          <t>Ward no.</t>
        </is>
      </c>
      <c r="B41" s="6" t="inlineStr">
        <is>
          <t>Total population</t>
        </is>
      </c>
      <c r="C41" s="6" t="inlineStr">
        <is>
          <t>JE target population</t>
        </is>
      </c>
      <c r="D41" s="6" t="inlineStr">
        <is>
          <t>Vaccinated</t>
        </is>
      </c>
      <c r="E41" s="6" t="n"/>
      <c r="F41" s="6" t="n"/>
      <c r="G41" s="6" t="n"/>
      <c r="H41" s="6" t="n"/>
      <c r="I41" s="6" t="n"/>
      <c r="J41" s="6" t="n"/>
      <c r="K41" s="6" t="n"/>
      <c r="L41" s="6" t="n"/>
      <c r="M41" s="6" t="inlineStr">
        <is>
          <t>Progress %</t>
        </is>
      </c>
    </row>
    <row r="42">
      <c r="A42" s="6" t="n"/>
      <c r="B42" s="6" t="n"/>
      <c r="C42" s="6" t="n"/>
      <c r="D42" s="6" t="inlineStr">
        <is>
          <t>Age 30-60 yrs</t>
        </is>
      </c>
      <c r="E42" s="6" t="n"/>
      <c r="F42" s="6" t="n"/>
      <c r="G42" s="6" t="inlineStr">
        <is>
          <t>Age 60 above</t>
        </is>
      </c>
      <c r="H42" s="6" t="n"/>
      <c r="I42" s="6" t="n"/>
      <c r="J42" s="6" t="inlineStr">
        <is>
          <t>Total</t>
        </is>
      </c>
      <c r="K42" s="6" t="n"/>
      <c r="L42" s="6" t="inlineStr">
        <is>
          <t>Grand Total</t>
        </is>
      </c>
      <c r="M42" s="6" t="n"/>
    </row>
    <row r="43">
      <c r="A43" s="6" t="n"/>
      <c r="B43" s="6" t="n"/>
      <c r="C43" s="6" t="n"/>
      <c r="D43" s="6" t="inlineStr">
        <is>
          <t>F</t>
        </is>
      </c>
      <c r="E43" s="6" t="inlineStr">
        <is>
          <t>M</t>
        </is>
      </c>
      <c r="F43" s="6" t="inlineStr">
        <is>
          <t>Total</t>
        </is>
      </c>
      <c r="G43" s="6" t="inlineStr">
        <is>
          <t>F</t>
        </is>
      </c>
      <c r="H43" s="6" t="inlineStr">
        <is>
          <t>M</t>
        </is>
      </c>
      <c r="I43" s="6" t="inlineStr">
        <is>
          <t>Total</t>
        </is>
      </c>
      <c r="J43" s="6" t="inlineStr">
        <is>
          <t>F</t>
        </is>
      </c>
      <c r="K43" s="6" t="inlineStr">
        <is>
          <t>M</t>
        </is>
      </c>
      <c r="L43" s="6" t="n"/>
      <c r="M43" s="6" t="n"/>
    </row>
    <row r="44">
      <c r="A44" s="7" t="n">
        <v>1</v>
      </c>
      <c r="B44" s="8">
        <f>B5</f>
        <v/>
      </c>
      <c r="C44" s="8">
        <f>C5</f>
        <v/>
      </c>
      <c r="D44" s="14" t="n"/>
      <c r="E44" s="14" t="n"/>
      <c r="F44" s="8">
        <f>D44+E44</f>
        <v/>
      </c>
      <c r="G44" s="14" t="n"/>
      <c r="H44" s="14" t="n"/>
      <c r="I44" s="8">
        <f>G44+H44</f>
        <v/>
      </c>
      <c r="J44" s="8">
        <f>D44+G44</f>
        <v/>
      </c>
      <c r="K44" s="8">
        <f>E44+H44</f>
        <v/>
      </c>
      <c r="L44" s="8">
        <f>J44+K44</f>
        <v/>
      </c>
      <c r="M44" s="9">
        <f>IF(C44=0,0,L44/C44*100)</f>
        <v/>
      </c>
    </row>
    <row r="45">
      <c r="A45" s="7" t="n">
        <v>2</v>
      </c>
      <c r="B45" s="8">
        <f>B6</f>
        <v/>
      </c>
      <c r="C45" s="8">
        <f>C6</f>
        <v/>
      </c>
      <c r="D45" s="14" t="n"/>
      <c r="E45" s="14" t="n"/>
      <c r="F45" s="8">
        <f>D45+E45</f>
        <v/>
      </c>
      <c r="G45" s="14" t="n"/>
      <c r="H45" s="14" t="n"/>
      <c r="I45" s="8">
        <f>G45+H45</f>
        <v/>
      </c>
      <c r="J45" s="8">
        <f>D45+G45</f>
        <v/>
      </c>
      <c r="K45" s="8">
        <f>E45+H45</f>
        <v/>
      </c>
      <c r="L45" s="8">
        <f>J45+K45</f>
        <v/>
      </c>
      <c r="M45" s="9">
        <f>IF(C45=0,0,L45/C45*100)</f>
        <v/>
      </c>
    </row>
    <row r="46">
      <c r="A46" s="7" t="n">
        <v>3</v>
      </c>
      <c r="B46" s="8">
        <f>B7</f>
        <v/>
      </c>
      <c r="C46" s="8">
        <f>C7</f>
        <v/>
      </c>
      <c r="D46" s="14" t="n"/>
      <c r="E46" s="14" t="n"/>
      <c r="F46" s="8">
        <f>D46+E46</f>
        <v/>
      </c>
      <c r="G46" s="14" t="n"/>
      <c r="H46" s="14" t="n"/>
      <c r="I46" s="8">
        <f>G46+H46</f>
        <v/>
      </c>
      <c r="J46" s="8">
        <f>D46+G46</f>
        <v/>
      </c>
      <c r="K46" s="8">
        <f>E46+H46</f>
        <v/>
      </c>
      <c r="L46" s="8">
        <f>J46+K46</f>
        <v/>
      </c>
      <c r="M46" s="9">
        <f>IF(C46=0,0,L46/C46*100)</f>
        <v/>
      </c>
    </row>
    <row r="47">
      <c r="A47" s="7" t="n">
        <v>4</v>
      </c>
      <c r="B47" s="8">
        <f>B8</f>
        <v/>
      </c>
      <c r="C47" s="8">
        <f>C8</f>
        <v/>
      </c>
      <c r="D47" s="14" t="n"/>
      <c r="E47" s="14" t="n"/>
      <c r="F47" s="8">
        <f>D47+E47</f>
        <v/>
      </c>
      <c r="G47" s="14" t="n"/>
      <c r="H47" s="14" t="n"/>
      <c r="I47" s="8">
        <f>G47+H47</f>
        <v/>
      </c>
      <c r="J47" s="8">
        <f>D47+G47</f>
        <v/>
      </c>
      <c r="K47" s="8">
        <f>E47+H47</f>
        <v/>
      </c>
      <c r="L47" s="8">
        <f>J47+K47</f>
        <v/>
      </c>
      <c r="M47" s="9">
        <f>IF(C47=0,0,L47/C47*100)</f>
        <v/>
      </c>
    </row>
    <row r="48">
      <c r="A48" s="7" t="n">
        <v>5</v>
      </c>
      <c r="B48" s="8">
        <f>B9</f>
        <v/>
      </c>
      <c r="C48" s="8">
        <f>C9</f>
        <v/>
      </c>
      <c r="D48" s="14" t="n"/>
      <c r="E48" s="14" t="n"/>
      <c r="F48" s="8">
        <f>D48+E48</f>
        <v/>
      </c>
      <c r="G48" s="14" t="n"/>
      <c r="H48" s="14" t="n"/>
      <c r="I48" s="8">
        <f>G48+H48</f>
        <v/>
      </c>
      <c r="J48" s="8">
        <f>D48+G48</f>
        <v/>
      </c>
      <c r="K48" s="8">
        <f>E48+H48</f>
        <v/>
      </c>
      <c r="L48" s="8">
        <f>J48+K48</f>
        <v/>
      </c>
      <c r="M48" s="9">
        <f>IF(C48=0,0,L48/C48*100)</f>
        <v/>
      </c>
    </row>
    <row r="49">
      <c r="A49" s="7" t="n">
        <v>6</v>
      </c>
      <c r="B49" s="8">
        <f>B10</f>
        <v/>
      </c>
      <c r="C49" s="8">
        <f>C10</f>
        <v/>
      </c>
      <c r="D49" s="14" t="n"/>
      <c r="E49" s="14" t="n"/>
      <c r="F49" s="8">
        <f>D49+E49</f>
        <v/>
      </c>
      <c r="G49" s="14" t="n"/>
      <c r="H49" s="14" t="n"/>
      <c r="I49" s="8">
        <f>G49+H49</f>
        <v/>
      </c>
      <c r="J49" s="8">
        <f>D49+G49</f>
        <v/>
      </c>
      <c r="K49" s="8">
        <f>E49+H49</f>
        <v/>
      </c>
      <c r="L49" s="8">
        <f>J49+K49</f>
        <v/>
      </c>
      <c r="M49" s="9">
        <f>IF(C49=0,0,L49/C49*100)</f>
        <v/>
      </c>
    </row>
    <row r="50">
      <c r="A50" s="7" t="n">
        <v>7</v>
      </c>
      <c r="B50" s="8">
        <f>B11</f>
        <v/>
      </c>
      <c r="C50" s="8">
        <f>C11</f>
        <v/>
      </c>
      <c r="D50" s="14" t="n"/>
      <c r="E50" s="14" t="n"/>
      <c r="F50" s="8">
        <f>D50+E50</f>
        <v/>
      </c>
      <c r="G50" s="14" t="n"/>
      <c r="H50" s="14" t="n"/>
      <c r="I50" s="8">
        <f>G50+H50</f>
        <v/>
      </c>
      <c r="J50" s="8">
        <f>D50+G50</f>
        <v/>
      </c>
      <c r="K50" s="8">
        <f>E50+H50</f>
        <v/>
      </c>
      <c r="L50" s="8">
        <f>J50+K50</f>
        <v/>
      </c>
      <c r="M50" s="9">
        <f>IF(C50=0,0,L50/C50*100)</f>
        <v/>
      </c>
    </row>
    <row r="51">
      <c r="A51" s="10" t="inlineStr">
        <is>
          <t>Total</t>
        </is>
      </c>
      <c r="B51" s="11">
        <f>SUM(B44:B50)</f>
        <v/>
      </c>
      <c r="C51" s="11">
        <f>SUM(C44:C50)</f>
        <v/>
      </c>
      <c r="D51" s="11">
        <f>SUM(D44:D50)</f>
        <v/>
      </c>
      <c r="E51" s="11">
        <f>SUM(E44:E50)</f>
        <v/>
      </c>
      <c r="F51" s="11">
        <f>D51+E51</f>
        <v/>
      </c>
      <c r="G51" s="11">
        <f>SUM(G44:G50)</f>
        <v/>
      </c>
      <c r="H51" s="11">
        <f>SUM(H44:H50)</f>
        <v/>
      </c>
      <c r="I51" s="11">
        <f>G51+H51</f>
        <v/>
      </c>
      <c r="J51" s="11">
        <f>D51+G51</f>
        <v/>
      </c>
      <c r="K51" s="11">
        <f>E51+H51</f>
        <v/>
      </c>
      <c r="L51" s="11">
        <f>J51+K51</f>
        <v/>
      </c>
      <c r="M51" s="12">
        <f>IF(C51=0,0,L51/C51*100)</f>
        <v/>
      </c>
    </row>
    <row r="53">
      <c r="A53" s="13" t="inlineStr">
        <is>
          <t>Day 4 - 2026-10-08 (Thu 22 Aswin 2083)</t>
        </is>
      </c>
    </row>
    <row r="54">
      <c r="A54" s="6" t="inlineStr">
        <is>
          <t>Ward no.</t>
        </is>
      </c>
      <c r="B54" s="6" t="inlineStr">
        <is>
          <t>Total population</t>
        </is>
      </c>
      <c r="C54" s="6" t="inlineStr">
        <is>
          <t>JE target population</t>
        </is>
      </c>
      <c r="D54" s="6" t="inlineStr">
        <is>
          <t>Vaccinated</t>
        </is>
      </c>
      <c r="E54" s="6" t="n"/>
      <c r="F54" s="6" t="n"/>
      <c r="G54" s="6" t="n"/>
      <c r="H54" s="6" t="n"/>
      <c r="I54" s="6" t="n"/>
      <c r="J54" s="6" t="n"/>
      <c r="K54" s="6" t="n"/>
      <c r="L54" s="6" t="n"/>
      <c r="M54" s="6" t="inlineStr">
        <is>
          <t>Progress %</t>
        </is>
      </c>
    </row>
    <row r="55">
      <c r="A55" s="6" t="n"/>
      <c r="B55" s="6" t="n"/>
      <c r="C55" s="6" t="n"/>
      <c r="D55" s="6" t="inlineStr">
        <is>
          <t>Age 30-60 yrs</t>
        </is>
      </c>
      <c r="E55" s="6" t="n"/>
      <c r="F55" s="6" t="n"/>
      <c r="G55" s="6" t="inlineStr">
        <is>
          <t>Age 60 above</t>
        </is>
      </c>
      <c r="H55" s="6" t="n"/>
      <c r="I55" s="6" t="n"/>
      <c r="J55" s="6" t="inlineStr">
        <is>
          <t>Total</t>
        </is>
      </c>
      <c r="K55" s="6" t="n"/>
      <c r="L55" s="6" t="inlineStr">
        <is>
          <t>Grand Total</t>
        </is>
      </c>
      <c r="M55" s="6" t="n"/>
    </row>
    <row r="56">
      <c r="A56" s="6" t="n"/>
      <c r="B56" s="6" t="n"/>
      <c r="C56" s="6" t="n"/>
      <c r="D56" s="6" t="inlineStr">
        <is>
          <t>F</t>
        </is>
      </c>
      <c r="E56" s="6" t="inlineStr">
        <is>
          <t>M</t>
        </is>
      </c>
      <c r="F56" s="6" t="inlineStr">
        <is>
          <t>Total</t>
        </is>
      </c>
      <c r="G56" s="6" t="inlineStr">
        <is>
          <t>F</t>
        </is>
      </c>
      <c r="H56" s="6" t="inlineStr">
        <is>
          <t>M</t>
        </is>
      </c>
      <c r="I56" s="6" t="inlineStr">
        <is>
          <t>Total</t>
        </is>
      </c>
      <c r="J56" s="6" t="inlineStr">
        <is>
          <t>F</t>
        </is>
      </c>
      <c r="K56" s="6" t="inlineStr">
        <is>
          <t>M</t>
        </is>
      </c>
      <c r="L56" s="6" t="n"/>
      <c r="M56" s="6" t="n"/>
    </row>
    <row r="57">
      <c r="A57" s="7" t="n">
        <v>1</v>
      </c>
      <c r="B57" s="8">
        <f>B5</f>
        <v/>
      </c>
      <c r="C57" s="8">
        <f>C5</f>
        <v/>
      </c>
      <c r="D57" s="14" t="n"/>
      <c r="E57" s="14" t="n"/>
      <c r="F57" s="8">
        <f>D57+E57</f>
        <v/>
      </c>
      <c r="G57" s="14" t="n"/>
      <c r="H57" s="14" t="n"/>
      <c r="I57" s="8">
        <f>G57+H57</f>
        <v/>
      </c>
      <c r="J57" s="8">
        <f>D57+G57</f>
        <v/>
      </c>
      <c r="K57" s="8">
        <f>E57+H57</f>
        <v/>
      </c>
      <c r="L57" s="8">
        <f>J57+K57</f>
        <v/>
      </c>
      <c r="M57" s="9">
        <f>IF(C57=0,0,L57/C57*100)</f>
        <v/>
      </c>
    </row>
    <row r="58">
      <c r="A58" s="7" t="n">
        <v>2</v>
      </c>
      <c r="B58" s="8">
        <f>B6</f>
        <v/>
      </c>
      <c r="C58" s="8">
        <f>C6</f>
        <v/>
      </c>
      <c r="D58" s="14" t="n"/>
      <c r="E58" s="14" t="n"/>
      <c r="F58" s="8">
        <f>D58+E58</f>
        <v/>
      </c>
      <c r="G58" s="14" t="n"/>
      <c r="H58" s="14" t="n"/>
      <c r="I58" s="8">
        <f>G58+H58</f>
        <v/>
      </c>
      <c r="J58" s="8">
        <f>D58+G58</f>
        <v/>
      </c>
      <c r="K58" s="8">
        <f>E58+H58</f>
        <v/>
      </c>
      <c r="L58" s="8">
        <f>J58+K58</f>
        <v/>
      </c>
      <c r="M58" s="9">
        <f>IF(C58=0,0,L58/C58*100)</f>
        <v/>
      </c>
    </row>
    <row r="59">
      <c r="A59" s="7" t="n">
        <v>3</v>
      </c>
      <c r="B59" s="8">
        <f>B7</f>
        <v/>
      </c>
      <c r="C59" s="8">
        <f>C7</f>
        <v/>
      </c>
      <c r="D59" s="14" t="n"/>
      <c r="E59" s="14" t="n"/>
      <c r="F59" s="8">
        <f>D59+E59</f>
        <v/>
      </c>
      <c r="G59" s="14" t="n"/>
      <c r="H59" s="14" t="n"/>
      <c r="I59" s="8">
        <f>G59+H59</f>
        <v/>
      </c>
      <c r="J59" s="8">
        <f>D59+G59</f>
        <v/>
      </c>
      <c r="K59" s="8">
        <f>E59+H59</f>
        <v/>
      </c>
      <c r="L59" s="8">
        <f>J59+K59</f>
        <v/>
      </c>
      <c r="M59" s="9">
        <f>IF(C59=0,0,L59/C59*100)</f>
        <v/>
      </c>
    </row>
    <row r="60">
      <c r="A60" s="7" t="n">
        <v>4</v>
      </c>
      <c r="B60" s="8">
        <f>B8</f>
        <v/>
      </c>
      <c r="C60" s="8">
        <f>C8</f>
        <v/>
      </c>
      <c r="D60" s="14" t="n"/>
      <c r="E60" s="14" t="n"/>
      <c r="F60" s="8">
        <f>D60+E60</f>
        <v/>
      </c>
      <c r="G60" s="14" t="n"/>
      <c r="H60" s="14" t="n"/>
      <c r="I60" s="8">
        <f>G60+H60</f>
        <v/>
      </c>
      <c r="J60" s="8">
        <f>D60+G60</f>
        <v/>
      </c>
      <c r="K60" s="8">
        <f>E60+H60</f>
        <v/>
      </c>
      <c r="L60" s="8">
        <f>J60+K60</f>
        <v/>
      </c>
      <c r="M60" s="9">
        <f>IF(C60=0,0,L60/C60*100)</f>
        <v/>
      </c>
    </row>
    <row r="61">
      <c r="A61" s="7" t="n">
        <v>5</v>
      </c>
      <c r="B61" s="8">
        <f>B9</f>
        <v/>
      </c>
      <c r="C61" s="8">
        <f>C9</f>
        <v/>
      </c>
      <c r="D61" s="14" t="n"/>
      <c r="E61" s="14" t="n"/>
      <c r="F61" s="8">
        <f>D61+E61</f>
        <v/>
      </c>
      <c r="G61" s="14" t="n"/>
      <c r="H61" s="14" t="n"/>
      <c r="I61" s="8">
        <f>G61+H61</f>
        <v/>
      </c>
      <c r="J61" s="8">
        <f>D61+G61</f>
        <v/>
      </c>
      <c r="K61" s="8">
        <f>E61+H61</f>
        <v/>
      </c>
      <c r="L61" s="8">
        <f>J61+K61</f>
        <v/>
      </c>
      <c r="M61" s="9">
        <f>IF(C61=0,0,L61/C61*100)</f>
        <v/>
      </c>
    </row>
    <row r="62">
      <c r="A62" s="7" t="n">
        <v>6</v>
      </c>
      <c r="B62" s="8">
        <f>B10</f>
        <v/>
      </c>
      <c r="C62" s="8">
        <f>C10</f>
        <v/>
      </c>
      <c r="D62" s="14" t="n"/>
      <c r="E62" s="14" t="n"/>
      <c r="F62" s="8">
        <f>D62+E62</f>
        <v/>
      </c>
      <c r="G62" s="14" t="n"/>
      <c r="H62" s="14" t="n"/>
      <c r="I62" s="8">
        <f>G62+H62</f>
        <v/>
      </c>
      <c r="J62" s="8">
        <f>D62+G62</f>
        <v/>
      </c>
      <c r="K62" s="8">
        <f>E62+H62</f>
        <v/>
      </c>
      <c r="L62" s="8">
        <f>J62+K62</f>
        <v/>
      </c>
      <c r="M62" s="9">
        <f>IF(C62=0,0,L62/C62*100)</f>
        <v/>
      </c>
    </row>
    <row r="63">
      <c r="A63" s="7" t="n">
        <v>7</v>
      </c>
      <c r="B63" s="8">
        <f>B11</f>
        <v/>
      </c>
      <c r="C63" s="8">
        <f>C11</f>
        <v/>
      </c>
      <c r="D63" s="14" t="n"/>
      <c r="E63" s="14" t="n"/>
      <c r="F63" s="8">
        <f>D63+E63</f>
        <v/>
      </c>
      <c r="G63" s="14" t="n"/>
      <c r="H63" s="14" t="n"/>
      <c r="I63" s="8">
        <f>G63+H63</f>
        <v/>
      </c>
      <c r="J63" s="8">
        <f>D63+G63</f>
        <v/>
      </c>
      <c r="K63" s="8">
        <f>E63+H63</f>
        <v/>
      </c>
      <c r="L63" s="8">
        <f>J63+K63</f>
        <v/>
      </c>
      <c r="M63" s="9">
        <f>IF(C63=0,0,L63/C63*100)</f>
        <v/>
      </c>
    </row>
    <row r="64">
      <c r="A64" s="10" t="inlineStr">
        <is>
          <t>Total</t>
        </is>
      </c>
      <c r="B64" s="11">
        <f>SUM(B57:B63)</f>
        <v/>
      </c>
      <c r="C64" s="11">
        <f>SUM(C57:C63)</f>
        <v/>
      </c>
      <c r="D64" s="11">
        <f>SUM(D57:D63)</f>
        <v/>
      </c>
      <c r="E64" s="11">
        <f>SUM(E57:E63)</f>
        <v/>
      </c>
      <c r="F64" s="11">
        <f>D64+E64</f>
        <v/>
      </c>
      <c r="G64" s="11">
        <f>SUM(G57:G63)</f>
        <v/>
      </c>
      <c r="H64" s="11">
        <f>SUM(H57:H63)</f>
        <v/>
      </c>
      <c r="I64" s="11">
        <f>G64+H64</f>
        <v/>
      </c>
      <c r="J64" s="11">
        <f>D64+G64</f>
        <v/>
      </c>
      <c r="K64" s="11">
        <f>E64+H64</f>
        <v/>
      </c>
      <c r="L64" s="11">
        <f>J64+K64</f>
        <v/>
      </c>
      <c r="M64" s="12">
        <f>IF(C64=0,0,L64/C64*100)</f>
        <v/>
      </c>
    </row>
    <row r="66">
      <c r="A66" s="13" t="inlineStr">
        <is>
          <t>Day 5 - 2026-10-09 (Fri 23 Aswin 2083)</t>
        </is>
      </c>
    </row>
    <row r="67">
      <c r="A67" s="6" t="inlineStr">
        <is>
          <t>Ward no.</t>
        </is>
      </c>
      <c r="B67" s="6" t="inlineStr">
        <is>
          <t>Total population</t>
        </is>
      </c>
      <c r="C67" s="6" t="inlineStr">
        <is>
          <t>JE target population</t>
        </is>
      </c>
      <c r="D67" s="6" t="inlineStr">
        <is>
          <t>Vaccinated</t>
        </is>
      </c>
      <c r="E67" s="6" t="n"/>
      <c r="F67" s="6" t="n"/>
      <c r="G67" s="6" t="n"/>
      <c r="H67" s="6" t="n"/>
      <c r="I67" s="6" t="n"/>
      <c r="J67" s="6" t="n"/>
      <c r="K67" s="6" t="n"/>
      <c r="L67" s="6" t="n"/>
      <c r="M67" s="6" t="inlineStr">
        <is>
          <t>Progress %</t>
        </is>
      </c>
    </row>
    <row r="68">
      <c r="A68" s="6" t="n"/>
      <c r="B68" s="6" t="n"/>
      <c r="C68" s="6" t="n"/>
      <c r="D68" s="6" t="inlineStr">
        <is>
          <t>Age 30-60 yrs</t>
        </is>
      </c>
      <c r="E68" s="6" t="n"/>
      <c r="F68" s="6" t="n"/>
      <c r="G68" s="6" t="inlineStr">
        <is>
          <t>Age 60 above</t>
        </is>
      </c>
      <c r="H68" s="6" t="n"/>
      <c r="I68" s="6" t="n"/>
      <c r="J68" s="6" t="inlineStr">
        <is>
          <t>Total</t>
        </is>
      </c>
      <c r="K68" s="6" t="n"/>
      <c r="L68" s="6" t="inlineStr">
        <is>
          <t>Grand Total</t>
        </is>
      </c>
      <c r="M68" s="6" t="n"/>
    </row>
    <row r="69">
      <c r="A69" s="6" t="n"/>
      <c r="B69" s="6" t="n"/>
      <c r="C69" s="6" t="n"/>
      <c r="D69" s="6" t="inlineStr">
        <is>
          <t>F</t>
        </is>
      </c>
      <c r="E69" s="6" t="inlineStr">
        <is>
          <t>M</t>
        </is>
      </c>
      <c r="F69" s="6" t="inlineStr">
        <is>
          <t>Total</t>
        </is>
      </c>
      <c r="G69" s="6" t="inlineStr">
        <is>
          <t>F</t>
        </is>
      </c>
      <c r="H69" s="6" t="inlineStr">
        <is>
          <t>M</t>
        </is>
      </c>
      <c r="I69" s="6" t="inlineStr">
        <is>
          <t>Total</t>
        </is>
      </c>
      <c r="J69" s="6" t="inlineStr">
        <is>
          <t>F</t>
        </is>
      </c>
      <c r="K69" s="6" t="inlineStr">
        <is>
          <t>M</t>
        </is>
      </c>
      <c r="L69" s="6" t="n"/>
      <c r="M69" s="6" t="n"/>
    </row>
    <row r="70">
      <c r="A70" s="7" t="n">
        <v>1</v>
      </c>
      <c r="B70" s="8">
        <f>B5</f>
        <v/>
      </c>
      <c r="C70" s="8">
        <f>C5</f>
        <v/>
      </c>
      <c r="D70" s="14" t="n"/>
      <c r="E70" s="14" t="n"/>
      <c r="F70" s="8">
        <f>D70+E70</f>
        <v/>
      </c>
      <c r="G70" s="14" t="n"/>
      <c r="H70" s="14" t="n"/>
      <c r="I70" s="8">
        <f>G70+H70</f>
        <v/>
      </c>
      <c r="J70" s="8">
        <f>D70+G70</f>
        <v/>
      </c>
      <c r="K70" s="8">
        <f>E70+H70</f>
        <v/>
      </c>
      <c r="L70" s="8">
        <f>J70+K70</f>
        <v/>
      </c>
      <c r="M70" s="9">
        <f>IF(C70=0,0,L70/C70*100)</f>
        <v/>
      </c>
    </row>
    <row r="71">
      <c r="A71" s="7" t="n">
        <v>2</v>
      </c>
      <c r="B71" s="8">
        <f>B6</f>
        <v/>
      </c>
      <c r="C71" s="8">
        <f>C6</f>
        <v/>
      </c>
      <c r="D71" s="14" t="n"/>
      <c r="E71" s="14" t="n"/>
      <c r="F71" s="8">
        <f>D71+E71</f>
        <v/>
      </c>
      <c r="G71" s="14" t="n"/>
      <c r="H71" s="14" t="n"/>
      <c r="I71" s="8">
        <f>G71+H71</f>
        <v/>
      </c>
      <c r="J71" s="8">
        <f>D71+G71</f>
        <v/>
      </c>
      <c r="K71" s="8">
        <f>E71+H71</f>
        <v/>
      </c>
      <c r="L71" s="8">
        <f>J71+K71</f>
        <v/>
      </c>
      <c r="M71" s="9">
        <f>IF(C71=0,0,L71/C71*100)</f>
        <v/>
      </c>
    </row>
    <row r="72">
      <c r="A72" s="7" t="n">
        <v>3</v>
      </c>
      <c r="B72" s="8">
        <f>B7</f>
        <v/>
      </c>
      <c r="C72" s="8">
        <f>C7</f>
        <v/>
      </c>
      <c r="D72" s="14" t="n"/>
      <c r="E72" s="14" t="n"/>
      <c r="F72" s="8">
        <f>D72+E72</f>
        <v/>
      </c>
      <c r="G72" s="14" t="n"/>
      <c r="H72" s="14" t="n"/>
      <c r="I72" s="8">
        <f>G72+H72</f>
        <v/>
      </c>
      <c r="J72" s="8">
        <f>D72+G72</f>
        <v/>
      </c>
      <c r="K72" s="8">
        <f>E72+H72</f>
        <v/>
      </c>
      <c r="L72" s="8">
        <f>J72+K72</f>
        <v/>
      </c>
      <c r="M72" s="9">
        <f>IF(C72=0,0,L72/C72*100)</f>
        <v/>
      </c>
    </row>
    <row r="73">
      <c r="A73" s="7" t="n">
        <v>4</v>
      </c>
      <c r="B73" s="8">
        <f>B8</f>
        <v/>
      </c>
      <c r="C73" s="8">
        <f>C8</f>
        <v/>
      </c>
      <c r="D73" s="14" t="n"/>
      <c r="E73" s="14" t="n"/>
      <c r="F73" s="8">
        <f>D73+E73</f>
        <v/>
      </c>
      <c r="G73" s="14" t="n"/>
      <c r="H73" s="14" t="n"/>
      <c r="I73" s="8">
        <f>G73+H73</f>
        <v/>
      </c>
      <c r="J73" s="8">
        <f>D73+G73</f>
        <v/>
      </c>
      <c r="K73" s="8">
        <f>E73+H73</f>
        <v/>
      </c>
      <c r="L73" s="8">
        <f>J73+K73</f>
        <v/>
      </c>
      <c r="M73" s="9">
        <f>IF(C73=0,0,L73/C73*100)</f>
        <v/>
      </c>
    </row>
    <row r="74">
      <c r="A74" s="7" t="n">
        <v>5</v>
      </c>
      <c r="B74" s="8">
        <f>B9</f>
        <v/>
      </c>
      <c r="C74" s="8">
        <f>C9</f>
        <v/>
      </c>
      <c r="D74" s="14" t="n"/>
      <c r="E74" s="14" t="n"/>
      <c r="F74" s="8">
        <f>D74+E74</f>
        <v/>
      </c>
      <c r="G74" s="14" t="n"/>
      <c r="H74" s="14" t="n"/>
      <c r="I74" s="8">
        <f>G74+H74</f>
        <v/>
      </c>
      <c r="J74" s="8">
        <f>D74+G74</f>
        <v/>
      </c>
      <c r="K74" s="8">
        <f>E74+H74</f>
        <v/>
      </c>
      <c r="L74" s="8">
        <f>J74+K74</f>
        <v/>
      </c>
      <c r="M74" s="9">
        <f>IF(C74=0,0,L74/C74*100)</f>
        <v/>
      </c>
    </row>
    <row r="75">
      <c r="A75" s="7" t="n">
        <v>6</v>
      </c>
      <c r="B75" s="8">
        <f>B10</f>
        <v/>
      </c>
      <c r="C75" s="8">
        <f>C10</f>
        <v/>
      </c>
      <c r="D75" s="14" t="n"/>
      <c r="E75" s="14" t="n"/>
      <c r="F75" s="8">
        <f>D75+E75</f>
        <v/>
      </c>
      <c r="G75" s="14" t="n"/>
      <c r="H75" s="14" t="n"/>
      <c r="I75" s="8">
        <f>G75+H75</f>
        <v/>
      </c>
      <c r="J75" s="8">
        <f>D75+G75</f>
        <v/>
      </c>
      <c r="K75" s="8">
        <f>E75+H75</f>
        <v/>
      </c>
      <c r="L75" s="8">
        <f>J75+K75</f>
        <v/>
      </c>
      <c r="M75" s="9">
        <f>IF(C75=0,0,L75/C75*100)</f>
        <v/>
      </c>
    </row>
    <row r="76">
      <c r="A76" s="7" t="n">
        <v>7</v>
      </c>
      <c r="B76" s="8">
        <f>B11</f>
        <v/>
      </c>
      <c r="C76" s="8">
        <f>C11</f>
        <v/>
      </c>
      <c r="D76" s="14" t="n"/>
      <c r="E76" s="14" t="n"/>
      <c r="F76" s="8">
        <f>D76+E76</f>
        <v/>
      </c>
      <c r="G76" s="14" t="n"/>
      <c r="H76" s="14" t="n"/>
      <c r="I76" s="8">
        <f>G76+H76</f>
        <v/>
      </c>
      <c r="J76" s="8">
        <f>D76+G76</f>
        <v/>
      </c>
      <c r="K76" s="8">
        <f>E76+H76</f>
        <v/>
      </c>
      <c r="L76" s="8">
        <f>J76+K76</f>
        <v/>
      </c>
      <c r="M76" s="9">
        <f>IF(C76=0,0,L76/C76*100)</f>
        <v/>
      </c>
    </row>
    <row r="77">
      <c r="A77" s="10" t="inlineStr">
        <is>
          <t>Total</t>
        </is>
      </c>
      <c r="B77" s="11">
        <f>SUM(B70:B76)</f>
        <v/>
      </c>
      <c r="C77" s="11">
        <f>SUM(C70:C76)</f>
        <v/>
      </c>
      <c r="D77" s="11">
        <f>SUM(D70:D76)</f>
        <v/>
      </c>
      <c r="E77" s="11">
        <f>SUM(E70:E76)</f>
        <v/>
      </c>
      <c r="F77" s="11">
        <f>D77+E77</f>
        <v/>
      </c>
      <c r="G77" s="11">
        <f>SUM(G70:G76)</f>
        <v/>
      </c>
      <c r="H77" s="11">
        <f>SUM(H70:H76)</f>
        <v/>
      </c>
      <c r="I77" s="11">
        <f>G77+H77</f>
        <v/>
      </c>
      <c r="J77" s="11">
        <f>D77+G77</f>
        <v/>
      </c>
      <c r="K77" s="11">
        <f>E77+H77</f>
        <v/>
      </c>
      <c r="L77" s="11">
        <f>J77+K77</f>
        <v/>
      </c>
      <c r="M77" s="12">
        <f>IF(C77=0,0,L77/C77*100)</f>
        <v/>
      </c>
    </row>
    <row r="79">
      <c r="A79" s="13" t="inlineStr">
        <is>
          <t>Day 6 - 2026-10-10 (Sat 24 Aswin 2083)</t>
        </is>
      </c>
    </row>
    <row r="80">
      <c r="A80" s="6" t="inlineStr">
        <is>
          <t>Ward no.</t>
        </is>
      </c>
      <c r="B80" s="6" t="inlineStr">
        <is>
          <t>Total population</t>
        </is>
      </c>
      <c r="C80" s="6" t="inlineStr">
        <is>
          <t>JE target population</t>
        </is>
      </c>
      <c r="D80" s="6" t="inlineStr">
        <is>
          <t>Vaccinated</t>
        </is>
      </c>
      <c r="E80" s="6" t="n"/>
      <c r="F80" s="6" t="n"/>
      <c r="G80" s="6" t="n"/>
      <c r="H80" s="6" t="n"/>
      <c r="I80" s="6" t="n"/>
      <c r="J80" s="6" t="n"/>
      <c r="K80" s="6" t="n"/>
      <c r="L80" s="6" t="n"/>
      <c r="M80" s="6" t="inlineStr">
        <is>
          <t>Progress %</t>
        </is>
      </c>
    </row>
    <row r="81">
      <c r="A81" s="6" t="n"/>
      <c r="B81" s="6" t="n"/>
      <c r="C81" s="6" t="n"/>
      <c r="D81" s="6" t="inlineStr">
        <is>
          <t>Age 30-60 yrs</t>
        </is>
      </c>
      <c r="E81" s="6" t="n"/>
      <c r="F81" s="6" t="n"/>
      <c r="G81" s="6" t="inlineStr">
        <is>
          <t>Age 60 above</t>
        </is>
      </c>
      <c r="H81" s="6" t="n"/>
      <c r="I81" s="6" t="n"/>
      <c r="J81" s="6" t="inlineStr">
        <is>
          <t>Total</t>
        </is>
      </c>
      <c r="K81" s="6" t="n"/>
      <c r="L81" s="6" t="inlineStr">
        <is>
          <t>Grand Total</t>
        </is>
      </c>
      <c r="M81" s="6" t="n"/>
    </row>
    <row r="82">
      <c r="A82" s="6" t="n"/>
      <c r="B82" s="6" t="n"/>
      <c r="C82" s="6" t="n"/>
      <c r="D82" s="6" t="inlineStr">
        <is>
          <t>F</t>
        </is>
      </c>
      <c r="E82" s="6" t="inlineStr">
        <is>
          <t>M</t>
        </is>
      </c>
      <c r="F82" s="6" t="inlineStr">
        <is>
          <t>Total</t>
        </is>
      </c>
      <c r="G82" s="6" t="inlineStr">
        <is>
          <t>F</t>
        </is>
      </c>
      <c r="H82" s="6" t="inlineStr">
        <is>
          <t>M</t>
        </is>
      </c>
      <c r="I82" s="6" t="inlineStr">
        <is>
          <t>Total</t>
        </is>
      </c>
      <c r="J82" s="6" t="inlineStr">
        <is>
          <t>F</t>
        </is>
      </c>
      <c r="K82" s="6" t="inlineStr">
        <is>
          <t>M</t>
        </is>
      </c>
      <c r="L82" s="6" t="n"/>
      <c r="M82" s="6" t="n"/>
    </row>
    <row r="83">
      <c r="A83" s="7" t="n">
        <v>1</v>
      </c>
      <c r="B83" s="8">
        <f>B5</f>
        <v/>
      </c>
      <c r="C83" s="8">
        <f>C5</f>
        <v/>
      </c>
      <c r="D83" s="14" t="n"/>
      <c r="E83" s="14" t="n"/>
      <c r="F83" s="8">
        <f>D83+E83</f>
        <v/>
      </c>
      <c r="G83" s="14" t="n"/>
      <c r="H83" s="14" t="n"/>
      <c r="I83" s="8">
        <f>G83+H83</f>
        <v/>
      </c>
      <c r="J83" s="8">
        <f>D83+G83</f>
        <v/>
      </c>
      <c r="K83" s="8">
        <f>E83+H83</f>
        <v/>
      </c>
      <c r="L83" s="8">
        <f>J83+K83</f>
        <v/>
      </c>
      <c r="M83" s="9">
        <f>IF(C83=0,0,L83/C83*100)</f>
        <v/>
      </c>
    </row>
    <row r="84">
      <c r="A84" s="7" t="n">
        <v>2</v>
      </c>
      <c r="B84" s="8">
        <f>B6</f>
        <v/>
      </c>
      <c r="C84" s="8">
        <f>C6</f>
        <v/>
      </c>
      <c r="D84" s="14" t="n"/>
      <c r="E84" s="14" t="n"/>
      <c r="F84" s="8">
        <f>D84+E84</f>
        <v/>
      </c>
      <c r="G84" s="14" t="n"/>
      <c r="H84" s="14" t="n"/>
      <c r="I84" s="8">
        <f>G84+H84</f>
        <v/>
      </c>
      <c r="J84" s="8">
        <f>D84+G84</f>
        <v/>
      </c>
      <c r="K84" s="8">
        <f>E84+H84</f>
        <v/>
      </c>
      <c r="L84" s="8">
        <f>J84+K84</f>
        <v/>
      </c>
      <c r="M84" s="9">
        <f>IF(C84=0,0,L84/C84*100)</f>
        <v/>
      </c>
    </row>
    <row r="85">
      <c r="A85" s="7" t="n">
        <v>3</v>
      </c>
      <c r="B85" s="8">
        <f>B7</f>
        <v/>
      </c>
      <c r="C85" s="8">
        <f>C7</f>
        <v/>
      </c>
      <c r="D85" s="14" t="n"/>
      <c r="E85" s="14" t="n"/>
      <c r="F85" s="8">
        <f>D85+E85</f>
        <v/>
      </c>
      <c r="G85" s="14" t="n"/>
      <c r="H85" s="14" t="n"/>
      <c r="I85" s="8">
        <f>G85+H85</f>
        <v/>
      </c>
      <c r="J85" s="8">
        <f>D85+G85</f>
        <v/>
      </c>
      <c r="K85" s="8">
        <f>E85+H85</f>
        <v/>
      </c>
      <c r="L85" s="8">
        <f>J85+K85</f>
        <v/>
      </c>
      <c r="M85" s="9">
        <f>IF(C85=0,0,L85/C85*100)</f>
        <v/>
      </c>
    </row>
    <row r="86">
      <c r="A86" s="7" t="n">
        <v>4</v>
      </c>
      <c r="B86" s="8">
        <f>B8</f>
        <v/>
      </c>
      <c r="C86" s="8">
        <f>C8</f>
        <v/>
      </c>
      <c r="D86" s="14" t="n"/>
      <c r="E86" s="14" t="n"/>
      <c r="F86" s="8">
        <f>D86+E86</f>
        <v/>
      </c>
      <c r="G86" s="14" t="n"/>
      <c r="H86" s="14" t="n"/>
      <c r="I86" s="8">
        <f>G86+H86</f>
        <v/>
      </c>
      <c r="J86" s="8">
        <f>D86+G86</f>
        <v/>
      </c>
      <c r="K86" s="8">
        <f>E86+H86</f>
        <v/>
      </c>
      <c r="L86" s="8">
        <f>J86+K86</f>
        <v/>
      </c>
      <c r="M86" s="9">
        <f>IF(C86=0,0,L86/C86*100)</f>
        <v/>
      </c>
    </row>
    <row r="87">
      <c r="A87" s="7" t="n">
        <v>5</v>
      </c>
      <c r="B87" s="8">
        <f>B9</f>
        <v/>
      </c>
      <c r="C87" s="8">
        <f>C9</f>
        <v/>
      </c>
      <c r="D87" s="14" t="n"/>
      <c r="E87" s="14" t="n"/>
      <c r="F87" s="8">
        <f>D87+E87</f>
        <v/>
      </c>
      <c r="G87" s="14" t="n"/>
      <c r="H87" s="14" t="n"/>
      <c r="I87" s="8">
        <f>G87+H87</f>
        <v/>
      </c>
      <c r="J87" s="8">
        <f>D87+G87</f>
        <v/>
      </c>
      <c r="K87" s="8">
        <f>E87+H87</f>
        <v/>
      </c>
      <c r="L87" s="8">
        <f>J87+K87</f>
        <v/>
      </c>
      <c r="M87" s="9">
        <f>IF(C87=0,0,L87/C87*100)</f>
        <v/>
      </c>
    </row>
    <row r="88">
      <c r="A88" s="7" t="n">
        <v>6</v>
      </c>
      <c r="B88" s="8">
        <f>B10</f>
        <v/>
      </c>
      <c r="C88" s="8">
        <f>C10</f>
        <v/>
      </c>
      <c r="D88" s="14" t="n"/>
      <c r="E88" s="14" t="n"/>
      <c r="F88" s="8">
        <f>D88+E88</f>
        <v/>
      </c>
      <c r="G88" s="14" t="n"/>
      <c r="H88" s="14" t="n"/>
      <c r="I88" s="8">
        <f>G88+H88</f>
        <v/>
      </c>
      <c r="J88" s="8">
        <f>D88+G88</f>
        <v/>
      </c>
      <c r="K88" s="8">
        <f>E88+H88</f>
        <v/>
      </c>
      <c r="L88" s="8">
        <f>J88+K88</f>
        <v/>
      </c>
      <c r="M88" s="9">
        <f>IF(C88=0,0,L88/C88*100)</f>
        <v/>
      </c>
    </row>
    <row r="89">
      <c r="A89" s="7" t="n">
        <v>7</v>
      </c>
      <c r="B89" s="8">
        <f>B11</f>
        <v/>
      </c>
      <c r="C89" s="8">
        <f>C11</f>
        <v/>
      </c>
      <c r="D89" s="14" t="n"/>
      <c r="E89" s="14" t="n"/>
      <c r="F89" s="8">
        <f>D89+E89</f>
        <v/>
      </c>
      <c r="G89" s="14" t="n"/>
      <c r="H89" s="14" t="n"/>
      <c r="I89" s="8">
        <f>G89+H89</f>
        <v/>
      </c>
      <c r="J89" s="8">
        <f>D89+G89</f>
        <v/>
      </c>
      <c r="K89" s="8">
        <f>E89+H89</f>
        <v/>
      </c>
      <c r="L89" s="8">
        <f>J89+K89</f>
        <v/>
      </c>
      <c r="M89" s="9">
        <f>IF(C89=0,0,L89/C89*100)</f>
        <v/>
      </c>
    </row>
    <row r="90">
      <c r="A90" s="10" t="inlineStr">
        <is>
          <t>Total</t>
        </is>
      </c>
      <c r="B90" s="11">
        <f>SUM(B83:B89)</f>
        <v/>
      </c>
      <c r="C90" s="11">
        <f>SUM(C83:C89)</f>
        <v/>
      </c>
      <c r="D90" s="11">
        <f>SUM(D83:D89)</f>
        <v/>
      </c>
      <c r="E90" s="11">
        <f>SUM(E83:E89)</f>
        <v/>
      </c>
      <c r="F90" s="11">
        <f>D90+E90</f>
        <v/>
      </c>
      <c r="G90" s="11">
        <f>SUM(G83:G89)</f>
        <v/>
      </c>
      <c r="H90" s="11">
        <f>SUM(H83:H89)</f>
        <v/>
      </c>
      <c r="I90" s="11">
        <f>G90+H90</f>
        <v/>
      </c>
      <c r="J90" s="11">
        <f>D90+G90</f>
        <v/>
      </c>
      <c r="K90" s="11">
        <f>E90+H90</f>
        <v/>
      </c>
      <c r="L90" s="11">
        <f>J90+K90</f>
        <v/>
      </c>
      <c r="M90" s="12">
        <f>IF(C90=0,0,L90/C90*100)</f>
        <v/>
      </c>
    </row>
    <row r="92">
      <c r="A92" s="13" t="inlineStr">
        <is>
          <t>Day 7 - 2026-10-11 (Sun 25 Aswin 2083)</t>
        </is>
      </c>
    </row>
    <row r="93">
      <c r="A93" s="6" t="inlineStr">
        <is>
          <t>Ward no.</t>
        </is>
      </c>
      <c r="B93" s="6" t="inlineStr">
        <is>
          <t>Total population</t>
        </is>
      </c>
      <c r="C93" s="6" t="inlineStr">
        <is>
          <t>JE target population</t>
        </is>
      </c>
      <c r="D93" s="6" t="inlineStr">
        <is>
          <t>Vaccinated</t>
        </is>
      </c>
      <c r="E93" s="6" t="n"/>
      <c r="F93" s="6" t="n"/>
      <c r="G93" s="6" t="n"/>
      <c r="H93" s="6" t="n"/>
      <c r="I93" s="6" t="n"/>
      <c r="J93" s="6" t="n"/>
      <c r="K93" s="6" t="n"/>
      <c r="L93" s="6" t="n"/>
      <c r="M93" s="6" t="inlineStr">
        <is>
          <t>Progress %</t>
        </is>
      </c>
    </row>
    <row r="94">
      <c r="A94" s="6" t="n"/>
      <c r="B94" s="6" t="n"/>
      <c r="C94" s="6" t="n"/>
      <c r="D94" s="6" t="inlineStr">
        <is>
          <t>Age 30-60 yrs</t>
        </is>
      </c>
      <c r="E94" s="6" t="n"/>
      <c r="F94" s="6" t="n"/>
      <c r="G94" s="6" t="inlineStr">
        <is>
          <t>Age 60 above</t>
        </is>
      </c>
      <c r="H94" s="6" t="n"/>
      <c r="I94" s="6" t="n"/>
      <c r="J94" s="6" t="inlineStr">
        <is>
          <t>Total</t>
        </is>
      </c>
      <c r="K94" s="6" t="n"/>
      <c r="L94" s="6" t="inlineStr">
        <is>
          <t>Grand Total</t>
        </is>
      </c>
      <c r="M94" s="6" t="n"/>
    </row>
    <row r="95">
      <c r="A95" s="6" t="n"/>
      <c r="B95" s="6" t="n"/>
      <c r="C95" s="6" t="n"/>
      <c r="D95" s="6" t="inlineStr">
        <is>
          <t>F</t>
        </is>
      </c>
      <c r="E95" s="6" t="inlineStr">
        <is>
          <t>M</t>
        </is>
      </c>
      <c r="F95" s="6" t="inlineStr">
        <is>
          <t>Total</t>
        </is>
      </c>
      <c r="G95" s="6" t="inlineStr">
        <is>
          <t>F</t>
        </is>
      </c>
      <c r="H95" s="6" t="inlineStr">
        <is>
          <t>M</t>
        </is>
      </c>
      <c r="I95" s="6" t="inlineStr">
        <is>
          <t>Total</t>
        </is>
      </c>
      <c r="J95" s="6" t="inlineStr">
        <is>
          <t>F</t>
        </is>
      </c>
      <c r="K95" s="6" t="inlineStr">
        <is>
          <t>M</t>
        </is>
      </c>
      <c r="L95" s="6" t="n"/>
      <c r="M95" s="6" t="n"/>
    </row>
    <row r="96">
      <c r="A96" s="7" t="n">
        <v>1</v>
      </c>
      <c r="B96" s="8">
        <f>B5</f>
        <v/>
      </c>
      <c r="C96" s="8">
        <f>C5</f>
        <v/>
      </c>
      <c r="D96" s="14" t="n"/>
      <c r="E96" s="14" t="n"/>
      <c r="F96" s="8">
        <f>D96+E96</f>
        <v/>
      </c>
      <c r="G96" s="14" t="n"/>
      <c r="H96" s="14" t="n"/>
      <c r="I96" s="8">
        <f>G96+H96</f>
        <v/>
      </c>
      <c r="J96" s="8">
        <f>D96+G96</f>
        <v/>
      </c>
      <c r="K96" s="8">
        <f>E96+H96</f>
        <v/>
      </c>
      <c r="L96" s="8">
        <f>J96+K96</f>
        <v/>
      </c>
      <c r="M96" s="9">
        <f>IF(C96=0,0,L96/C96*100)</f>
        <v/>
      </c>
    </row>
    <row r="97">
      <c r="A97" s="7" t="n">
        <v>2</v>
      </c>
      <c r="B97" s="8">
        <f>B6</f>
        <v/>
      </c>
      <c r="C97" s="8">
        <f>C6</f>
        <v/>
      </c>
      <c r="D97" s="14" t="n"/>
      <c r="E97" s="14" t="n"/>
      <c r="F97" s="8">
        <f>D97+E97</f>
        <v/>
      </c>
      <c r="G97" s="14" t="n"/>
      <c r="H97" s="14" t="n"/>
      <c r="I97" s="8">
        <f>G97+H97</f>
        <v/>
      </c>
      <c r="J97" s="8">
        <f>D97+G97</f>
        <v/>
      </c>
      <c r="K97" s="8">
        <f>E97+H97</f>
        <v/>
      </c>
      <c r="L97" s="8">
        <f>J97+K97</f>
        <v/>
      </c>
      <c r="M97" s="9">
        <f>IF(C97=0,0,L97/C97*100)</f>
        <v/>
      </c>
    </row>
    <row r="98">
      <c r="A98" s="7" t="n">
        <v>3</v>
      </c>
      <c r="B98" s="8">
        <f>B7</f>
        <v/>
      </c>
      <c r="C98" s="8">
        <f>C7</f>
        <v/>
      </c>
      <c r="D98" s="14" t="n"/>
      <c r="E98" s="14" t="n"/>
      <c r="F98" s="8">
        <f>D98+E98</f>
        <v/>
      </c>
      <c r="G98" s="14" t="n"/>
      <c r="H98" s="14" t="n"/>
      <c r="I98" s="8">
        <f>G98+H98</f>
        <v/>
      </c>
      <c r="J98" s="8">
        <f>D98+G98</f>
        <v/>
      </c>
      <c r="K98" s="8">
        <f>E98+H98</f>
        <v/>
      </c>
      <c r="L98" s="8">
        <f>J98+K98</f>
        <v/>
      </c>
      <c r="M98" s="9">
        <f>IF(C98=0,0,L98/C98*100)</f>
        <v/>
      </c>
    </row>
    <row r="99">
      <c r="A99" s="7" t="n">
        <v>4</v>
      </c>
      <c r="B99" s="8">
        <f>B8</f>
        <v/>
      </c>
      <c r="C99" s="8">
        <f>C8</f>
        <v/>
      </c>
      <c r="D99" s="14" t="n"/>
      <c r="E99" s="14" t="n"/>
      <c r="F99" s="8">
        <f>D99+E99</f>
        <v/>
      </c>
      <c r="G99" s="14" t="n"/>
      <c r="H99" s="14" t="n"/>
      <c r="I99" s="8">
        <f>G99+H99</f>
        <v/>
      </c>
      <c r="J99" s="8">
        <f>D99+G99</f>
        <v/>
      </c>
      <c r="K99" s="8">
        <f>E99+H99</f>
        <v/>
      </c>
      <c r="L99" s="8">
        <f>J99+K99</f>
        <v/>
      </c>
      <c r="M99" s="9">
        <f>IF(C99=0,0,L99/C99*100)</f>
        <v/>
      </c>
    </row>
    <row r="100">
      <c r="A100" s="7" t="n">
        <v>5</v>
      </c>
      <c r="B100" s="8">
        <f>B9</f>
        <v/>
      </c>
      <c r="C100" s="8">
        <f>C9</f>
        <v/>
      </c>
      <c r="D100" s="14" t="n"/>
      <c r="E100" s="14" t="n"/>
      <c r="F100" s="8">
        <f>D100+E100</f>
        <v/>
      </c>
      <c r="G100" s="14" t="n"/>
      <c r="H100" s="14" t="n"/>
      <c r="I100" s="8">
        <f>G100+H100</f>
        <v/>
      </c>
      <c r="J100" s="8">
        <f>D100+G100</f>
        <v/>
      </c>
      <c r="K100" s="8">
        <f>E100+H100</f>
        <v/>
      </c>
      <c r="L100" s="8">
        <f>J100+K100</f>
        <v/>
      </c>
      <c r="M100" s="9">
        <f>IF(C100=0,0,L100/C100*100)</f>
        <v/>
      </c>
    </row>
    <row r="101">
      <c r="A101" s="7" t="n">
        <v>6</v>
      </c>
      <c r="B101" s="8">
        <f>B10</f>
        <v/>
      </c>
      <c r="C101" s="8">
        <f>C10</f>
        <v/>
      </c>
      <c r="D101" s="14" t="n"/>
      <c r="E101" s="14" t="n"/>
      <c r="F101" s="8">
        <f>D101+E101</f>
        <v/>
      </c>
      <c r="G101" s="14" t="n"/>
      <c r="H101" s="14" t="n"/>
      <c r="I101" s="8">
        <f>G101+H101</f>
        <v/>
      </c>
      <c r="J101" s="8">
        <f>D101+G101</f>
        <v/>
      </c>
      <c r="K101" s="8">
        <f>E101+H101</f>
        <v/>
      </c>
      <c r="L101" s="8">
        <f>J101+K101</f>
        <v/>
      </c>
      <c r="M101" s="9">
        <f>IF(C101=0,0,L101/C101*100)</f>
        <v/>
      </c>
    </row>
    <row r="102">
      <c r="A102" s="7" t="n">
        <v>7</v>
      </c>
      <c r="B102" s="8">
        <f>B11</f>
        <v/>
      </c>
      <c r="C102" s="8">
        <f>C11</f>
        <v/>
      </c>
      <c r="D102" s="14" t="n"/>
      <c r="E102" s="14" t="n"/>
      <c r="F102" s="8">
        <f>D102+E102</f>
        <v/>
      </c>
      <c r="G102" s="14" t="n"/>
      <c r="H102" s="14" t="n"/>
      <c r="I102" s="8">
        <f>G102+H102</f>
        <v/>
      </c>
      <c r="J102" s="8">
        <f>D102+G102</f>
        <v/>
      </c>
      <c r="K102" s="8">
        <f>E102+H102</f>
        <v/>
      </c>
      <c r="L102" s="8">
        <f>J102+K102</f>
        <v/>
      </c>
      <c r="M102" s="9">
        <f>IF(C102=0,0,L102/C102*100)</f>
        <v/>
      </c>
    </row>
    <row r="103">
      <c r="A103" s="10" t="inlineStr">
        <is>
          <t>Total</t>
        </is>
      </c>
      <c r="B103" s="11">
        <f>SUM(B96:B102)</f>
        <v/>
      </c>
      <c r="C103" s="11">
        <f>SUM(C96:C102)</f>
        <v/>
      </c>
      <c r="D103" s="11">
        <f>SUM(D96:D102)</f>
        <v/>
      </c>
      <c r="E103" s="11">
        <f>SUM(E96:E102)</f>
        <v/>
      </c>
      <c r="F103" s="11">
        <f>D103+E103</f>
        <v/>
      </c>
      <c r="G103" s="11">
        <f>SUM(G96:G102)</f>
        <v/>
      </c>
      <c r="H103" s="11">
        <f>SUM(H96:H102)</f>
        <v/>
      </c>
      <c r="I103" s="11">
        <f>G103+H103</f>
        <v/>
      </c>
      <c r="J103" s="11">
        <f>D103+G103</f>
        <v/>
      </c>
      <c r="K103" s="11">
        <f>E103+H103</f>
        <v/>
      </c>
      <c r="L103" s="11">
        <f>J103+K103</f>
        <v/>
      </c>
      <c r="M103" s="12">
        <f>IF(C103=0,0,L103/C103*100)</f>
        <v/>
      </c>
    </row>
    <row r="105">
      <c r="A105" s="13" t="inlineStr">
        <is>
          <t>Day 8 - 2026-10-12 (Mon 26 Aswin 2083)</t>
        </is>
      </c>
    </row>
    <row r="106">
      <c r="A106" s="6" t="inlineStr">
        <is>
          <t>Ward no.</t>
        </is>
      </c>
      <c r="B106" s="6" t="inlineStr">
        <is>
          <t>Total population</t>
        </is>
      </c>
      <c r="C106" s="6" t="inlineStr">
        <is>
          <t>JE target population</t>
        </is>
      </c>
      <c r="D106" s="6" t="inlineStr">
        <is>
          <t>Vaccinated</t>
        </is>
      </c>
      <c r="E106" s="6" t="n"/>
      <c r="F106" s="6" t="n"/>
      <c r="G106" s="6" t="n"/>
      <c r="H106" s="6" t="n"/>
      <c r="I106" s="6" t="n"/>
      <c r="J106" s="6" t="n"/>
      <c r="K106" s="6" t="n"/>
      <c r="L106" s="6" t="n"/>
      <c r="M106" s="6" t="inlineStr">
        <is>
          <t>Progress %</t>
        </is>
      </c>
    </row>
    <row r="107">
      <c r="A107" s="6" t="n"/>
      <c r="B107" s="6" t="n"/>
      <c r="C107" s="6" t="n"/>
      <c r="D107" s="6" t="inlineStr">
        <is>
          <t>Age 30-60 yrs</t>
        </is>
      </c>
      <c r="E107" s="6" t="n"/>
      <c r="F107" s="6" t="n"/>
      <c r="G107" s="6" t="inlineStr">
        <is>
          <t>Age 60 above</t>
        </is>
      </c>
      <c r="H107" s="6" t="n"/>
      <c r="I107" s="6" t="n"/>
      <c r="J107" s="6" t="inlineStr">
        <is>
          <t>Total</t>
        </is>
      </c>
      <c r="K107" s="6" t="n"/>
      <c r="L107" s="6" t="inlineStr">
        <is>
          <t>Grand Total</t>
        </is>
      </c>
      <c r="M107" s="6" t="n"/>
    </row>
    <row r="108">
      <c r="A108" s="6" t="n"/>
      <c r="B108" s="6" t="n"/>
      <c r="C108" s="6" t="n"/>
      <c r="D108" s="6" t="inlineStr">
        <is>
          <t>F</t>
        </is>
      </c>
      <c r="E108" s="6" t="inlineStr">
        <is>
          <t>M</t>
        </is>
      </c>
      <c r="F108" s="6" t="inlineStr">
        <is>
          <t>Total</t>
        </is>
      </c>
      <c r="G108" s="6" t="inlineStr">
        <is>
          <t>F</t>
        </is>
      </c>
      <c r="H108" s="6" t="inlineStr">
        <is>
          <t>M</t>
        </is>
      </c>
      <c r="I108" s="6" t="inlineStr">
        <is>
          <t>Total</t>
        </is>
      </c>
      <c r="J108" s="6" t="inlineStr">
        <is>
          <t>F</t>
        </is>
      </c>
      <c r="K108" s="6" t="inlineStr">
        <is>
          <t>M</t>
        </is>
      </c>
      <c r="L108" s="6" t="n"/>
      <c r="M108" s="6" t="n"/>
    </row>
    <row r="109">
      <c r="A109" s="7" t="n">
        <v>1</v>
      </c>
      <c r="B109" s="8">
        <f>B5</f>
        <v/>
      </c>
      <c r="C109" s="8">
        <f>C5</f>
        <v/>
      </c>
      <c r="D109" s="14" t="n"/>
      <c r="E109" s="14" t="n"/>
      <c r="F109" s="8">
        <f>D109+E109</f>
        <v/>
      </c>
      <c r="G109" s="14" t="n"/>
      <c r="H109" s="14" t="n"/>
      <c r="I109" s="8">
        <f>G109+H109</f>
        <v/>
      </c>
      <c r="J109" s="8">
        <f>D109+G109</f>
        <v/>
      </c>
      <c r="K109" s="8">
        <f>E109+H109</f>
        <v/>
      </c>
      <c r="L109" s="8">
        <f>J109+K109</f>
        <v/>
      </c>
      <c r="M109" s="9">
        <f>IF(C109=0,0,L109/C109*100)</f>
        <v/>
      </c>
    </row>
    <row r="110">
      <c r="A110" s="7" t="n">
        <v>2</v>
      </c>
      <c r="B110" s="8">
        <f>B6</f>
        <v/>
      </c>
      <c r="C110" s="8">
        <f>C6</f>
        <v/>
      </c>
      <c r="D110" s="14" t="n"/>
      <c r="E110" s="14" t="n"/>
      <c r="F110" s="8">
        <f>D110+E110</f>
        <v/>
      </c>
      <c r="G110" s="14" t="n"/>
      <c r="H110" s="14" t="n"/>
      <c r="I110" s="8">
        <f>G110+H110</f>
        <v/>
      </c>
      <c r="J110" s="8">
        <f>D110+G110</f>
        <v/>
      </c>
      <c r="K110" s="8">
        <f>E110+H110</f>
        <v/>
      </c>
      <c r="L110" s="8">
        <f>J110+K110</f>
        <v/>
      </c>
      <c r="M110" s="9">
        <f>IF(C110=0,0,L110/C110*100)</f>
        <v/>
      </c>
    </row>
    <row r="111">
      <c r="A111" s="7" t="n">
        <v>3</v>
      </c>
      <c r="B111" s="8">
        <f>B7</f>
        <v/>
      </c>
      <c r="C111" s="8">
        <f>C7</f>
        <v/>
      </c>
      <c r="D111" s="14" t="n"/>
      <c r="E111" s="14" t="n"/>
      <c r="F111" s="8">
        <f>D111+E111</f>
        <v/>
      </c>
      <c r="G111" s="14" t="n"/>
      <c r="H111" s="14" t="n"/>
      <c r="I111" s="8">
        <f>G111+H111</f>
        <v/>
      </c>
      <c r="J111" s="8">
        <f>D111+G111</f>
        <v/>
      </c>
      <c r="K111" s="8">
        <f>E111+H111</f>
        <v/>
      </c>
      <c r="L111" s="8">
        <f>J111+K111</f>
        <v/>
      </c>
      <c r="M111" s="9">
        <f>IF(C111=0,0,L111/C111*100)</f>
        <v/>
      </c>
    </row>
    <row r="112">
      <c r="A112" s="7" t="n">
        <v>4</v>
      </c>
      <c r="B112" s="8">
        <f>B8</f>
        <v/>
      </c>
      <c r="C112" s="8">
        <f>C8</f>
        <v/>
      </c>
      <c r="D112" s="14" t="n"/>
      <c r="E112" s="14" t="n"/>
      <c r="F112" s="8">
        <f>D112+E112</f>
        <v/>
      </c>
      <c r="G112" s="14" t="n"/>
      <c r="H112" s="14" t="n"/>
      <c r="I112" s="8">
        <f>G112+H112</f>
        <v/>
      </c>
      <c r="J112" s="8">
        <f>D112+G112</f>
        <v/>
      </c>
      <c r="K112" s="8">
        <f>E112+H112</f>
        <v/>
      </c>
      <c r="L112" s="8">
        <f>J112+K112</f>
        <v/>
      </c>
      <c r="M112" s="9">
        <f>IF(C112=0,0,L112/C112*100)</f>
        <v/>
      </c>
    </row>
    <row r="113">
      <c r="A113" s="7" t="n">
        <v>5</v>
      </c>
      <c r="B113" s="8">
        <f>B9</f>
        <v/>
      </c>
      <c r="C113" s="8">
        <f>C9</f>
        <v/>
      </c>
      <c r="D113" s="14" t="n"/>
      <c r="E113" s="14" t="n"/>
      <c r="F113" s="8">
        <f>D113+E113</f>
        <v/>
      </c>
      <c r="G113" s="14" t="n"/>
      <c r="H113" s="14" t="n"/>
      <c r="I113" s="8">
        <f>G113+H113</f>
        <v/>
      </c>
      <c r="J113" s="8">
        <f>D113+G113</f>
        <v/>
      </c>
      <c r="K113" s="8">
        <f>E113+H113</f>
        <v/>
      </c>
      <c r="L113" s="8">
        <f>J113+K113</f>
        <v/>
      </c>
      <c r="M113" s="9">
        <f>IF(C113=0,0,L113/C113*100)</f>
        <v/>
      </c>
    </row>
    <row r="114">
      <c r="A114" s="7" t="n">
        <v>6</v>
      </c>
      <c r="B114" s="8">
        <f>B10</f>
        <v/>
      </c>
      <c r="C114" s="8">
        <f>C10</f>
        <v/>
      </c>
      <c r="D114" s="14" t="n"/>
      <c r="E114" s="14" t="n"/>
      <c r="F114" s="8">
        <f>D114+E114</f>
        <v/>
      </c>
      <c r="G114" s="14" t="n"/>
      <c r="H114" s="14" t="n"/>
      <c r="I114" s="8">
        <f>G114+H114</f>
        <v/>
      </c>
      <c r="J114" s="8">
        <f>D114+G114</f>
        <v/>
      </c>
      <c r="K114" s="8">
        <f>E114+H114</f>
        <v/>
      </c>
      <c r="L114" s="8">
        <f>J114+K114</f>
        <v/>
      </c>
      <c r="M114" s="9">
        <f>IF(C114=0,0,L114/C114*100)</f>
        <v/>
      </c>
    </row>
    <row r="115">
      <c r="A115" s="7" t="n">
        <v>7</v>
      </c>
      <c r="B115" s="8">
        <f>B11</f>
        <v/>
      </c>
      <c r="C115" s="8">
        <f>C11</f>
        <v/>
      </c>
      <c r="D115" s="14" t="n"/>
      <c r="E115" s="14" t="n"/>
      <c r="F115" s="8">
        <f>D115+E115</f>
        <v/>
      </c>
      <c r="G115" s="14" t="n"/>
      <c r="H115" s="14" t="n"/>
      <c r="I115" s="8">
        <f>G115+H115</f>
        <v/>
      </c>
      <c r="J115" s="8">
        <f>D115+G115</f>
        <v/>
      </c>
      <c r="K115" s="8">
        <f>E115+H115</f>
        <v/>
      </c>
      <c r="L115" s="8">
        <f>J115+K115</f>
        <v/>
      </c>
      <c r="M115" s="9">
        <f>IF(C115=0,0,L115/C115*100)</f>
        <v/>
      </c>
    </row>
    <row r="116">
      <c r="A116" s="10" t="inlineStr">
        <is>
          <t>Total</t>
        </is>
      </c>
      <c r="B116" s="11">
        <f>SUM(B109:B115)</f>
        <v/>
      </c>
      <c r="C116" s="11">
        <f>SUM(C109:C115)</f>
        <v/>
      </c>
      <c r="D116" s="11">
        <f>SUM(D109:D115)</f>
        <v/>
      </c>
      <c r="E116" s="11">
        <f>SUM(E109:E115)</f>
        <v/>
      </c>
      <c r="F116" s="11">
        <f>D116+E116</f>
        <v/>
      </c>
      <c r="G116" s="11">
        <f>SUM(G109:G115)</f>
        <v/>
      </c>
      <c r="H116" s="11">
        <f>SUM(H109:H115)</f>
        <v/>
      </c>
      <c r="I116" s="11">
        <f>G116+H116</f>
        <v/>
      </c>
      <c r="J116" s="11">
        <f>D116+G116</f>
        <v/>
      </c>
      <c r="K116" s="11">
        <f>E116+H116</f>
        <v/>
      </c>
      <c r="L116" s="11">
        <f>J116+K116</f>
        <v/>
      </c>
      <c r="M116" s="12">
        <f>IF(C116=0,0,L116/C116*100)</f>
        <v/>
      </c>
    </row>
    <row r="118">
      <c r="A118" s="13" t="inlineStr">
        <is>
          <t>Day 9 - 2026-10-13 (Tue 27 Aswin 2083)</t>
        </is>
      </c>
    </row>
    <row r="119">
      <c r="A119" s="6" t="inlineStr">
        <is>
          <t>Ward no.</t>
        </is>
      </c>
      <c r="B119" s="6" t="inlineStr">
        <is>
          <t>Total population</t>
        </is>
      </c>
      <c r="C119" s="6" t="inlineStr">
        <is>
          <t>JE target population</t>
        </is>
      </c>
      <c r="D119" s="6" t="inlineStr">
        <is>
          <t>Vaccinated</t>
        </is>
      </c>
      <c r="E119" s="6" t="n"/>
      <c r="F119" s="6" t="n"/>
      <c r="G119" s="6" t="n"/>
      <c r="H119" s="6" t="n"/>
      <c r="I119" s="6" t="n"/>
      <c r="J119" s="6" t="n"/>
      <c r="K119" s="6" t="n"/>
      <c r="L119" s="6" t="n"/>
      <c r="M119" s="6" t="inlineStr">
        <is>
          <t>Progress %</t>
        </is>
      </c>
    </row>
    <row r="120">
      <c r="A120" s="6" t="n"/>
      <c r="B120" s="6" t="n"/>
      <c r="C120" s="6" t="n"/>
      <c r="D120" s="6" t="inlineStr">
        <is>
          <t>Age 30-60 yrs</t>
        </is>
      </c>
      <c r="E120" s="6" t="n"/>
      <c r="F120" s="6" t="n"/>
      <c r="G120" s="6" t="inlineStr">
        <is>
          <t>Age 60 above</t>
        </is>
      </c>
      <c r="H120" s="6" t="n"/>
      <c r="I120" s="6" t="n"/>
      <c r="J120" s="6" t="inlineStr">
        <is>
          <t>Total</t>
        </is>
      </c>
      <c r="K120" s="6" t="n"/>
      <c r="L120" s="6" t="inlineStr">
        <is>
          <t>Grand Total</t>
        </is>
      </c>
      <c r="M120" s="6" t="n"/>
    </row>
    <row r="121">
      <c r="A121" s="6" t="n"/>
      <c r="B121" s="6" t="n"/>
      <c r="C121" s="6" t="n"/>
      <c r="D121" s="6" t="inlineStr">
        <is>
          <t>F</t>
        </is>
      </c>
      <c r="E121" s="6" t="inlineStr">
        <is>
          <t>M</t>
        </is>
      </c>
      <c r="F121" s="6" t="inlineStr">
        <is>
          <t>Total</t>
        </is>
      </c>
      <c r="G121" s="6" t="inlineStr">
        <is>
          <t>F</t>
        </is>
      </c>
      <c r="H121" s="6" t="inlineStr">
        <is>
          <t>M</t>
        </is>
      </c>
      <c r="I121" s="6" t="inlineStr">
        <is>
          <t>Total</t>
        </is>
      </c>
      <c r="J121" s="6" t="inlineStr">
        <is>
          <t>F</t>
        </is>
      </c>
      <c r="K121" s="6" t="inlineStr">
        <is>
          <t>M</t>
        </is>
      </c>
      <c r="L121" s="6" t="n"/>
      <c r="M121" s="6" t="n"/>
    </row>
    <row r="122">
      <c r="A122" s="7" t="n">
        <v>1</v>
      </c>
      <c r="B122" s="8">
        <f>B5</f>
        <v/>
      </c>
      <c r="C122" s="8">
        <f>C5</f>
        <v/>
      </c>
      <c r="D122" s="14" t="n"/>
      <c r="E122" s="14" t="n"/>
      <c r="F122" s="8">
        <f>D122+E122</f>
        <v/>
      </c>
      <c r="G122" s="14" t="n"/>
      <c r="H122" s="14" t="n"/>
      <c r="I122" s="8">
        <f>G122+H122</f>
        <v/>
      </c>
      <c r="J122" s="8">
        <f>D122+G122</f>
        <v/>
      </c>
      <c r="K122" s="8">
        <f>E122+H122</f>
        <v/>
      </c>
      <c r="L122" s="8">
        <f>J122+K122</f>
        <v/>
      </c>
      <c r="M122" s="9">
        <f>IF(C122=0,0,L122/C122*100)</f>
        <v/>
      </c>
    </row>
    <row r="123">
      <c r="A123" s="7" t="n">
        <v>2</v>
      </c>
      <c r="B123" s="8">
        <f>B6</f>
        <v/>
      </c>
      <c r="C123" s="8">
        <f>C6</f>
        <v/>
      </c>
      <c r="D123" s="14" t="n"/>
      <c r="E123" s="14" t="n"/>
      <c r="F123" s="8">
        <f>D123+E123</f>
        <v/>
      </c>
      <c r="G123" s="14" t="n"/>
      <c r="H123" s="14" t="n"/>
      <c r="I123" s="8">
        <f>G123+H123</f>
        <v/>
      </c>
      <c r="J123" s="8">
        <f>D123+G123</f>
        <v/>
      </c>
      <c r="K123" s="8">
        <f>E123+H123</f>
        <v/>
      </c>
      <c r="L123" s="8">
        <f>J123+K123</f>
        <v/>
      </c>
      <c r="M123" s="9">
        <f>IF(C123=0,0,L123/C123*100)</f>
        <v/>
      </c>
    </row>
    <row r="124">
      <c r="A124" s="7" t="n">
        <v>3</v>
      </c>
      <c r="B124" s="8">
        <f>B7</f>
        <v/>
      </c>
      <c r="C124" s="8">
        <f>C7</f>
        <v/>
      </c>
      <c r="D124" s="14" t="n"/>
      <c r="E124" s="14" t="n"/>
      <c r="F124" s="8">
        <f>D124+E124</f>
        <v/>
      </c>
      <c r="G124" s="14" t="n"/>
      <c r="H124" s="14" t="n"/>
      <c r="I124" s="8">
        <f>G124+H124</f>
        <v/>
      </c>
      <c r="J124" s="8">
        <f>D124+G124</f>
        <v/>
      </c>
      <c r="K124" s="8">
        <f>E124+H124</f>
        <v/>
      </c>
      <c r="L124" s="8">
        <f>J124+K124</f>
        <v/>
      </c>
      <c r="M124" s="9">
        <f>IF(C124=0,0,L124/C124*100)</f>
        <v/>
      </c>
    </row>
    <row r="125">
      <c r="A125" s="7" t="n">
        <v>4</v>
      </c>
      <c r="B125" s="8">
        <f>B8</f>
        <v/>
      </c>
      <c r="C125" s="8">
        <f>C8</f>
        <v/>
      </c>
      <c r="D125" s="14" t="n"/>
      <c r="E125" s="14" t="n"/>
      <c r="F125" s="8">
        <f>D125+E125</f>
        <v/>
      </c>
      <c r="G125" s="14" t="n"/>
      <c r="H125" s="14" t="n"/>
      <c r="I125" s="8">
        <f>G125+H125</f>
        <v/>
      </c>
      <c r="J125" s="8">
        <f>D125+G125</f>
        <v/>
      </c>
      <c r="K125" s="8">
        <f>E125+H125</f>
        <v/>
      </c>
      <c r="L125" s="8">
        <f>J125+K125</f>
        <v/>
      </c>
      <c r="M125" s="9">
        <f>IF(C125=0,0,L125/C125*100)</f>
        <v/>
      </c>
    </row>
    <row r="126">
      <c r="A126" s="7" t="n">
        <v>5</v>
      </c>
      <c r="B126" s="8">
        <f>B9</f>
        <v/>
      </c>
      <c r="C126" s="8">
        <f>C9</f>
        <v/>
      </c>
      <c r="D126" s="14" t="n"/>
      <c r="E126" s="14" t="n"/>
      <c r="F126" s="8">
        <f>D126+E126</f>
        <v/>
      </c>
      <c r="G126" s="14" t="n"/>
      <c r="H126" s="14" t="n"/>
      <c r="I126" s="8">
        <f>G126+H126</f>
        <v/>
      </c>
      <c r="J126" s="8">
        <f>D126+G126</f>
        <v/>
      </c>
      <c r="K126" s="8">
        <f>E126+H126</f>
        <v/>
      </c>
      <c r="L126" s="8">
        <f>J126+K126</f>
        <v/>
      </c>
      <c r="M126" s="9">
        <f>IF(C126=0,0,L126/C126*100)</f>
        <v/>
      </c>
    </row>
    <row r="127">
      <c r="A127" s="7" t="n">
        <v>6</v>
      </c>
      <c r="B127" s="8">
        <f>B10</f>
        <v/>
      </c>
      <c r="C127" s="8">
        <f>C10</f>
        <v/>
      </c>
      <c r="D127" s="14" t="n"/>
      <c r="E127" s="14" t="n"/>
      <c r="F127" s="8">
        <f>D127+E127</f>
        <v/>
      </c>
      <c r="G127" s="14" t="n"/>
      <c r="H127" s="14" t="n"/>
      <c r="I127" s="8">
        <f>G127+H127</f>
        <v/>
      </c>
      <c r="J127" s="8">
        <f>D127+G127</f>
        <v/>
      </c>
      <c r="K127" s="8">
        <f>E127+H127</f>
        <v/>
      </c>
      <c r="L127" s="8">
        <f>J127+K127</f>
        <v/>
      </c>
      <c r="M127" s="9">
        <f>IF(C127=0,0,L127/C127*100)</f>
        <v/>
      </c>
    </row>
    <row r="128">
      <c r="A128" s="7" t="n">
        <v>7</v>
      </c>
      <c r="B128" s="8">
        <f>B11</f>
        <v/>
      </c>
      <c r="C128" s="8">
        <f>C11</f>
        <v/>
      </c>
      <c r="D128" s="14" t="n"/>
      <c r="E128" s="14" t="n"/>
      <c r="F128" s="8">
        <f>D128+E128</f>
        <v/>
      </c>
      <c r="G128" s="14" t="n"/>
      <c r="H128" s="14" t="n"/>
      <c r="I128" s="8">
        <f>G128+H128</f>
        <v/>
      </c>
      <c r="J128" s="8">
        <f>D128+G128</f>
        <v/>
      </c>
      <c r="K128" s="8">
        <f>E128+H128</f>
        <v/>
      </c>
      <c r="L128" s="8">
        <f>J128+K128</f>
        <v/>
      </c>
      <c r="M128" s="9">
        <f>IF(C128=0,0,L128/C128*100)</f>
        <v/>
      </c>
    </row>
    <row r="129">
      <c r="A129" s="10" t="inlineStr">
        <is>
          <t>Total</t>
        </is>
      </c>
      <c r="B129" s="11">
        <f>SUM(B122:B128)</f>
        <v/>
      </c>
      <c r="C129" s="11">
        <f>SUM(C122:C128)</f>
        <v/>
      </c>
      <c r="D129" s="11">
        <f>SUM(D122:D128)</f>
        <v/>
      </c>
      <c r="E129" s="11">
        <f>SUM(E122:E128)</f>
        <v/>
      </c>
      <c r="F129" s="11">
        <f>D129+E129</f>
        <v/>
      </c>
      <c r="G129" s="11">
        <f>SUM(G122:G128)</f>
        <v/>
      </c>
      <c r="H129" s="11">
        <f>SUM(H122:H128)</f>
        <v/>
      </c>
      <c r="I129" s="11">
        <f>G129+H129</f>
        <v/>
      </c>
      <c r="J129" s="11">
        <f>D129+G129</f>
        <v/>
      </c>
      <c r="K129" s="11">
        <f>E129+H129</f>
        <v/>
      </c>
      <c r="L129" s="11">
        <f>J129+K129</f>
        <v/>
      </c>
      <c r="M129" s="12">
        <f>IF(C129=0,0,L129/C129*100)</f>
        <v/>
      </c>
    </row>
    <row r="131">
      <c r="A131" s="13" t="inlineStr">
        <is>
          <t>Day 10 - 2026-10-14 (Wed 28 Aswin 2083)</t>
        </is>
      </c>
    </row>
    <row r="132">
      <c r="A132" s="6" t="inlineStr">
        <is>
          <t>Ward no.</t>
        </is>
      </c>
      <c r="B132" s="6" t="inlineStr">
        <is>
          <t>Total population</t>
        </is>
      </c>
      <c r="C132" s="6" t="inlineStr">
        <is>
          <t>JE target population</t>
        </is>
      </c>
      <c r="D132" s="6" t="inlineStr">
        <is>
          <t>Vaccinated</t>
        </is>
      </c>
      <c r="E132" s="6" t="n"/>
      <c r="F132" s="6" t="n"/>
      <c r="G132" s="6" t="n"/>
      <c r="H132" s="6" t="n"/>
      <c r="I132" s="6" t="n"/>
      <c r="J132" s="6" t="n"/>
      <c r="K132" s="6" t="n"/>
      <c r="L132" s="6" t="n"/>
      <c r="M132" s="6" t="inlineStr">
        <is>
          <t>Progress %</t>
        </is>
      </c>
    </row>
    <row r="133">
      <c r="A133" s="6" t="n"/>
      <c r="B133" s="6" t="n"/>
      <c r="C133" s="6" t="n"/>
      <c r="D133" s="6" t="inlineStr">
        <is>
          <t>Age 30-60 yrs</t>
        </is>
      </c>
      <c r="E133" s="6" t="n"/>
      <c r="F133" s="6" t="n"/>
      <c r="G133" s="6" t="inlineStr">
        <is>
          <t>Age 60 above</t>
        </is>
      </c>
      <c r="H133" s="6" t="n"/>
      <c r="I133" s="6" t="n"/>
      <c r="J133" s="6" t="inlineStr">
        <is>
          <t>Total</t>
        </is>
      </c>
      <c r="K133" s="6" t="n"/>
      <c r="L133" s="6" t="inlineStr">
        <is>
          <t>Grand Total</t>
        </is>
      </c>
      <c r="M133" s="6" t="n"/>
    </row>
    <row r="134">
      <c r="A134" s="6" t="n"/>
      <c r="B134" s="6" t="n"/>
      <c r="C134" s="6" t="n"/>
      <c r="D134" s="6" t="inlineStr">
        <is>
          <t>F</t>
        </is>
      </c>
      <c r="E134" s="6" t="inlineStr">
        <is>
          <t>M</t>
        </is>
      </c>
      <c r="F134" s="6" t="inlineStr">
        <is>
          <t>Total</t>
        </is>
      </c>
      <c r="G134" s="6" t="inlineStr">
        <is>
          <t>F</t>
        </is>
      </c>
      <c r="H134" s="6" t="inlineStr">
        <is>
          <t>M</t>
        </is>
      </c>
      <c r="I134" s="6" t="inlineStr">
        <is>
          <t>Total</t>
        </is>
      </c>
      <c r="J134" s="6" t="inlineStr">
        <is>
          <t>F</t>
        </is>
      </c>
      <c r="K134" s="6" t="inlineStr">
        <is>
          <t>M</t>
        </is>
      </c>
      <c r="L134" s="6" t="n"/>
      <c r="M134" s="6" t="n"/>
    </row>
    <row r="135">
      <c r="A135" s="7" t="n">
        <v>1</v>
      </c>
      <c r="B135" s="8">
        <f>B5</f>
        <v/>
      </c>
      <c r="C135" s="8">
        <f>C5</f>
        <v/>
      </c>
      <c r="D135" s="14" t="n"/>
      <c r="E135" s="14" t="n"/>
      <c r="F135" s="8">
        <f>D135+E135</f>
        <v/>
      </c>
      <c r="G135" s="14" t="n"/>
      <c r="H135" s="14" t="n"/>
      <c r="I135" s="8">
        <f>G135+H135</f>
        <v/>
      </c>
      <c r="J135" s="8">
        <f>D135+G135</f>
        <v/>
      </c>
      <c r="K135" s="8">
        <f>E135+H135</f>
        <v/>
      </c>
      <c r="L135" s="8">
        <f>J135+K135</f>
        <v/>
      </c>
      <c r="M135" s="9">
        <f>IF(C135=0,0,L135/C135*100)</f>
        <v/>
      </c>
    </row>
    <row r="136">
      <c r="A136" s="7" t="n">
        <v>2</v>
      </c>
      <c r="B136" s="8">
        <f>B6</f>
        <v/>
      </c>
      <c r="C136" s="8">
        <f>C6</f>
        <v/>
      </c>
      <c r="D136" s="14" t="n"/>
      <c r="E136" s="14" t="n"/>
      <c r="F136" s="8">
        <f>D136+E136</f>
        <v/>
      </c>
      <c r="G136" s="14" t="n"/>
      <c r="H136" s="14" t="n"/>
      <c r="I136" s="8">
        <f>G136+H136</f>
        <v/>
      </c>
      <c r="J136" s="8">
        <f>D136+G136</f>
        <v/>
      </c>
      <c r="K136" s="8">
        <f>E136+H136</f>
        <v/>
      </c>
      <c r="L136" s="8">
        <f>J136+K136</f>
        <v/>
      </c>
      <c r="M136" s="9">
        <f>IF(C136=0,0,L136/C136*100)</f>
        <v/>
      </c>
    </row>
    <row r="137">
      <c r="A137" s="7" t="n">
        <v>3</v>
      </c>
      <c r="B137" s="8">
        <f>B7</f>
        <v/>
      </c>
      <c r="C137" s="8">
        <f>C7</f>
        <v/>
      </c>
      <c r="D137" s="14" t="n"/>
      <c r="E137" s="14" t="n"/>
      <c r="F137" s="8">
        <f>D137+E137</f>
        <v/>
      </c>
      <c r="G137" s="14" t="n"/>
      <c r="H137" s="14" t="n"/>
      <c r="I137" s="8">
        <f>G137+H137</f>
        <v/>
      </c>
      <c r="J137" s="8">
        <f>D137+G137</f>
        <v/>
      </c>
      <c r="K137" s="8">
        <f>E137+H137</f>
        <v/>
      </c>
      <c r="L137" s="8">
        <f>J137+K137</f>
        <v/>
      </c>
      <c r="M137" s="9">
        <f>IF(C137=0,0,L137/C137*100)</f>
        <v/>
      </c>
    </row>
    <row r="138">
      <c r="A138" s="7" t="n">
        <v>4</v>
      </c>
      <c r="B138" s="8">
        <f>B8</f>
        <v/>
      </c>
      <c r="C138" s="8">
        <f>C8</f>
        <v/>
      </c>
      <c r="D138" s="14" t="n"/>
      <c r="E138" s="14" t="n"/>
      <c r="F138" s="8">
        <f>D138+E138</f>
        <v/>
      </c>
      <c r="G138" s="14" t="n"/>
      <c r="H138" s="14" t="n"/>
      <c r="I138" s="8">
        <f>G138+H138</f>
        <v/>
      </c>
      <c r="J138" s="8">
        <f>D138+G138</f>
        <v/>
      </c>
      <c r="K138" s="8">
        <f>E138+H138</f>
        <v/>
      </c>
      <c r="L138" s="8">
        <f>J138+K138</f>
        <v/>
      </c>
      <c r="M138" s="9">
        <f>IF(C138=0,0,L138/C138*100)</f>
        <v/>
      </c>
    </row>
    <row r="139">
      <c r="A139" s="7" t="n">
        <v>5</v>
      </c>
      <c r="B139" s="8">
        <f>B9</f>
        <v/>
      </c>
      <c r="C139" s="8">
        <f>C9</f>
        <v/>
      </c>
      <c r="D139" s="14" t="n"/>
      <c r="E139" s="14" t="n"/>
      <c r="F139" s="8">
        <f>D139+E139</f>
        <v/>
      </c>
      <c r="G139" s="14" t="n"/>
      <c r="H139" s="14" t="n"/>
      <c r="I139" s="8">
        <f>G139+H139</f>
        <v/>
      </c>
      <c r="J139" s="8">
        <f>D139+G139</f>
        <v/>
      </c>
      <c r="K139" s="8">
        <f>E139+H139</f>
        <v/>
      </c>
      <c r="L139" s="8">
        <f>J139+K139</f>
        <v/>
      </c>
      <c r="M139" s="9">
        <f>IF(C139=0,0,L139/C139*100)</f>
        <v/>
      </c>
    </row>
    <row r="140">
      <c r="A140" s="7" t="n">
        <v>6</v>
      </c>
      <c r="B140" s="8">
        <f>B10</f>
        <v/>
      </c>
      <c r="C140" s="8">
        <f>C10</f>
        <v/>
      </c>
      <c r="D140" s="14" t="n"/>
      <c r="E140" s="14" t="n"/>
      <c r="F140" s="8">
        <f>D140+E140</f>
        <v/>
      </c>
      <c r="G140" s="14" t="n"/>
      <c r="H140" s="14" t="n"/>
      <c r="I140" s="8">
        <f>G140+H140</f>
        <v/>
      </c>
      <c r="J140" s="8">
        <f>D140+G140</f>
        <v/>
      </c>
      <c r="K140" s="8">
        <f>E140+H140</f>
        <v/>
      </c>
      <c r="L140" s="8">
        <f>J140+K140</f>
        <v/>
      </c>
      <c r="M140" s="9">
        <f>IF(C140=0,0,L140/C140*100)</f>
        <v/>
      </c>
    </row>
    <row r="141">
      <c r="A141" s="7" t="n">
        <v>7</v>
      </c>
      <c r="B141" s="8">
        <f>B11</f>
        <v/>
      </c>
      <c r="C141" s="8">
        <f>C11</f>
        <v/>
      </c>
      <c r="D141" s="14" t="n"/>
      <c r="E141" s="14" t="n"/>
      <c r="F141" s="8">
        <f>D141+E141</f>
        <v/>
      </c>
      <c r="G141" s="14" t="n"/>
      <c r="H141" s="14" t="n"/>
      <c r="I141" s="8">
        <f>G141+H141</f>
        <v/>
      </c>
      <c r="J141" s="8">
        <f>D141+G141</f>
        <v/>
      </c>
      <c r="K141" s="8">
        <f>E141+H141</f>
        <v/>
      </c>
      <c r="L141" s="8">
        <f>J141+K141</f>
        <v/>
      </c>
      <c r="M141" s="9">
        <f>IF(C141=0,0,L141/C141*100)</f>
        <v/>
      </c>
    </row>
    <row r="142">
      <c r="A142" s="10" t="inlineStr">
        <is>
          <t>Total</t>
        </is>
      </c>
      <c r="B142" s="11">
        <f>SUM(B135:B141)</f>
        <v/>
      </c>
      <c r="C142" s="11">
        <f>SUM(C135:C141)</f>
        <v/>
      </c>
      <c r="D142" s="11">
        <f>SUM(D135:D141)</f>
        <v/>
      </c>
      <c r="E142" s="11">
        <f>SUM(E135:E141)</f>
        <v/>
      </c>
      <c r="F142" s="11">
        <f>D142+E142</f>
        <v/>
      </c>
      <c r="G142" s="11">
        <f>SUM(G135:G141)</f>
        <v/>
      </c>
      <c r="H142" s="11">
        <f>SUM(H135:H141)</f>
        <v/>
      </c>
      <c r="I142" s="11">
        <f>G142+H142</f>
        <v/>
      </c>
      <c r="J142" s="11">
        <f>D142+G142</f>
        <v/>
      </c>
      <c r="K142" s="11">
        <f>E142+H142</f>
        <v/>
      </c>
      <c r="L142" s="11">
        <f>J142+K142</f>
        <v/>
      </c>
      <c r="M142" s="12">
        <f>IF(C142=0,0,L142/C142*100)</f>
        <v/>
      </c>
    </row>
    <row r="144">
      <c r="A144" s="13" t="inlineStr">
        <is>
          <t>Day 11 - 2026-10-15 (Thu 29 Aswin 2083)</t>
        </is>
      </c>
    </row>
    <row r="145">
      <c r="A145" s="6" t="inlineStr">
        <is>
          <t>Ward no.</t>
        </is>
      </c>
      <c r="B145" s="6" t="inlineStr">
        <is>
          <t>Total population</t>
        </is>
      </c>
      <c r="C145" s="6" t="inlineStr">
        <is>
          <t>JE target population</t>
        </is>
      </c>
      <c r="D145" s="6" t="inlineStr">
        <is>
          <t>Vaccinated</t>
        </is>
      </c>
      <c r="E145" s="6" t="n"/>
      <c r="F145" s="6" t="n"/>
      <c r="G145" s="6" t="n"/>
      <c r="H145" s="6" t="n"/>
      <c r="I145" s="6" t="n"/>
      <c r="J145" s="6" t="n"/>
      <c r="K145" s="6" t="n"/>
      <c r="L145" s="6" t="n"/>
      <c r="M145" s="6" t="inlineStr">
        <is>
          <t>Progress %</t>
        </is>
      </c>
    </row>
    <row r="146">
      <c r="A146" s="6" t="n"/>
      <c r="B146" s="6" t="n"/>
      <c r="C146" s="6" t="n"/>
      <c r="D146" s="6" t="inlineStr">
        <is>
          <t>Age 30-60 yrs</t>
        </is>
      </c>
      <c r="E146" s="6" t="n"/>
      <c r="F146" s="6" t="n"/>
      <c r="G146" s="6" t="inlineStr">
        <is>
          <t>Age 60 above</t>
        </is>
      </c>
      <c r="H146" s="6" t="n"/>
      <c r="I146" s="6" t="n"/>
      <c r="J146" s="6" t="inlineStr">
        <is>
          <t>Total</t>
        </is>
      </c>
      <c r="K146" s="6" t="n"/>
      <c r="L146" s="6" t="inlineStr">
        <is>
          <t>Grand Total</t>
        </is>
      </c>
      <c r="M146" s="6" t="n"/>
    </row>
    <row r="147">
      <c r="A147" s="6" t="n"/>
      <c r="B147" s="6" t="n"/>
      <c r="C147" s="6" t="n"/>
      <c r="D147" s="6" t="inlineStr">
        <is>
          <t>F</t>
        </is>
      </c>
      <c r="E147" s="6" t="inlineStr">
        <is>
          <t>M</t>
        </is>
      </c>
      <c r="F147" s="6" t="inlineStr">
        <is>
          <t>Total</t>
        </is>
      </c>
      <c r="G147" s="6" t="inlineStr">
        <is>
          <t>F</t>
        </is>
      </c>
      <c r="H147" s="6" t="inlineStr">
        <is>
          <t>M</t>
        </is>
      </c>
      <c r="I147" s="6" t="inlineStr">
        <is>
          <t>Total</t>
        </is>
      </c>
      <c r="J147" s="6" t="inlineStr">
        <is>
          <t>F</t>
        </is>
      </c>
      <c r="K147" s="6" t="inlineStr">
        <is>
          <t>M</t>
        </is>
      </c>
      <c r="L147" s="6" t="n"/>
      <c r="M147" s="6" t="n"/>
    </row>
    <row r="148">
      <c r="A148" s="7" t="n">
        <v>1</v>
      </c>
      <c r="B148" s="8">
        <f>B5</f>
        <v/>
      </c>
      <c r="C148" s="8">
        <f>C5</f>
        <v/>
      </c>
      <c r="D148" s="14" t="n"/>
      <c r="E148" s="14" t="n"/>
      <c r="F148" s="8">
        <f>D148+E148</f>
        <v/>
      </c>
      <c r="G148" s="14" t="n"/>
      <c r="H148" s="14" t="n"/>
      <c r="I148" s="8">
        <f>G148+H148</f>
        <v/>
      </c>
      <c r="J148" s="8">
        <f>D148+G148</f>
        <v/>
      </c>
      <c r="K148" s="8">
        <f>E148+H148</f>
        <v/>
      </c>
      <c r="L148" s="8">
        <f>J148+K148</f>
        <v/>
      </c>
      <c r="M148" s="9">
        <f>IF(C148=0,0,L148/C148*100)</f>
        <v/>
      </c>
    </row>
    <row r="149">
      <c r="A149" s="7" t="n">
        <v>2</v>
      </c>
      <c r="B149" s="8">
        <f>B6</f>
        <v/>
      </c>
      <c r="C149" s="8">
        <f>C6</f>
        <v/>
      </c>
      <c r="D149" s="14" t="n"/>
      <c r="E149" s="14" t="n"/>
      <c r="F149" s="8">
        <f>D149+E149</f>
        <v/>
      </c>
      <c r="G149" s="14" t="n"/>
      <c r="H149" s="14" t="n"/>
      <c r="I149" s="8">
        <f>G149+H149</f>
        <v/>
      </c>
      <c r="J149" s="8">
        <f>D149+G149</f>
        <v/>
      </c>
      <c r="K149" s="8">
        <f>E149+H149</f>
        <v/>
      </c>
      <c r="L149" s="8">
        <f>J149+K149</f>
        <v/>
      </c>
      <c r="M149" s="9">
        <f>IF(C149=0,0,L149/C149*100)</f>
        <v/>
      </c>
    </row>
    <row r="150">
      <c r="A150" s="7" t="n">
        <v>3</v>
      </c>
      <c r="B150" s="8">
        <f>B7</f>
        <v/>
      </c>
      <c r="C150" s="8">
        <f>C7</f>
        <v/>
      </c>
      <c r="D150" s="14" t="n"/>
      <c r="E150" s="14" t="n"/>
      <c r="F150" s="8">
        <f>D150+E150</f>
        <v/>
      </c>
      <c r="G150" s="14" t="n"/>
      <c r="H150" s="14" t="n"/>
      <c r="I150" s="8">
        <f>G150+H150</f>
        <v/>
      </c>
      <c r="J150" s="8">
        <f>D150+G150</f>
        <v/>
      </c>
      <c r="K150" s="8">
        <f>E150+H150</f>
        <v/>
      </c>
      <c r="L150" s="8">
        <f>J150+K150</f>
        <v/>
      </c>
      <c r="M150" s="9">
        <f>IF(C150=0,0,L150/C150*100)</f>
        <v/>
      </c>
    </row>
    <row r="151">
      <c r="A151" s="7" t="n">
        <v>4</v>
      </c>
      <c r="B151" s="8">
        <f>B8</f>
        <v/>
      </c>
      <c r="C151" s="8">
        <f>C8</f>
        <v/>
      </c>
      <c r="D151" s="14" t="n"/>
      <c r="E151" s="14" t="n"/>
      <c r="F151" s="8">
        <f>D151+E151</f>
        <v/>
      </c>
      <c r="G151" s="14" t="n"/>
      <c r="H151" s="14" t="n"/>
      <c r="I151" s="8">
        <f>G151+H151</f>
        <v/>
      </c>
      <c r="J151" s="8">
        <f>D151+G151</f>
        <v/>
      </c>
      <c r="K151" s="8">
        <f>E151+H151</f>
        <v/>
      </c>
      <c r="L151" s="8">
        <f>J151+K151</f>
        <v/>
      </c>
      <c r="M151" s="9">
        <f>IF(C151=0,0,L151/C151*100)</f>
        <v/>
      </c>
    </row>
    <row r="152">
      <c r="A152" s="7" t="n">
        <v>5</v>
      </c>
      <c r="B152" s="8">
        <f>B9</f>
        <v/>
      </c>
      <c r="C152" s="8">
        <f>C9</f>
        <v/>
      </c>
      <c r="D152" s="14" t="n"/>
      <c r="E152" s="14" t="n"/>
      <c r="F152" s="8">
        <f>D152+E152</f>
        <v/>
      </c>
      <c r="G152" s="14" t="n"/>
      <c r="H152" s="14" t="n"/>
      <c r="I152" s="8">
        <f>G152+H152</f>
        <v/>
      </c>
      <c r="J152" s="8">
        <f>D152+G152</f>
        <v/>
      </c>
      <c r="K152" s="8">
        <f>E152+H152</f>
        <v/>
      </c>
      <c r="L152" s="8">
        <f>J152+K152</f>
        <v/>
      </c>
      <c r="M152" s="9">
        <f>IF(C152=0,0,L152/C152*100)</f>
        <v/>
      </c>
    </row>
    <row r="153">
      <c r="A153" s="7" t="n">
        <v>6</v>
      </c>
      <c r="B153" s="8">
        <f>B10</f>
        <v/>
      </c>
      <c r="C153" s="8">
        <f>C10</f>
        <v/>
      </c>
      <c r="D153" s="14" t="n"/>
      <c r="E153" s="14" t="n"/>
      <c r="F153" s="8">
        <f>D153+E153</f>
        <v/>
      </c>
      <c r="G153" s="14" t="n"/>
      <c r="H153" s="14" t="n"/>
      <c r="I153" s="8">
        <f>G153+H153</f>
        <v/>
      </c>
      <c r="J153" s="8">
        <f>D153+G153</f>
        <v/>
      </c>
      <c r="K153" s="8">
        <f>E153+H153</f>
        <v/>
      </c>
      <c r="L153" s="8">
        <f>J153+K153</f>
        <v/>
      </c>
      <c r="M153" s="9">
        <f>IF(C153=0,0,L153/C153*100)</f>
        <v/>
      </c>
    </row>
    <row r="154">
      <c r="A154" s="7" t="n">
        <v>7</v>
      </c>
      <c r="B154" s="8">
        <f>B11</f>
        <v/>
      </c>
      <c r="C154" s="8">
        <f>C11</f>
        <v/>
      </c>
      <c r="D154" s="14" t="n"/>
      <c r="E154" s="14" t="n"/>
      <c r="F154" s="8">
        <f>D154+E154</f>
        <v/>
      </c>
      <c r="G154" s="14" t="n"/>
      <c r="H154" s="14" t="n"/>
      <c r="I154" s="8">
        <f>G154+H154</f>
        <v/>
      </c>
      <c r="J154" s="8">
        <f>D154+G154</f>
        <v/>
      </c>
      <c r="K154" s="8">
        <f>E154+H154</f>
        <v/>
      </c>
      <c r="L154" s="8">
        <f>J154+K154</f>
        <v/>
      </c>
      <c r="M154" s="9">
        <f>IF(C154=0,0,L154/C154*100)</f>
        <v/>
      </c>
    </row>
    <row r="155">
      <c r="A155" s="10" t="inlineStr">
        <is>
          <t>Total</t>
        </is>
      </c>
      <c r="B155" s="11">
        <f>SUM(B148:B154)</f>
        <v/>
      </c>
      <c r="C155" s="11">
        <f>SUM(C148:C154)</f>
        <v/>
      </c>
      <c r="D155" s="11">
        <f>SUM(D148:D154)</f>
        <v/>
      </c>
      <c r="E155" s="11">
        <f>SUM(E148:E154)</f>
        <v/>
      </c>
      <c r="F155" s="11">
        <f>D155+E155</f>
        <v/>
      </c>
      <c r="G155" s="11">
        <f>SUM(G148:G154)</f>
        <v/>
      </c>
      <c r="H155" s="11">
        <f>SUM(H148:H154)</f>
        <v/>
      </c>
      <c r="I155" s="11">
        <f>G155+H155</f>
        <v/>
      </c>
      <c r="J155" s="11">
        <f>D155+G155</f>
        <v/>
      </c>
      <c r="K155" s="11">
        <f>E155+H155</f>
        <v/>
      </c>
      <c r="L155" s="11">
        <f>J155+K155</f>
        <v/>
      </c>
      <c r="M155" s="12">
        <f>IF(C155=0,0,L155/C155*100)</f>
        <v/>
      </c>
    </row>
    <row r="157">
      <c r="A157" s="13" t="inlineStr">
        <is>
          <t>Day 12 - 2026-10-16 (Fri 30 Aswin 2083)</t>
        </is>
      </c>
    </row>
    <row r="158">
      <c r="A158" s="6" t="inlineStr">
        <is>
          <t>Ward no.</t>
        </is>
      </c>
      <c r="B158" s="6" t="inlineStr">
        <is>
          <t>Total population</t>
        </is>
      </c>
      <c r="C158" s="6" t="inlineStr">
        <is>
          <t>JE target population</t>
        </is>
      </c>
      <c r="D158" s="6" t="inlineStr">
        <is>
          <t>Vaccinated</t>
        </is>
      </c>
      <c r="E158" s="6" t="n"/>
      <c r="F158" s="6" t="n"/>
      <c r="G158" s="6" t="n"/>
      <c r="H158" s="6" t="n"/>
      <c r="I158" s="6" t="n"/>
      <c r="J158" s="6" t="n"/>
      <c r="K158" s="6" t="n"/>
      <c r="L158" s="6" t="n"/>
      <c r="M158" s="6" t="inlineStr">
        <is>
          <t>Progress %</t>
        </is>
      </c>
    </row>
    <row r="159">
      <c r="A159" s="6" t="n"/>
      <c r="B159" s="6" t="n"/>
      <c r="C159" s="6" t="n"/>
      <c r="D159" s="6" t="inlineStr">
        <is>
          <t>Age 30-60 yrs</t>
        </is>
      </c>
      <c r="E159" s="6" t="n"/>
      <c r="F159" s="6" t="n"/>
      <c r="G159" s="6" t="inlineStr">
        <is>
          <t>Age 60 above</t>
        </is>
      </c>
      <c r="H159" s="6" t="n"/>
      <c r="I159" s="6" t="n"/>
      <c r="J159" s="6" t="inlineStr">
        <is>
          <t>Total</t>
        </is>
      </c>
      <c r="K159" s="6" t="n"/>
      <c r="L159" s="6" t="inlineStr">
        <is>
          <t>Grand Total</t>
        </is>
      </c>
      <c r="M159" s="6" t="n"/>
    </row>
    <row r="160">
      <c r="A160" s="6" t="n"/>
      <c r="B160" s="6" t="n"/>
      <c r="C160" s="6" t="n"/>
      <c r="D160" s="6" t="inlineStr">
        <is>
          <t>F</t>
        </is>
      </c>
      <c r="E160" s="6" t="inlineStr">
        <is>
          <t>M</t>
        </is>
      </c>
      <c r="F160" s="6" t="inlineStr">
        <is>
          <t>Total</t>
        </is>
      </c>
      <c r="G160" s="6" t="inlineStr">
        <is>
          <t>F</t>
        </is>
      </c>
      <c r="H160" s="6" t="inlineStr">
        <is>
          <t>M</t>
        </is>
      </c>
      <c r="I160" s="6" t="inlineStr">
        <is>
          <t>Total</t>
        </is>
      </c>
      <c r="J160" s="6" t="inlineStr">
        <is>
          <t>F</t>
        </is>
      </c>
      <c r="K160" s="6" t="inlineStr">
        <is>
          <t>M</t>
        </is>
      </c>
      <c r="L160" s="6" t="n"/>
      <c r="M160" s="6" t="n"/>
    </row>
    <row r="161">
      <c r="A161" s="7" t="n">
        <v>1</v>
      </c>
      <c r="B161" s="8">
        <f>B5</f>
        <v/>
      </c>
      <c r="C161" s="8">
        <f>C5</f>
        <v/>
      </c>
      <c r="D161" s="14" t="n"/>
      <c r="E161" s="14" t="n"/>
      <c r="F161" s="8">
        <f>D161+E161</f>
        <v/>
      </c>
      <c r="G161" s="14" t="n"/>
      <c r="H161" s="14" t="n"/>
      <c r="I161" s="8">
        <f>G161+H161</f>
        <v/>
      </c>
      <c r="J161" s="8">
        <f>D161+G161</f>
        <v/>
      </c>
      <c r="K161" s="8">
        <f>E161+H161</f>
        <v/>
      </c>
      <c r="L161" s="8">
        <f>J161+K161</f>
        <v/>
      </c>
      <c r="M161" s="9">
        <f>IF(C161=0,0,L161/C161*100)</f>
        <v/>
      </c>
    </row>
    <row r="162">
      <c r="A162" s="7" t="n">
        <v>2</v>
      </c>
      <c r="B162" s="8">
        <f>B6</f>
        <v/>
      </c>
      <c r="C162" s="8">
        <f>C6</f>
        <v/>
      </c>
      <c r="D162" s="14" t="n"/>
      <c r="E162" s="14" t="n"/>
      <c r="F162" s="8">
        <f>D162+E162</f>
        <v/>
      </c>
      <c r="G162" s="14" t="n"/>
      <c r="H162" s="14" t="n"/>
      <c r="I162" s="8">
        <f>G162+H162</f>
        <v/>
      </c>
      <c r="J162" s="8">
        <f>D162+G162</f>
        <v/>
      </c>
      <c r="K162" s="8">
        <f>E162+H162</f>
        <v/>
      </c>
      <c r="L162" s="8">
        <f>J162+K162</f>
        <v/>
      </c>
      <c r="M162" s="9">
        <f>IF(C162=0,0,L162/C162*100)</f>
        <v/>
      </c>
    </row>
    <row r="163">
      <c r="A163" s="7" t="n">
        <v>3</v>
      </c>
      <c r="B163" s="8">
        <f>B7</f>
        <v/>
      </c>
      <c r="C163" s="8">
        <f>C7</f>
        <v/>
      </c>
      <c r="D163" s="14" t="n"/>
      <c r="E163" s="14" t="n"/>
      <c r="F163" s="8">
        <f>D163+E163</f>
        <v/>
      </c>
      <c r="G163" s="14" t="n"/>
      <c r="H163" s="14" t="n"/>
      <c r="I163" s="8">
        <f>G163+H163</f>
        <v/>
      </c>
      <c r="J163" s="8">
        <f>D163+G163</f>
        <v/>
      </c>
      <c r="K163" s="8">
        <f>E163+H163</f>
        <v/>
      </c>
      <c r="L163" s="8">
        <f>J163+K163</f>
        <v/>
      </c>
      <c r="M163" s="9">
        <f>IF(C163=0,0,L163/C163*100)</f>
        <v/>
      </c>
    </row>
    <row r="164">
      <c r="A164" s="7" t="n">
        <v>4</v>
      </c>
      <c r="B164" s="8">
        <f>B8</f>
        <v/>
      </c>
      <c r="C164" s="8">
        <f>C8</f>
        <v/>
      </c>
      <c r="D164" s="14" t="n"/>
      <c r="E164" s="14" t="n"/>
      <c r="F164" s="8">
        <f>D164+E164</f>
        <v/>
      </c>
      <c r="G164" s="14" t="n"/>
      <c r="H164" s="14" t="n"/>
      <c r="I164" s="8">
        <f>G164+H164</f>
        <v/>
      </c>
      <c r="J164" s="8">
        <f>D164+G164</f>
        <v/>
      </c>
      <c r="K164" s="8">
        <f>E164+H164</f>
        <v/>
      </c>
      <c r="L164" s="8">
        <f>J164+K164</f>
        <v/>
      </c>
      <c r="M164" s="9">
        <f>IF(C164=0,0,L164/C164*100)</f>
        <v/>
      </c>
    </row>
    <row r="165">
      <c r="A165" s="7" t="n">
        <v>5</v>
      </c>
      <c r="B165" s="8">
        <f>B9</f>
        <v/>
      </c>
      <c r="C165" s="8">
        <f>C9</f>
        <v/>
      </c>
      <c r="D165" s="14" t="n"/>
      <c r="E165" s="14" t="n"/>
      <c r="F165" s="8">
        <f>D165+E165</f>
        <v/>
      </c>
      <c r="G165" s="14" t="n"/>
      <c r="H165" s="14" t="n"/>
      <c r="I165" s="8">
        <f>G165+H165</f>
        <v/>
      </c>
      <c r="J165" s="8">
        <f>D165+G165</f>
        <v/>
      </c>
      <c r="K165" s="8">
        <f>E165+H165</f>
        <v/>
      </c>
      <c r="L165" s="8">
        <f>J165+K165</f>
        <v/>
      </c>
      <c r="M165" s="9">
        <f>IF(C165=0,0,L165/C165*100)</f>
        <v/>
      </c>
    </row>
    <row r="166">
      <c r="A166" s="7" t="n">
        <v>6</v>
      </c>
      <c r="B166" s="8">
        <f>B10</f>
        <v/>
      </c>
      <c r="C166" s="8">
        <f>C10</f>
        <v/>
      </c>
      <c r="D166" s="14" t="n"/>
      <c r="E166" s="14" t="n"/>
      <c r="F166" s="8">
        <f>D166+E166</f>
        <v/>
      </c>
      <c r="G166" s="14" t="n"/>
      <c r="H166" s="14" t="n"/>
      <c r="I166" s="8">
        <f>G166+H166</f>
        <v/>
      </c>
      <c r="J166" s="8">
        <f>D166+G166</f>
        <v/>
      </c>
      <c r="K166" s="8">
        <f>E166+H166</f>
        <v/>
      </c>
      <c r="L166" s="8">
        <f>J166+K166</f>
        <v/>
      </c>
      <c r="M166" s="9">
        <f>IF(C166=0,0,L166/C166*100)</f>
        <v/>
      </c>
    </row>
    <row r="167">
      <c r="A167" s="7" t="n">
        <v>7</v>
      </c>
      <c r="B167" s="8">
        <f>B11</f>
        <v/>
      </c>
      <c r="C167" s="8">
        <f>C11</f>
        <v/>
      </c>
      <c r="D167" s="14" t="n"/>
      <c r="E167" s="14" t="n"/>
      <c r="F167" s="8">
        <f>D167+E167</f>
        <v/>
      </c>
      <c r="G167" s="14" t="n"/>
      <c r="H167" s="14" t="n"/>
      <c r="I167" s="8">
        <f>G167+H167</f>
        <v/>
      </c>
      <c r="J167" s="8">
        <f>D167+G167</f>
        <v/>
      </c>
      <c r="K167" s="8">
        <f>E167+H167</f>
        <v/>
      </c>
      <c r="L167" s="8">
        <f>J167+K167</f>
        <v/>
      </c>
      <c r="M167" s="9">
        <f>IF(C167=0,0,L167/C167*100)</f>
        <v/>
      </c>
    </row>
    <row r="168">
      <c r="A168" s="10" t="inlineStr">
        <is>
          <t>Total</t>
        </is>
      </c>
      <c r="B168" s="11">
        <f>SUM(B161:B167)</f>
        <v/>
      </c>
      <c r="C168" s="11">
        <f>SUM(C161:C167)</f>
        <v/>
      </c>
      <c r="D168" s="11">
        <f>SUM(D161:D167)</f>
        <v/>
      </c>
      <c r="E168" s="11">
        <f>SUM(E161:E167)</f>
        <v/>
      </c>
      <c r="F168" s="11">
        <f>D168+E168</f>
        <v/>
      </c>
      <c r="G168" s="11">
        <f>SUM(G161:G167)</f>
        <v/>
      </c>
      <c r="H168" s="11">
        <f>SUM(H161:H167)</f>
        <v/>
      </c>
      <c r="I168" s="11">
        <f>G168+H168</f>
        <v/>
      </c>
      <c r="J168" s="11">
        <f>D168+G168</f>
        <v/>
      </c>
      <c r="K168" s="11">
        <f>E168+H168</f>
        <v/>
      </c>
      <c r="L168" s="11">
        <f>J168+K168</f>
        <v/>
      </c>
      <c r="M168" s="12">
        <f>IF(C168=0,0,L168/C168*100)</f>
        <v/>
      </c>
    </row>
    <row r="170">
      <c r="A170" s="13" t="inlineStr">
        <is>
          <t>Day 13 - 2026-10-17 (Sat 31 Aswin 2083)</t>
        </is>
      </c>
    </row>
    <row r="171">
      <c r="A171" s="6" t="inlineStr">
        <is>
          <t>Ward no.</t>
        </is>
      </c>
      <c r="B171" s="6" t="inlineStr">
        <is>
          <t>Total population</t>
        </is>
      </c>
      <c r="C171" s="6" t="inlineStr">
        <is>
          <t>JE target population</t>
        </is>
      </c>
      <c r="D171" s="6" t="inlineStr">
        <is>
          <t>Vaccinated</t>
        </is>
      </c>
      <c r="E171" s="6" t="n"/>
      <c r="F171" s="6" t="n"/>
      <c r="G171" s="6" t="n"/>
      <c r="H171" s="6" t="n"/>
      <c r="I171" s="6" t="n"/>
      <c r="J171" s="6" t="n"/>
      <c r="K171" s="6" t="n"/>
      <c r="L171" s="6" t="n"/>
      <c r="M171" s="6" t="inlineStr">
        <is>
          <t>Progress %</t>
        </is>
      </c>
    </row>
    <row r="172">
      <c r="A172" s="6" t="n"/>
      <c r="B172" s="6" t="n"/>
      <c r="C172" s="6" t="n"/>
      <c r="D172" s="6" t="inlineStr">
        <is>
          <t>Age 30-60 yrs</t>
        </is>
      </c>
      <c r="E172" s="6" t="n"/>
      <c r="F172" s="6" t="n"/>
      <c r="G172" s="6" t="inlineStr">
        <is>
          <t>Age 60 above</t>
        </is>
      </c>
      <c r="H172" s="6" t="n"/>
      <c r="I172" s="6" t="n"/>
      <c r="J172" s="6" t="inlineStr">
        <is>
          <t>Total</t>
        </is>
      </c>
      <c r="K172" s="6" t="n"/>
      <c r="L172" s="6" t="inlineStr">
        <is>
          <t>Grand Total</t>
        </is>
      </c>
      <c r="M172" s="6" t="n"/>
    </row>
    <row r="173">
      <c r="A173" s="6" t="n"/>
      <c r="B173" s="6" t="n"/>
      <c r="C173" s="6" t="n"/>
      <c r="D173" s="6" t="inlineStr">
        <is>
          <t>F</t>
        </is>
      </c>
      <c r="E173" s="6" t="inlineStr">
        <is>
          <t>M</t>
        </is>
      </c>
      <c r="F173" s="6" t="inlineStr">
        <is>
          <t>Total</t>
        </is>
      </c>
      <c r="G173" s="6" t="inlineStr">
        <is>
          <t>F</t>
        </is>
      </c>
      <c r="H173" s="6" t="inlineStr">
        <is>
          <t>M</t>
        </is>
      </c>
      <c r="I173" s="6" t="inlineStr">
        <is>
          <t>Total</t>
        </is>
      </c>
      <c r="J173" s="6" t="inlineStr">
        <is>
          <t>F</t>
        </is>
      </c>
      <c r="K173" s="6" t="inlineStr">
        <is>
          <t>M</t>
        </is>
      </c>
      <c r="L173" s="6" t="n"/>
      <c r="M173" s="6" t="n"/>
    </row>
    <row r="174">
      <c r="A174" s="7" t="n">
        <v>1</v>
      </c>
      <c r="B174" s="8">
        <f>B5</f>
        <v/>
      </c>
      <c r="C174" s="8">
        <f>C5</f>
        <v/>
      </c>
      <c r="D174" s="14" t="n"/>
      <c r="E174" s="14" t="n"/>
      <c r="F174" s="8">
        <f>D174+E174</f>
        <v/>
      </c>
      <c r="G174" s="14" t="n"/>
      <c r="H174" s="14" t="n"/>
      <c r="I174" s="8">
        <f>G174+H174</f>
        <v/>
      </c>
      <c r="J174" s="8">
        <f>D174+G174</f>
        <v/>
      </c>
      <c r="K174" s="8">
        <f>E174+H174</f>
        <v/>
      </c>
      <c r="L174" s="8">
        <f>J174+K174</f>
        <v/>
      </c>
      <c r="M174" s="9">
        <f>IF(C174=0,0,L174/C174*100)</f>
        <v/>
      </c>
    </row>
    <row r="175">
      <c r="A175" s="7" t="n">
        <v>2</v>
      </c>
      <c r="B175" s="8">
        <f>B6</f>
        <v/>
      </c>
      <c r="C175" s="8">
        <f>C6</f>
        <v/>
      </c>
      <c r="D175" s="14" t="n"/>
      <c r="E175" s="14" t="n"/>
      <c r="F175" s="8">
        <f>D175+E175</f>
        <v/>
      </c>
      <c r="G175" s="14" t="n"/>
      <c r="H175" s="14" t="n"/>
      <c r="I175" s="8">
        <f>G175+H175</f>
        <v/>
      </c>
      <c r="J175" s="8">
        <f>D175+G175</f>
        <v/>
      </c>
      <c r="K175" s="8">
        <f>E175+H175</f>
        <v/>
      </c>
      <c r="L175" s="8">
        <f>J175+K175</f>
        <v/>
      </c>
      <c r="M175" s="9">
        <f>IF(C175=0,0,L175/C175*100)</f>
        <v/>
      </c>
    </row>
    <row r="176">
      <c r="A176" s="7" t="n">
        <v>3</v>
      </c>
      <c r="B176" s="8">
        <f>B7</f>
        <v/>
      </c>
      <c r="C176" s="8">
        <f>C7</f>
        <v/>
      </c>
      <c r="D176" s="14" t="n"/>
      <c r="E176" s="14" t="n"/>
      <c r="F176" s="8">
        <f>D176+E176</f>
        <v/>
      </c>
      <c r="G176" s="14" t="n"/>
      <c r="H176" s="14" t="n"/>
      <c r="I176" s="8">
        <f>G176+H176</f>
        <v/>
      </c>
      <c r="J176" s="8">
        <f>D176+G176</f>
        <v/>
      </c>
      <c r="K176" s="8">
        <f>E176+H176</f>
        <v/>
      </c>
      <c r="L176" s="8">
        <f>J176+K176</f>
        <v/>
      </c>
      <c r="M176" s="9">
        <f>IF(C176=0,0,L176/C176*100)</f>
        <v/>
      </c>
    </row>
    <row r="177">
      <c r="A177" s="7" t="n">
        <v>4</v>
      </c>
      <c r="B177" s="8">
        <f>B8</f>
        <v/>
      </c>
      <c r="C177" s="8">
        <f>C8</f>
        <v/>
      </c>
      <c r="D177" s="14" t="n"/>
      <c r="E177" s="14" t="n"/>
      <c r="F177" s="8">
        <f>D177+E177</f>
        <v/>
      </c>
      <c r="G177" s="14" t="n"/>
      <c r="H177" s="14" t="n"/>
      <c r="I177" s="8">
        <f>G177+H177</f>
        <v/>
      </c>
      <c r="J177" s="8">
        <f>D177+G177</f>
        <v/>
      </c>
      <c r="K177" s="8">
        <f>E177+H177</f>
        <v/>
      </c>
      <c r="L177" s="8">
        <f>J177+K177</f>
        <v/>
      </c>
      <c r="M177" s="9">
        <f>IF(C177=0,0,L177/C177*100)</f>
        <v/>
      </c>
    </row>
    <row r="178">
      <c r="A178" s="7" t="n">
        <v>5</v>
      </c>
      <c r="B178" s="8">
        <f>B9</f>
        <v/>
      </c>
      <c r="C178" s="8">
        <f>C9</f>
        <v/>
      </c>
      <c r="D178" s="14" t="n"/>
      <c r="E178" s="14" t="n"/>
      <c r="F178" s="8">
        <f>D178+E178</f>
        <v/>
      </c>
      <c r="G178" s="14" t="n"/>
      <c r="H178" s="14" t="n"/>
      <c r="I178" s="8">
        <f>G178+H178</f>
        <v/>
      </c>
      <c r="J178" s="8">
        <f>D178+G178</f>
        <v/>
      </c>
      <c r="K178" s="8">
        <f>E178+H178</f>
        <v/>
      </c>
      <c r="L178" s="8">
        <f>J178+K178</f>
        <v/>
      </c>
      <c r="M178" s="9">
        <f>IF(C178=0,0,L178/C178*100)</f>
        <v/>
      </c>
    </row>
    <row r="179">
      <c r="A179" s="7" t="n">
        <v>6</v>
      </c>
      <c r="B179" s="8">
        <f>B10</f>
        <v/>
      </c>
      <c r="C179" s="8">
        <f>C10</f>
        <v/>
      </c>
      <c r="D179" s="14" t="n"/>
      <c r="E179" s="14" t="n"/>
      <c r="F179" s="8">
        <f>D179+E179</f>
        <v/>
      </c>
      <c r="G179" s="14" t="n"/>
      <c r="H179" s="14" t="n"/>
      <c r="I179" s="8">
        <f>G179+H179</f>
        <v/>
      </c>
      <c r="J179" s="8">
        <f>D179+G179</f>
        <v/>
      </c>
      <c r="K179" s="8">
        <f>E179+H179</f>
        <v/>
      </c>
      <c r="L179" s="8">
        <f>J179+K179</f>
        <v/>
      </c>
      <c r="M179" s="9">
        <f>IF(C179=0,0,L179/C179*100)</f>
        <v/>
      </c>
    </row>
    <row r="180">
      <c r="A180" s="7" t="n">
        <v>7</v>
      </c>
      <c r="B180" s="8">
        <f>B11</f>
        <v/>
      </c>
      <c r="C180" s="8">
        <f>C11</f>
        <v/>
      </c>
      <c r="D180" s="14" t="n"/>
      <c r="E180" s="14" t="n"/>
      <c r="F180" s="8">
        <f>D180+E180</f>
        <v/>
      </c>
      <c r="G180" s="14" t="n"/>
      <c r="H180" s="14" t="n"/>
      <c r="I180" s="8">
        <f>G180+H180</f>
        <v/>
      </c>
      <c r="J180" s="8">
        <f>D180+G180</f>
        <v/>
      </c>
      <c r="K180" s="8">
        <f>E180+H180</f>
        <v/>
      </c>
      <c r="L180" s="8">
        <f>J180+K180</f>
        <v/>
      </c>
      <c r="M180" s="9">
        <f>IF(C180=0,0,L180/C180*100)</f>
        <v/>
      </c>
    </row>
    <row r="181">
      <c r="A181" s="10" t="inlineStr">
        <is>
          <t>Total</t>
        </is>
      </c>
      <c r="B181" s="11">
        <f>SUM(B174:B180)</f>
        <v/>
      </c>
      <c r="C181" s="11">
        <f>SUM(C174:C180)</f>
        <v/>
      </c>
      <c r="D181" s="11">
        <f>SUM(D174:D180)</f>
        <v/>
      </c>
      <c r="E181" s="11">
        <f>SUM(E174:E180)</f>
        <v/>
      </c>
      <c r="F181" s="11">
        <f>D181+E181</f>
        <v/>
      </c>
      <c r="G181" s="11">
        <f>SUM(G174:G180)</f>
        <v/>
      </c>
      <c r="H181" s="11">
        <f>SUM(H174:H180)</f>
        <v/>
      </c>
      <c r="I181" s="11">
        <f>G181+H181</f>
        <v/>
      </c>
      <c r="J181" s="11">
        <f>D181+G181</f>
        <v/>
      </c>
      <c r="K181" s="11">
        <f>E181+H181</f>
        <v/>
      </c>
      <c r="L181" s="11">
        <f>J181+K181</f>
        <v/>
      </c>
      <c r="M181" s="12">
        <f>IF(C181=0,0,L181/C181*100)</f>
        <v/>
      </c>
    </row>
    <row r="183">
      <c r="A183" s="13" t="inlineStr">
        <is>
          <t>Day 14 - 2026-10-18 (Sun 01 Kartik 2083)</t>
        </is>
      </c>
    </row>
    <row r="184">
      <c r="A184" s="6" t="inlineStr">
        <is>
          <t>Ward no.</t>
        </is>
      </c>
      <c r="B184" s="6" t="inlineStr">
        <is>
          <t>Total population</t>
        </is>
      </c>
      <c r="C184" s="6" t="inlineStr">
        <is>
          <t>JE target population</t>
        </is>
      </c>
      <c r="D184" s="6" t="inlineStr">
        <is>
          <t>Vaccinated</t>
        </is>
      </c>
      <c r="E184" s="6" t="n"/>
      <c r="F184" s="6" t="n"/>
      <c r="G184" s="6" t="n"/>
      <c r="H184" s="6" t="n"/>
      <c r="I184" s="6" t="n"/>
      <c r="J184" s="6" t="n"/>
      <c r="K184" s="6" t="n"/>
      <c r="L184" s="6" t="n"/>
      <c r="M184" s="6" t="inlineStr">
        <is>
          <t>Progress %</t>
        </is>
      </c>
    </row>
    <row r="185">
      <c r="A185" s="6" t="n"/>
      <c r="B185" s="6" t="n"/>
      <c r="C185" s="6" t="n"/>
      <c r="D185" s="6" t="inlineStr">
        <is>
          <t>Age 30-60 yrs</t>
        </is>
      </c>
      <c r="E185" s="6" t="n"/>
      <c r="F185" s="6" t="n"/>
      <c r="G185" s="6" t="inlineStr">
        <is>
          <t>Age 60 above</t>
        </is>
      </c>
      <c r="H185" s="6" t="n"/>
      <c r="I185" s="6" t="n"/>
      <c r="J185" s="6" t="inlineStr">
        <is>
          <t>Total</t>
        </is>
      </c>
      <c r="K185" s="6" t="n"/>
      <c r="L185" s="6" t="inlineStr">
        <is>
          <t>Grand Total</t>
        </is>
      </c>
      <c r="M185" s="6" t="n"/>
    </row>
    <row r="186">
      <c r="A186" s="6" t="n"/>
      <c r="B186" s="6" t="n"/>
      <c r="C186" s="6" t="n"/>
      <c r="D186" s="6" t="inlineStr">
        <is>
          <t>F</t>
        </is>
      </c>
      <c r="E186" s="6" t="inlineStr">
        <is>
          <t>M</t>
        </is>
      </c>
      <c r="F186" s="6" t="inlineStr">
        <is>
          <t>Total</t>
        </is>
      </c>
      <c r="G186" s="6" t="inlineStr">
        <is>
          <t>F</t>
        </is>
      </c>
      <c r="H186" s="6" t="inlineStr">
        <is>
          <t>M</t>
        </is>
      </c>
      <c r="I186" s="6" t="inlineStr">
        <is>
          <t>Total</t>
        </is>
      </c>
      <c r="J186" s="6" t="inlineStr">
        <is>
          <t>F</t>
        </is>
      </c>
      <c r="K186" s="6" t="inlineStr">
        <is>
          <t>M</t>
        </is>
      </c>
      <c r="L186" s="6" t="n"/>
      <c r="M186" s="6" t="n"/>
    </row>
    <row r="187">
      <c r="A187" s="7" t="n">
        <v>1</v>
      </c>
      <c r="B187" s="8">
        <f>B5</f>
        <v/>
      </c>
      <c r="C187" s="8">
        <f>C5</f>
        <v/>
      </c>
      <c r="D187" s="14" t="n"/>
      <c r="E187" s="14" t="n"/>
      <c r="F187" s="8">
        <f>D187+E187</f>
        <v/>
      </c>
      <c r="G187" s="14" t="n"/>
      <c r="H187" s="14" t="n"/>
      <c r="I187" s="8">
        <f>G187+H187</f>
        <v/>
      </c>
      <c r="J187" s="8">
        <f>D187+G187</f>
        <v/>
      </c>
      <c r="K187" s="8">
        <f>E187+H187</f>
        <v/>
      </c>
      <c r="L187" s="8">
        <f>J187+K187</f>
        <v/>
      </c>
      <c r="M187" s="9">
        <f>IF(C187=0,0,L187/C187*100)</f>
        <v/>
      </c>
    </row>
    <row r="188">
      <c r="A188" s="7" t="n">
        <v>2</v>
      </c>
      <c r="B188" s="8">
        <f>B6</f>
        <v/>
      </c>
      <c r="C188" s="8">
        <f>C6</f>
        <v/>
      </c>
      <c r="D188" s="14" t="n"/>
      <c r="E188" s="14" t="n"/>
      <c r="F188" s="8">
        <f>D188+E188</f>
        <v/>
      </c>
      <c r="G188" s="14" t="n"/>
      <c r="H188" s="14" t="n"/>
      <c r="I188" s="8">
        <f>G188+H188</f>
        <v/>
      </c>
      <c r="J188" s="8">
        <f>D188+G188</f>
        <v/>
      </c>
      <c r="K188" s="8">
        <f>E188+H188</f>
        <v/>
      </c>
      <c r="L188" s="8">
        <f>J188+K188</f>
        <v/>
      </c>
      <c r="M188" s="9">
        <f>IF(C188=0,0,L188/C188*100)</f>
        <v/>
      </c>
    </row>
    <row r="189">
      <c r="A189" s="7" t="n">
        <v>3</v>
      </c>
      <c r="B189" s="8">
        <f>B7</f>
        <v/>
      </c>
      <c r="C189" s="8">
        <f>C7</f>
        <v/>
      </c>
      <c r="D189" s="14" t="n"/>
      <c r="E189" s="14" t="n"/>
      <c r="F189" s="8">
        <f>D189+E189</f>
        <v/>
      </c>
      <c r="G189" s="14" t="n"/>
      <c r="H189" s="14" t="n"/>
      <c r="I189" s="8">
        <f>G189+H189</f>
        <v/>
      </c>
      <c r="J189" s="8">
        <f>D189+G189</f>
        <v/>
      </c>
      <c r="K189" s="8">
        <f>E189+H189</f>
        <v/>
      </c>
      <c r="L189" s="8">
        <f>J189+K189</f>
        <v/>
      </c>
      <c r="M189" s="9">
        <f>IF(C189=0,0,L189/C189*100)</f>
        <v/>
      </c>
    </row>
    <row r="190">
      <c r="A190" s="7" t="n">
        <v>4</v>
      </c>
      <c r="B190" s="8">
        <f>B8</f>
        <v/>
      </c>
      <c r="C190" s="8">
        <f>C8</f>
        <v/>
      </c>
      <c r="D190" s="14" t="n"/>
      <c r="E190" s="14" t="n"/>
      <c r="F190" s="8">
        <f>D190+E190</f>
        <v/>
      </c>
      <c r="G190" s="14" t="n"/>
      <c r="H190" s="14" t="n"/>
      <c r="I190" s="8">
        <f>G190+H190</f>
        <v/>
      </c>
      <c r="J190" s="8">
        <f>D190+G190</f>
        <v/>
      </c>
      <c r="K190" s="8">
        <f>E190+H190</f>
        <v/>
      </c>
      <c r="L190" s="8">
        <f>J190+K190</f>
        <v/>
      </c>
      <c r="M190" s="9">
        <f>IF(C190=0,0,L190/C190*100)</f>
        <v/>
      </c>
    </row>
    <row r="191">
      <c r="A191" s="7" t="n">
        <v>5</v>
      </c>
      <c r="B191" s="8">
        <f>B9</f>
        <v/>
      </c>
      <c r="C191" s="8">
        <f>C9</f>
        <v/>
      </c>
      <c r="D191" s="14" t="n"/>
      <c r="E191" s="14" t="n"/>
      <c r="F191" s="8">
        <f>D191+E191</f>
        <v/>
      </c>
      <c r="G191" s="14" t="n"/>
      <c r="H191" s="14" t="n"/>
      <c r="I191" s="8">
        <f>G191+H191</f>
        <v/>
      </c>
      <c r="J191" s="8">
        <f>D191+G191</f>
        <v/>
      </c>
      <c r="K191" s="8">
        <f>E191+H191</f>
        <v/>
      </c>
      <c r="L191" s="8">
        <f>J191+K191</f>
        <v/>
      </c>
      <c r="M191" s="9">
        <f>IF(C191=0,0,L191/C191*100)</f>
        <v/>
      </c>
    </row>
    <row r="192">
      <c r="A192" s="7" t="n">
        <v>6</v>
      </c>
      <c r="B192" s="8">
        <f>B10</f>
        <v/>
      </c>
      <c r="C192" s="8">
        <f>C10</f>
        <v/>
      </c>
      <c r="D192" s="14" t="n"/>
      <c r="E192" s="14" t="n"/>
      <c r="F192" s="8">
        <f>D192+E192</f>
        <v/>
      </c>
      <c r="G192" s="14" t="n"/>
      <c r="H192" s="14" t="n"/>
      <c r="I192" s="8">
        <f>G192+H192</f>
        <v/>
      </c>
      <c r="J192" s="8">
        <f>D192+G192</f>
        <v/>
      </c>
      <c r="K192" s="8">
        <f>E192+H192</f>
        <v/>
      </c>
      <c r="L192" s="8">
        <f>J192+K192</f>
        <v/>
      </c>
      <c r="M192" s="9">
        <f>IF(C192=0,0,L192/C192*100)</f>
        <v/>
      </c>
    </row>
    <row r="193">
      <c r="A193" s="7" t="n">
        <v>7</v>
      </c>
      <c r="B193" s="8">
        <f>B11</f>
        <v/>
      </c>
      <c r="C193" s="8">
        <f>C11</f>
        <v/>
      </c>
      <c r="D193" s="14" t="n"/>
      <c r="E193" s="14" t="n"/>
      <c r="F193" s="8">
        <f>D193+E193</f>
        <v/>
      </c>
      <c r="G193" s="14" t="n"/>
      <c r="H193" s="14" t="n"/>
      <c r="I193" s="8">
        <f>G193+H193</f>
        <v/>
      </c>
      <c r="J193" s="8">
        <f>D193+G193</f>
        <v/>
      </c>
      <c r="K193" s="8">
        <f>E193+H193</f>
        <v/>
      </c>
      <c r="L193" s="8">
        <f>J193+K193</f>
        <v/>
      </c>
      <c r="M193" s="9">
        <f>IF(C193=0,0,L193/C193*100)</f>
        <v/>
      </c>
    </row>
    <row r="194">
      <c r="A194" s="10" t="inlineStr">
        <is>
          <t>Total</t>
        </is>
      </c>
      <c r="B194" s="11">
        <f>SUM(B187:B193)</f>
        <v/>
      </c>
      <c r="C194" s="11">
        <f>SUM(C187:C193)</f>
        <v/>
      </c>
      <c r="D194" s="11">
        <f>SUM(D187:D193)</f>
        <v/>
      </c>
      <c r="E194" s="11">
        <f>SUM(E187:E193)</f>
        <v/>
      </c>
      <c r="F194" s="11">
        <f>D194+E194</f>
        <v/>
      </c>
      <c r="G194" s="11">
        <f>SUM(G187:G193)</f>
        <v/>
      </c>
      <c r="H194" s="11">
        <f>SUM(H187:H193)</f>
        <v/>
      </c>
      <c r="I194" s="11">
        <f>G194+H194</f>
        <v/>
      </c>
      <c r="J194" s="11">
        <f>D194+G194</f>
        <v/>
      </c>
      <c r="K194" s="11">
        <f>E194+H194</f>
        <v/>
      </c>
      <c r="L194" s="11">
        <f>J194+K194</f>
        <v/>
      </c>
      <c r="M194" s="12">
        <f>IF(C194=0,0,L194/C194*100)</f>
        <v/>
      </c>
    </row>
    <row r="196">
      <c r="A196" s="13" t="inlineStr">
        <is>
          <t>Day 15 - 2026-10-19 (Mon 02 Kartik 2083)</t>
        </is>
      </c>
    </row>
    <row r="197">
      <c r="A197" s="6" t="inlineStr">
        <is>
          <t>Ward no.</t>
        </is>
      </c>
      <c r="B197" s="6" t="inlineStr">
        <is>
          <t>Total population</t>
        </is>
      </c>
      <c r="C197" s="6" t="inlineStr">
        <is>
          <t>JE target population</t>
        </is>
      </c>
      <c r="D197" s="6" t="inlineStr">
        <is>
          <t>Vaccinated</t>
        </is>
      </c>
      <c r="E197" s="6" t="n"/>
      <c r="F197" s="6" t="n"/>
      <c r="G197" s="6" t="n"/>
      <c r="H197" s="6" t="n"/>
      <c r="I197" s="6" t="n"/>
      <c r="J197" s="6" t="n"/>
      <c r="K197" s="6" t="n"/>
      <c r="L197" s="6" t="n"/>
      <c r="M197" s="6" t="inlineStr">
        <is>
          <t>Progress %</t>
        </is>
      </c>
    </row>
    <row r="198">
      <c r="A198" s="6" t="n"/>
      <c r="B198" s="6" t="n"/>
      <c r="C198" s="6" t="n"/>
      <c r="D198" s="6" t="inlineStr">
        <is>
          <t>Age 30-60 yrs</t>
        </is>
      </c>
      <c r="E198" s="6" t="n"/>
      <c r="F198" s="6" t="n"/>
      <c r="G198" s="6" t="inlineStr">
        <is>
          <t>Age 60 above</t>
        </is>
      </c>
      <c r="H198" s="6" t="n"/>
      <c r="I198" s="6" t="n"/>
      <c r="J198" s="6" t="inlineStr">
        <is>
          <t>Total</t>
        </is>
      </c>
      <c r="K198" s="6" t="n"/>
      <c r="L198" s="6" t="inlineStr">
        <is>
          <t>Grand Total</t>
        </is>
      </c>
      <c r="M198" s="6" t="n"/>
    </row>
    <row r="199">
      <c r="A199" s="6" t="n"/>
      <c r="B199" s="6" t="n"/>
      <c r="C199" s="6" t="n"/>
      <c r="D199" s="6" t="inlineStr">
        <is>
          <t>F</t>
        </is>
      </c>
      <c r="E199" s="6" t="inlineStr">
        <is>
          <t>M</t>
        </is>
      </c>
      <c r="F199" s="6" t="inlineStr">
        <is>
          <t>Total</t>
        </is>
      </c>
      <c r="G199" s="6" t="inlineStr">
        <is>
          <t>F</t>
        </is>
      </c>
      <c r="H199" s="6" t="inlineStr">
        <is>
          <t>M</t>
        </is>
      </c>
      <c r="I199" s="6" t="inlineStr">
        <is>
          <t>Total</t>
        </is>
      </c>
      <c r="J199" s="6" t="inlineStr">
        <is>
          <t>F</t>
        </is>
      </c>
      <c r="K199" s="6" t="inlineStr">
        <is>
          <t>M</t>
        </is>
      </c>
      <c r="L199" s="6" t="n"/>
      <c r="M199" s="6" t="n"/>
    </row>
    <row r="200">
      <c r="A200" s="7" t="n">
        <v>1</v>
      </c>
      <c r="B200" s="8">
        <f>B5</f>
        <v/>
      </c>
      <c r="C200" s="8">
        <f>C5</f>
        <v/>
      </c>
      <c r="D200" s="14" t="n"/>
      <c r="E200" s="14" t="n"/>
      <c r="F200" s="8">
        <f>D200+E200</f>
        <v/>
      </c>
      <c r="G200" s="14" t="n"/>
      <c r="H200" s="14" t="n"/>
      <c r="I200" s="8">
        <f>G200+H200</f>
        <v/>
      </c>
      <c r="J200" s="8">
        <f>D200+G200</f>
        <v/>
      </c>
      <c r="K200" s="8">
        <f>E200+H200</f>
        <v/>
      </c>
      <c r="L200" s="8">
        <f>J200+K200</f>
        <v/>
      </c>
      <c r="M200" s="9">
        <f>IF(C200=0,0,L200/C200*100)</f>
        <v/>
      </c>
    </row>
    <row r="201">
      <c r="A201" s="7" t="n">
        <v>2</v>
      </c>
      <c r="B201" s="8">
        <f>B6</f>
        <v/>
      </c>
      <c r="C201" s="8">
        <f>C6</f>
        <v/>
      </c>
      <c r="D201" s="14" t="n"/>
      <c r="E201" s="14" t="n"/>
      <c r="F201" s="8">
        <f>D201+E201</f>
        <v/>
      </c>
      <c r="G201" s="14" t="n"/>
      <c r="H201" s="14" t="n"/>
      <c r="I201" s="8">
        <f>G201+H201</f>
        <v/>
      </c>
      <c r="J201" s="8">
        <f>D201+G201</f>
        <v/>
      </c>
      <c r="K201" s="8">
        <f>E201+H201</f>
        <v/>
      </c>
      <c r="L201" s="8">
        <f>J201+K201</f>
        <v/>
      </c>
      <c r="M201" s="9">
        <f>IF(C201=0,0,L201/C201*100)</f>
        <v/>
      </c>
    </row>
    <row r="202">
      <c r="A202" s="7" t="n">
        <v>3</v>
      </c>
      <c r="B202" s="8">
        <f>B7</f>
        <v/>
      </c>
      <c r="C202" s="8">
        <f>C7</f>
        <v/>
      </c>
      <c r="D202" s="14" t="n"/>
      <c r="E202" s="14" t="n"/>
      <c r="F202" s="8">
        <f>D202+E202</f>
        <v/>
      </c>
      <c r="G202" s="14" t="n"/>
      <c r="H202" s="14" t="n"/>
      <c r="I202" s="8">
        <f>G202+H202</f>
        <v/>
      </c>
      <c r="J202" s="8">
        <f>D202+G202</f>
        <v/>
      </c>
      <c r="K202" s="8">
        <f>E202+H202</f>
        <v/>
      </c>
      <c r="L202" s="8">
        <f>J202+K202</f>
        <v/>
      </c>
      <c r="M202" s="9">
        <f>IF(C202=0,0,L202/C202*100)</f>
        <v/>
      </c>
    </row>
    <row r="203">
      <c r="A203" s="7" t="n">
        <v>4</v>
      </c>
      <c r="B203" s="8">
        <f>B8</f>
        <v/>
      </c>
      <c r="C203" s="8">
        <f>C8</f>
        <v/>
      </c>
      <c r="D203" s="14" t="n"/>
      <c r="E203" s="14" t="n"/>
      <c r="F203" s="8">
        <f>D203+E203</f>
        <v/>
      </c>
      <c r="G203" s="14" t="n"/>
      <c r="H203" s="14" t="n"/>
      <c r="I203" s="8">
        <f>G203+H203</f>
        <v/>
      </c>
      <c r="J203" s="8">
        <f>D203+G203</f>
        <v/>
      </c>
      <c r="K203" s="8">
        <f>E203+H203</f>
        <v/>
      </c>
      <c r="L203" s="8">
        <f>J203+K203</f>
        <v/>
      </c>
      <c r="M203" s="9">
        <f>IF(C203=0,0,L203/C203*100)</f>
        <v/>
      </c>
    </row>
    <row r="204">
      <c r="A204" s="7" t="n">
        <v>5</v>
      </c>
      <c r="B204" s="8">
        <f>B9</f>
        <v/>
      </c>
      <c r="C204" s="8">
        <f>C9</f>
        <v/>
      </c>
      <c r="D204" s="14" t="n"/>
      <c r="E204" s="14" t="n"/>
      <c r="F204" s="8">
        <f>D204+E204</f>
        <v/>
      </c>
      <c r="G204" s="14" t="n"/>
      <c r="H204" s="14" t="n"/>
      <c r="I204" s="8">
        <f>G204+H204</f>
        <v/>
      </c>
      <c r="J204" s="8">
        <f>D204+G204</f>
        <v/>
      </c>
      <c r="K204" s="8">
        <f>E204+H204</f>
        <v/>
      </c>
      <c r="L204" s="8">
        <f>J204+K204</f>
        <v/>
      </c>
      <c r="M204" s="9">
        <f>IF(C204=0,0,L204/C204*100)</f>
        <v/>
      </c>
    </row>
    <row r="205">
      <c r="A205" s="7" t="n">
        <v>6</v>
      </c>
      <c r="B205" s="8">
        <f>B10</f>
        <v/>
      </c>
      <c r="C205" s="8">
        <f>C10</f>
        <v/>
      </c>
      <c r="D205" s="14" t="n"/>
      <c r="E205" s="14" t="n"/>
      <c r="F205" s="8">
        <f>D205+E205</f>
        <v/>
      </c>
      <c r="G205" s="14" t="n"/>
      <c r="H205" s="14" t="n"/>
      <c r="I205" s="8">
        <f>G205+H205</f>
        <v/>
      </c>
      <c r="J205" s="8">
        <f>D205+G205</f>
        <v/>
      </c>
      <c r="K205" s="8">
        <f>E205+H205</f>
        <v/>
      </c>
      <c r="L205" s="8">
        <f>J205+K205</f>
        <v/>
      </c>
      <c r="M205" s="9">
        <f>IF(C205=0,0,L205/C205*100)</f>
        <v/>
      </c>
    </row>
    <row r="206">
      <c r="A206" s="7" t="n">
        <v>7</v>
      </c>
      <c r="B206" s="8">
        <f>B11</f>
        <v/>
      </c>
      <c r="C206" s="8">
        <f>C11</f>
        <v/>
      </c>
      <c r="D206" s="14" t="n"/>
      <c r="E206" s="14" t="n"/>
      <c r="F206" s="8">
        <f>D206+E206</f>
        <v/>
      </c>
      <c r="G206" s="14" t="n"/>
      <c r="H206" s="14" t="n"/>
      <c r="I206" s="8">
        <f>G206+H206</f>
        <v/>
      </c>
      <c r="J206" s="8">
        <f>D206+G206</f>
        <v/>
      </c>
      <c r="K206" s="8">
        <f>E206+H206</f>
        <v/>
      </c>
      <c r="L206" s="8">
        <f>J206+K206</f>
        <v/>
      </c>
      <c r="M206" s="9">
        <f>IF(C206=0,0,L206/C206*100)</f>
        <v/>
      </c>
    </row>
    <row r="207">
      <c r="A207" s="10" t="inlineStr">
        <is>
          <t>Total</t>
        </is>
      </c>
      <c r="B207" s="11">
        <f>SUM(B200:B206)</f>
        <v/>
      </c>
      <c r="C207" s="11">
        <f>SUM(C200:C206)</f>
        <v/>
      </c>
      <c r="D207" s="11">
        <f>SUM(D200:D206)</f>
        <v/>
      </c>
      <c r="E207" s="11">
        <f>SUM(E200:E206)</f>
        <v/>
      </c>
      <c r="F207" s="11">
        <f>D207+E207</f>
        <v/>
      </c>
      <c r="G207" s="11">
        <f>SUM(G200:G206)</f>
        <v/>
      </c>
      <c r="H207" s="11">
        <f>SUM(H200:H206)</f>
        <v/>
      </c>
      <c r="I207" s="11">
        <f>G207+H207</f>
        <v/>
      </c>
      <c r="J207" s="11">
        <f>D207+G207</f>
        <v/>
      </c>
      <c r="K207" s="11">
        <f>E207+H207</f>
        <v/>
      </c>
      <c r="L207" s="11">
        <f>J207+K207</f>
        <v/>
      </c>
      <c r="M207" s="12">
        <f>IF(C207=0,0,L207/C207*100)</f>
        <v/>
      </c>
    </row>
  </sheetData>
  <sheetProtection selectLockedCells="0" selectUnlockedCells="0" sheet="1" objects="0" insertRows="1" insertHyperlinks="1" autoFilter="1" scenarios="0" formatColumns="0" deleteColumns="1" insertColumns="1" pivotTables="1" deleteRows="1" formatCells="0" formatRows="0" sort="1"/>
  <mergeCells count="160">
    <mergeCell ref="A144:M144"/>
    <mergeCell ref="L3:L4"/>
    <mergeCell ref="M184:M186"/>
    <mergeCell ref="J146:K146"/>
    <mergeCell ref="L146:L147"/>
    <mergeCell ref="M41:M43"/>
    <mergeCell ref="L133:L134"/>
    <mergeCell ref="M106:M108"/>
    <mergeCell ref="J68:K68"/>
    <mergeCell ref="L185:L186"/>
    <mergeCell ref="A171:A173"/>
    <mergeCell ref="A40:M40"/>
    <mergeCell ref="L55:L56"/>
    <mergeCell ref="A15:A17"/>
    <mergeCell ref="M67:M69"/>
    <mergeCell ref="D133:F133"/>
    <mergeCell ref="G16:I16"/>
    <mergeCell ref="D29:F29"/>
    <mergeCell ref="D94:F94"/>
    <mergeCell ref="L94:L95"/>
    <mergeCell ref="L81:L82"/>
    <mergeCell ref="A41:A43"/>
    <mergeCell ref="C41:C43"/>
    <mergeCell ref="C93:C95"/>
    <mergeCell ref="M132:M134"/>
    <mergeCell ref="M119:M121"/>
    <mergeCell ref="D159:F159"/>
    <mergeCell ref="G42:I42"/>
    <mergeCell ref="G107:I107"/>
    <mergeCell ref="A27:M27"/>
    <mergeCell ref="J185:K185"/>
    <mergeCell ref="L16:L17"/>
    <mergeCell ref="D2:L2"/>
    <mergeCell ref="J120:K120"/>
    <mergeCell ref="G172:I172"/>
    <mergeCell ref="D120:F120"/>
    <mergeCell ref="B171:B173"/>
    <mergeCell ref="D185:F185"/>
    <mergeCell ref="D107:F107"/>
    <mergeCell ref="L198:L199"/>
    <mergeCell ref="A184:A186"/>
    <mergeCell ref="L68:L69"/>
    <mergeCell ref="D197:L197"/>
    <mergeCell ref="A106:A108"/>
    <mergeCell ref="C106:C108"/>
    <mergeCell ref="G133:I133"/>
    <mergeCell ref="B197:B199"/>
    <mergeCell ref="D146:F146"/>
    <mergeCell ref="L42:L43"/>
    <mergeCell ref="G55:I55"/>
    <mergeCell ref="D3:F3"/>
    <mergeCell ref="L29:L30"/>
    <mergeCell ref="D68:F68"/>
    <mergeCell ref="C145:C147"/>
    <mergeCell ref="D55:F55"/>
    <mergeCell ref="C54:C56"/>
    <mergeCell ref="D15:L15"/>
    <mergeCell ref="C15:C17"/>
    <mergeCell ref="G159:I159"/>
    <mergeCell ref="A79:M79"/>
    <mergeCell ref="J94:K94"/>
    <mergeCell ref="G81:I81"/>
    <mergeCell ref="A54:A56"/>
    <mergeCell ref="A197:A199"/>
    <mergeCell ref="C197:C199"/>
    <mergeCell ref="J3:K3"/>
    <mergeCell ref="G120:I120"/>
    <mergeCell ref="A105:M105"/>
    <mergeCell ref="J159:K159"/>
    <mergeCell ref="C132:C134"/>
    <mergeCell ref="C67:C69"/>
    <mergeCell ref="J29:K29"/>
    <mergeCell ref="C119:C121"/>
    <mergeCell ref="A2:A4"/>
    <mergeCell ref="J81:K81"/>
    <mergeCell ref="B158:B160"/>
    <mergeCell ref="C2:C4"/>
    <mergeCell ref="G146:I146"/>
    <mergeCell ref="A131:M131"/>
    <mergeCell ref="B15:B17"/>
    <mergeCell ref="A53:M53"/>
    <mergeCell ref="G3:I3"/>
    <mergeCell ref="B80:B82"/>
    <mergeCell ref="G68:I68"/>
    <mergeCell ref="D16:F16"/>
    <mergeCell ref="A93:A95"/>
    <mergeCell ref="D171:L171"/>
    <mergeCell ref="M197:M199"/>
    <mergeCell ref="C158:C160"/>
    <mergeCell ref="D106:L106"/>
    <mergeCell ref="D28:L28"/>
    <mergeCell ref="A28:A30"/>
    <mergeCell ref="D93:L93"/>
    <mergeCell ref="C28:C30"/>
    <mergeCell ref="A92:M92"/>
    <mergeCell ref="B41:B43"/>
    <mergeCell ref="G29:I29"/>
    <mergeCell ref="G94:I94"/>
    <mergeCell ref="D42:F42"/>
    <mergeCell ref="A1:M1"/>
    <mergeCell ref="D67:L67"/>
    <mergeCell ref="J172:K172"/>
    <mergeCell ref="J16:K16"/>
    <mergeCell ref="D54:L54"/>
    <mergeCell ref="B2:B4"/>
    <mergeCell ref="B93:B95"/>
    <mergeCell ref="D172:F172"/>
    <mergeCell ref="C184:C186"/>
    <mergeCell ref="C171:C173"/>
    <mergeCell ref="D119:L119"/>
    <mergeCell ref="J133:K133"/>
    <mergeCell ref="J42:K42"/>
    <mergeCell ref="M54:M56"/>
    <mergeCell ref="D80:L80"/>
    <mergeCell ref="L107:L108"/>
    <mergeCell ref="B132:B134"/>
    <mergeCell ref="B28:B30"/>
    <mergeCell ref="B119:B121"/>
    <mergeCell ref="A145:A147"/>
    <mergeCell ref="D198:F198"/>
    <mergeCell ref="A14:M14"/>
    <mergeCell ref="M145:M147"/>
    <mergeCell ref="D145:L145"/>
    <mergeCell ref="D41:L41"/>
    <mergeCell ref="A170:M170"/>
    <mergeCell ref="B54:B56"/>
    <mergeCell ref="A67:A69"/>
    <mergeCell ref="M171:M173"/>
    <mergeCell ref="D184:L184"/>
    <mergeCell ref="J107:K107"/>
    <mergeCell ref="B184:B186"/>
    <mergeCell ref="M93:M95"/>
    <mergeCell ref="J55:K55"/>
    <mergeCell ref="A157:M157"/>
    <mergeCell ref="L172:L173"/>
    <mergeCell ref="B106:B108"/>
    <mergeCell ref="A132:A134"/>
    <mergeCell ref="A119:A121"/>
    <mergeCell ref="D132:L132"/>
    <mergeCell ref="G198:I198"/>
    <mergeCell ref="L159:L160"/>
    <mergeCell ref="M2:M4"/>
    <mergeCell ref="A196:M196"/>
    <mergeCell ref="G185:I185"/>
    <mergeCell ref="B145:B147"/>
    <mergeCell ref="L120:L121"/>
    <mergeCell ref="A183:M183"/>
    <mergeCell ref="B67:B69"/>
    <mergeCell ref="D81:F81"/>
    <mergeCell ref="A66:M66"/>
    <mergeCell ref="A118:M118"/>
    <mergeCell ref="A158:A160"/>
    <mergeCell ref="M158:M160"/>
    <mergeCell ref="A80:A82"/>
    <mergeCell ref="J198:K198"/>
    <mergeCell ref="D158:L158"/>
    <mergeCell ref="C80:C82"/>
    <mergeCell ref="M15:M17"/>
    <mergeCell ref="M28:M30"/>
    <mergeCell ref="M80:M82"/>
  </mergeCells>
  <dataValidations count="1">
    <dataValidation sqref="D18 D19 D20 D21 D22 D23 D24 D31 D32 D33 D34 D35 D36 D37 D44 D45 D46 D47 D48 D49 D50 D57 D58 D59 D60 D61 D62 D63 D70 D71 D72 D73 D74 D75 D76 D83 D84 D85 D86 D87 D88 D89 D96 D97 D98 D99 D100 D101 D102 D109 D110 D111 D112 D113 D114 D115 D122 D123 D124 D125 D126 D127 D128 D135 D136 D137 D138 D139 D140 D141 D148 D149 D150 D151 D152 D153 D154 D161 D162 D163 D164 D165 D166 D167 D174 D175 D176 D177 D178 D179 D180 D187 D188 D189 D190 D191 D192 D193 D200 D201 D202 D203 D204 D205 D206 E18 E19 E20 E21 E22 E23 E24 E31 E32 E33 E34 E35 E36 E37 E44 E45 E46 E47 E48 E49 E50 E57 E58 E59 E60 E61 E62 E63 E70 E71 E72 E73 E74 E75 E76 E83 E84 E85 E86 E87 E88 E89 E96 E97 E98 E99 E100 E101 E102 E109 E110 E111 E112 E113 E114 E115 E122 E123 E124 E125 E126 E127 E128 E135 E136 E137 E138 E139 E140 E141 E148 E149 E150 E151 E152 E153 E154 E161 E162 E163 E164 E165 E166 E167 E174 E175 E176 E177 E178 E179 E180 E187 E188 E189 E190 E191 E192 E193 E200 E201 E202 E203 E204 E205 E206 G18 G19 G20 G21 G22 G23 G24 G31 G32 G33 G34 G35 G36 G37 G44 G45 G46 G47 G48 G49 G50 G57 G58 G59 G60 G61 G62 G63 G70 G71 G72 G73 G74 G75 G76 G83 G84 G85 G86 G87 G88 G89 G96 G97 G98 G99 G100 G101 G102 G109 G110 G111 G112 G113 G114 G115 G122 G123 G124 G125 G126 G127 G128 G135 G136 G137 G138 G139 G140 G141 G148 G149 G150 G151 G152 G153 G154 G161 G162 G163 G164 G165 G166 G167 G174 G175 G176 G177 G178 G179 G180 G187 G188 G189 G190 G191 G192 G193 G200 G201 G202 G203 G204 G205 G206 H18 H19 H20 H21 H22 H23 H24 H31 H32 H33 H34 H35 H36 H37 H44 H45 H46 H47 H48 H49 H50 H57 H58 H59 H60 H61 H62 H63 H70 H71 H72 H73 H74 H75 H76 H83 H84 H85 H86 H87 H88 H89 H96 H97 H98 H99 H100 H101 H102 H109 H110 H111 H112 H113 H114 H115 H122 H123 H124 H125 H126 H127 H128 H135 H136 H137 H138 H139 H140 H141 H148 H149 H150 H151 H152 H153 H154 H161 H162 H163 H164 H165 H166 H167 H174 H175 H176 H177 H178 H179 H180 H187 H188 H189 H190 H191 H192 H193 H200 H201 H202 H203 H204 H205 H206" showDropDown="0" showInputMessage="0" showErrorMessage="1" allowBlank="0" errorTitle="Whole number only" error="Enter a whole number of 0 or more." type="whole" operator="greaterThanOrEqual">
      <formula1>0</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39"/>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13" customWidth="1" min="3" max="3"/>
    <col width="7.5" customWidth="1" min="4" max="4"/>
    <col width="7.5" customWidth="1" min="5" max="5"/>
    <col width="7.5" customWidth="1" min="6" max="6"/>
    <col width="7.5" customWidth="1" min="7" max="7"/>
    <col width="7.5" customWidth="1" min="8" max="8"/>
    <col width="7.5" customWidth="1" min="9" max="9"/>
    <col width="7.5" customWidth="1" min="10" max="10"/>
    <col width="7.5" customWidth="1" min="11" max="11"/>
    <col width="10" customWidth="1" min="12" max="12"/>
    <col width="9" customWidth="1" min="13" max="13"/>
  </cols>
  <sheetData>
    <row r="1">
      <c r="A1" s="5" t="inlineStr">
        <is>
          <t>Jhapa District - Campaign Total (5-19 Oct 2026)</t>
        </is>
      </c>
    </row>
    <row r="2">
      <c r="A2" s="6" t="inlineStr">
        <is>
          <t>Local Level</t>
        </is>
      </c>
      <c r="B2" s="6" t="inlineStr">
        <is>
          <t>Total population</t>
        </is>
      </c>
      <c r="C2" s="6" t="inlineStr">
        <is>
          <t>JE target population</t>
        </is>
      </c>
      <c r="D2" s="6" t="inlineStr">
        <is>
          <t>Vaccinated</t>
        </is>
      </c>
      <c r="E2" s="6" t="n"/>
      <c r="F2" s="6" t="n"/>
      <c r="G2" s="6" t="n"/>
      <c r="H2" s="6" t="n"/>
      <c r="I2" s="6" t="n"/>
      <c r="J2" s="6" t="n"/>
      <c r="K2" s="6" t="n"/>
      <c r="L2" s="6" t="n"/>
      <c r="M2" s="6" t="inlineStr">
        <is>
          <t>Progress %</t>
        </is>
      </c>
    </row>
    <row r="3">
      <c r="A3" s="6" t="n"/>
      <c r="B3" s="6" t="n"/>
      <c r="C3" s="6" t="n"/>
      <c r="D3" s="6" t="inlineStr">
        <is>
          <t>Age 30-60 yrs</t>
        </is>
      </c>
      <c r="E3" s="6" t="n"/>
      <c r="F3" s="6" t="n"/>
      <c r="G3" s="6" t="inlineStr">
        <is>
          <t>Age 60 above</t>
        </is>
      </c>
      <c r="H3" s="6" t="n"/>
      <c r="I3" s="6" t="n"/>
      <c r="J3" s="6" t="inlineStr">
        <is>
          <t>Total</t>
        </is>
      </c>
      <c r="K3" s="6" t="n"/>
      <c r="L3" s="6" t="inlineStr">
        <is>
          <t>Grand Total</t>
        </is>
      </c>
      <c r="M3" s="6" t="n"/>
    </row>
    <row r="4">
      <c r="A4" s="6" t="n"/>
      <c r="B4" s="6" t="n"/>
      <c r="C4" s="6" t="n"/>
      <c r="D4" s="6" t="inlineStr">
        <is>
          <t>F</t>
        </is>
      </c>
      <c r="E4" s="6" t="inlineStr">
        <is>
          <t>M</t>
        </is>
      </c>
      <c r="F4" s="6" t="inlineStr">
        <is>
          <t>Total</t>
        </is>
      </c>
      <c r="G4" s="6" t="inlineStr">
        <is>
          <t>F</t>
        </is>
      </c>
      <c r="H4" s="6" t="inlineStr">
        <is>
          <t>M</t>
        </is>
      </c>
      <c r="I4" s="6" t="inlineStr">
        <is>
          <t>Total</t>
        </is>
      </c>
      <c r="J4" s="6" t="inlineStr">
        <is>
          <t>F</t>
        </is>
      </c>
      <c r="K4" s="6" t="inlineStr">
        <is>
          <t>M</t>
        </is>
      </c>
      <c r="L4" s="6" t="n"/>
      <c r="M4" s="6" t="n"/>
    </row>
    <row r="5">
      <c r="A5" s="7" t="inlineStr">
        <is>
          <t>Mechinagar Municipality</t>
        </is>
      </c>
      <c r="B5" s="8" t="n">
        <v>136510</v>
      </c>
      <c r="C5" s="8" t="n">
        <v>65524.8</v>
      </c>
      <c r="D5" s="8">
        <f>'Mechinagar Municipality'!D20</f>
        <v/>
      </c>
      <c r="E5" s="8">
        <f>'Mechinagar Municipality'!E20</f>
        <v/>
      </c>
      <c r="F5" s="8">
        <f>D5+E5</f>
        <v/>
      </c>
      <c r="G5" s="8">
        <f>'Mechinagar Municipality'!G20</f>
        <v/>
      </c>
      <c r="H5" s="8">
        <f>'Mechinagar Municipality'!H20</f>
        <v/>
      </c>
      <c r="I5" s="8">
        <f>G5+H5</f>
        <v/>
      </c>
      <c r="J5" s="8">
        <f>D5+G5</f>
        <v/>
      </c>
      <c r="K5" s="8">
        <f>E5+H5</f>
        <v/>
      </c>
      <c r="L5" s="8">
        <f>J5+K5</f>
        <v/>
      </c>
      <c r="M5" s="9">
        <f>IF(C5=0,0,L5/C5*100)</f>
        <v/>
      </c>
    </row>
    <row r="6">
      <c r="A6" s="7" t="inlineStr">
        <is>
          <t>Buddhashanti Gaunpalika</t>
        </is>
      </c>
      <c r="B6" s="8" t="n">
        <v>54553</v>
      </c>
      <c r="C6" s="8" t="n">
        <v>26185.44</v>
      </c>
      <c r="D6" s="8">
        <f>'Buddhashanti Gaunpalika'!D12</f>
        <v/>
      </c>
      <c r="E6" s="8">
        <f>'Buddhashanti Gaunpalika'!E12</f>
        <v/>
      </c>
      <c r="F6" s="8">
        <f>D6+E6</f>
        <v/>
      </c>
      <c r="G6" s="8">
        <f>'Buddhashanti Gaunpalika'!G12</f>
        <v/>
      </c>
      <c r="H6" s="8">
        <f>'Buddhashanti Gaunpalika'!H12</f>
        <v/>
      </c>
      <c r="I6" s="8">
        <f>G6+H6</f>
        <v/>
      </c>
      <c r="J6" s="8">
        <f>D6+G6</f>
        <v/>
      </c>
      <c r="K6" s="8">
        <f>E6+H6</f>
        <v/>
      </c>
      <c r="L6" s="8">
        <f>J6+K6</f>
        <v/>
      </c>
      <c r="M6" s="9">
        <f>IF(C6=0,0,L6/C6*100)</f>
        <v/>
      </c>
    </row>
    <row r="7">
      <c r="A7" s="7" t="inlineStr">
        <is>
          <t>Arjundhara Municipality</t>
        </is>
      </c>
      <c r="B7" s="8" t="n">
        <v>88888</v>
      </c>
      <c r="C7" s="8" t="n">
        <v>42666.24</v>
      </c>
      <c r="D7" s="8">
        <f>'Arjundhara Municipality'!D16</f>
        <v/>
      </c>
      <c r="E7" s="8">
        <f>'Arjundhara Municipality'!E16</f>
        <v/>
      </c>
      <c r="F7" s="8">
        <f>D7+E7</f>
        <v/>
      </c>
      <c r="G7" s="8">
        <f>'Arjundhara Municipality'!G16</f>
        <v/>
      </c>
      <c r="H7" s="8">
        <f>'Arjundhara Municipality'!H16</f>
        <v/>
      </c>
      <c r="I7" s="8">
        <f>G7+H7</f>
        <v/>
      </c>
      <c r="J7" s="8">
        <f>D7+G7</f>
        <v/>
      </c>
      <c r="K7" s="8">
        <f>E7+H7</f>
        <v/>
      </c>
      <c r="L7" s="8">
        <f>J7+K7</f>
        <v/>
      </c>
      <c r="M7" s="9">
        <f>IF(C7=0,0,L7/C7*100)</f>
        <v/>
      </c>
    </row>
    <row r="8">
      <c r="A8" s="7" t="inlineStr">
        <is>
          <t>Kankai Municipality</t>
        </is>
      </c>
      <c r="B8" s="8" t="n">
        <v>54681</v>
      </c>
      <c r="C8" s="8" t="n">
        <v>26246.88</v>
      </c>
      <c r="D8" s="8">
        <f>'Kankai Municipality'!D14</f>
        <v/>
      </c>
      <c r="E8" s="8">
        <f>'Kankai Municipality'!E14</f>
        <v/>
      </c>
      <c r="F8" s="8">
        <f>D8+E8</f>
        <v/>
      </c>
      <c r="G8" s="8">
        <f>'Kankai Municipality'!G14</f>
        <v/>
      </c>
      <c r="H8" s="8">
        <f>'Kankai Municipality'!H14</f>
        <v/>
      </c>
      <c r="I8" s="8">
        <f>G8+H8</f>
        <v/>
      </c>
      <c r="J8" s="8">
        <f>D8+G8</f>
        <v/>
      </c>
      <c r="K8" s="8">
        <f>E8+H8</f>
        <v/>
      </c>
      <c r="L8" s="8">
        <f>J8+K8</f>
        <v/>
      </c>
      <c r="M8" s="9">
        <f>IF(C8=0,0,L8/C8*100)</f>
        <v/>
      </c>
    </row>
    <row r="9">
      <c r="A9" s="7" t="inlineStr">
        <is>
          <t>Shivasatakshi Municipality</t>
        </is>
      </c>
      <c r="B9" s="8" t="n">
        <v>76040</v>
      </c>
      <c r="C9" s="8" t="n">
        <v>36499.2</v>
      </c>
      <c r="D9" s="8">
        <f>'Shivasatakshi Municipality'!D16</f>
        <v/>
      </c>
      <c r="E9" s="8">
        <f>'Shivasatakshi Municipality'!E16</f>
        <v/>
      </c>
      <c r="F9" s="8">
        <f>D9+E9</f>
        <v/>
      </c>
      <c r="G9" s="8">
        <f>'Shivasatakshi Municipality'!G16</f>
        <v/>
      </c>
      <c r="H9" s="8">
        <f>'Shivasatakshi Municipality'!H16</f>
        <v/>
      </c>
      <c r="I9" s="8">
        <f>G9+H9</f>
        <v/>
      </c>
      <c r="J9" s="8">
        <f>D9+G9</f>
        <v/>
      </c>
      <c r="K9" s="8">
        <f>E9+H9</f>
        <v/>
      </c>
      <c r="L9" s="8">
        <f>J9+K9</f>
        <v/>
      </c>
      <c r="M9" s="9">
        <f>IF(C9=0,0,L9/C9*100)</f>
        <v/>
      </c>
    </row>
    <row r="10">
      <c r="A10" s="7" t="inlineStr">
        <is>
          <t>Kamal Gaunpalika</t>
        </is>
      </c>
      <c r="B10" s="8" t="n">
        <v>55141</v>
      </c>
      <c r="C10" s="8" t="n">
        <v>26467.68</v>
      </c>
      <c r="D10" s="8">
        <f>'Kamal Gaunpalika'!D12</f>
        <v/>
      </c>
      <c r="E10" s="8">
        <f>'Kamal Gaunpalika'!E12</f>
        <v/>
      </c>
      <c r="F10" s="8">
        <f>D10+E10</f>
        <v/>
      </c>
      <c r="G10" s="8">
        <f>'Kamal Gaunpalika'!G12</f>
        <v/>
      </c>
      <c r="H10" s="8">
        <f>'Kamal Gaunpalika'!H12</f>
        <v/>
      </c>
      <c r="I10" s="8">
        <f>G10+H10</f>
        <v/>
      </c>
      <c r="J10" s="8">
        <f>D10+G10</f>
        <v/>
      </c>
      <c r="K10" s="8">
        <f>E10+H10</f>
        <v/>
      </c>
      <c r="L10" s="8">
        <f>J10+K10</f>
        <v/>
      </c>
      <c r="M10" s="9">
        <f>IF(C10=0,0,L10/C10*100)</f>
        <v/>
      </c>
    </row>
    <row r="11">
      <c r="A11" s="7" t="inlineStr">
        <is>
          <t>Damak Municipality</t>
        </is>
      </c>
      <c r="B11" s="8" t="n">
        <v>115301</v>
      </c>
      <c r="C11" s="8" t="n">
        <v>55344.48</v>
      </c>
      <c r="D11" s="8">
        <f>'Damak Municipality'!D15</f>
        <v/>
      </c>
      <c r="E11" s="8">
        <f>'Damak Municipality'!E15</f>
        <v/>
      </c>
      <c r="F11" s="8">
        <f>D11+E11</f>
        <v/>
      </c>
      <c r="G11" s="8">
        <f>'Damak Municipality'!G15</f>
        <v/>
      </c>
      <c r="H11" s="8">
        <f>'Damak Municipality'!H15</f>
        <v/>
      </c>
      <c r="I11" s="8">
        <f>G11+H11</f>
        <v/>
      </c>
      <c r="J11" s="8">
        <f>D11+G11</f>
        <v/>
      </c>
      <c r="K11" s="8">
        <f>E11+H11</f>
        <v/>
      </c>
      <c r="L11" s="8">
        <f>J11+K11</f>
        <v/>
      </c>
      <c r="M11" s="9">
        <f>IF(C11=0,0,L11/C11*100)</f>
        <v/>
      </c>
    </row>
    <row r="12">
      <c r="A12" s="7" t="inlineStr">
        <is>
          <t>Gauradaha Municipality</t>
        </is>
      </c>
      <c r="B12" s="8" t="n">
        <v>62565</v>
      </c>
      <c r="C12" s="8" t="n">
        <v>30031.2</v>
      </c>
      <c r="D12" s="8">
        <f>'Gauradaha Municipality'!D14</f>
        <v/>
      </c>
      <c r="E12" s="8">
        <f>'Gauradaha Municipality'!E14</f>
        <v/>
      </c>
      <c r="F12" s="8">
        <f>D12+E12</f>
        <v/>
      </c>
      <c r="G12" s="8">
        <f>'Gauradaha Municipality'!G14</f>
        <v/>
      </c>
      <c r="H12" s="8">
        <f>'Gauradaha Municipality'!H14</f>
        <v/>
      </c>
      <c r="I12" s="8">
        <f>G12+H12</f>
        <v/>
      </c>
      <c r="J12" s="8">
        <f>D12+G12</f>
        <v/>
      </c>
      <c r="K12" s="8">
        <f>E12+H12</f>
        <v/>
      </c>
      <c r="L12" s="8">
        <f>J12+K12</f>
        <v/>
      </c>
      <c r="M12" s="9">
        <f>IF(C12=0,0,L12/C12*100)</f>
        <v/>
      </c>
    </row>
    <row r="13">
      <c r="A13" s="7" t="inlineStr">
        <is>
          <t>Gauriganj Gaunpalika</t>
        </is>
      </c>
      <c r="B13" s="8" t="n">
        <v>35696</v>
      </c>
      <c r="C13" s="8" t="n">
        <v>17134.08</v>
      </c>
      <c r="D13" s="8">
        <f>'Gauriganj Gaunpalika'!D11</f>
        <v/>
      </c>
      <c r="E13" s="8">
        <f>'Gauriganj Gaunpalika'!E11</f>
        <v/>
      </c>
      <c r="F13" s="8">
        <f>D13+E13</f>
        <v/>
      </c>
      <c r="G13" s="8">
        <f>'Gauriganj Gaunpalika'!G11</f>
        <v/>
      </c>
      <c r="H13" s="8">
        <f>'Gauriganj Gaunpalika'!H11</f>
        <v/>
      </c>
      <c r="I13" s="8">
        <f>G13+H13</f>
        <v/>
      </c>
      <c r="J13" s="8">
        <f>D13+G13</f>
        <v/>
      </c>
      <c r="K13" s="8">
        <f>E13+H13</f>
        <v/>
      </c>
      <c r="L13" s="8">
        <f>J13+K13</f>
        <v/>
      </c>
      <c r="M13" s="9">
        <f>IF(C13=0,0,L13/C13*100)</f>
        <v/>
      </c>
    </row>
    <row r="14">
      <c r="A14" s="7" t="inlineStr">
        <is>
          <t>Jhapa Gaunpalika</t>
        </is>
      </c>
      <c r="B14" s="8" t="n">
        <v>39698</v>
      </c>
      <c r="C14" s="8" t="n">
        <v>19055.04</v>
      </c>
      <c r="D14" s="8">
        <f>'Jhapa Gaunpalika'!D12</f>
        <v/>
      </c>
      <c r="E14" s="8">
        <f>'Jhapa Gaunpalika'!E12</f>
        <v/>
      </c>
      <c r="F14" s="8">
        <f>D14+E14</f>
        <v/>
      </c>
      <c r="G14" s="8">
        <f>'Jhapa Gaunpalika'!G12</f>
        <v/>
      </c>
      <c r="H14" s="8">
        <f>'Jhapa Gaunpalika'!H12</f>
        <v/>
      </c>
      <c r="I14" s="8">
        <f>G14+H14</f>
        <v/>
      </c>
      <c r="J14" s="8">
        <f>D14+G14</f>
        <v/>
      </c>
      <c r="K14" s="8">
        <f>E14+H14</f>
        <v/>
      </c>
      <c r="L14" s="8">
        <f>J14+K14</f>
        <v/>
      </c>
      <c r="M14" s="9">
        <f>IF(C14=0,0,L14/C14*100)</f>
        <v/>
      </c>
    </row>
    <row r="15">
      <c r="A15" s="7" t="inlineStr">
        <is>
          <t>Barhadashi Gaunpalika</t>
        </is>
      </c>
      <c r="B15" s="8" t="n">
        <v>38172</v>
      </c>
      <c r="C15" s="8" t="n">
        <v>18322.56</v>
      </c>
      <c r="D15" s="8">
        <f>'Barhadashi Gaunpalika'!D12</f>
        <v/>
      </c>
      <c r="E15" s="8">
        <f>'Barhadashi Gaunpalika'!E12</f>
        <v/>
      </c>
      <c r="F15" s="8">
        <f>D15+E15</f>
        <v/>
      </c>
      <c r="G15" s="8">
        <f>'Barhadashi Gaunpalika'!G12</f>
        <v/>
      </c>
      <c r="H15" s="8">
        <f>'Barhadashi Gaunpalika'!H12</f>
        <v/>
      </c>
      <c r="I15" s="8">
        <f>G15+H15</f>
        <v/>
      </c>
      <c r="J15" s="8">
        <f>D15+G15</f>
        <v/>
      </c>
      <c r="K15" s="8">
        <f>E15+H15</f>
        <v/>
      </c>
      <c r="L15" s="8">
        <f>J15+K15</f>
        <v/>
      </c>
      <c r="M15" s="9">
        <f>IF(C15=0,0,L15/C15*100)</f>
        <v/>
      </c>
    </row>
    <row r="16">
      <c r="A16" s="7" t="inlineStr">
        <is>
          <t>Birtamod Municipality</t>
        </is>
      </c>
      <c r="B16" s="8" t="n">
        <v>124473</v>
      </c>
      <c r="C16" s="8" t="n">
        <v>59747.04</v>
      </c>
      <c r="D16" s="8">
        <f>'Birtamod Municipality'!D15</f>
        <v/>
      </c>
      <c r="E16" s="8">
        <f>'Birtamod Municipality'!E15</f>
        <v/>
      </c>
      <c r="F16" s="8">
        <f>D16+E16</f>
        <v/>
      </c>
      <c r="G16" s="8">
        <f>'Birtamod Municipality'!G15</f>
        <v/>
      </c>
      <c r="H16" s="8">
        <f>'Birtamod Municipality'!H15</f>
        <v/>
      </c>
      <c r="I16" s="8">
        <f>G16+H16</f>
        <v/>
      </c>
      <c r="J16" s="8">
        <f>D16+G16</f>
        <v/>
      </c>
      <c r="K16" s="8">
        <f>E16+H16</f>
        <v/>
      </c>
      <c r="L16" s="8">
        <f>J16+K16</f>
        <v/>
      </c>
      <c r="M16" s="9">
        <f>IF(C16=0,0,L16/C16*100)</f>
        <v/>
      </c>
    </row>
    <row r="17">
      <c r="A17" s="7" t="inlineStr">
        <is>
          <t>Haldibari Gaunpalika</t>
        </is>
      </c>
      <c r="B17" s="8" t="n">
        <v>32724</v>
      </c>
      <c r="C17" s="8" t="n">
        <v>15707.52</v>
      </c>
      <c r="D17" s="8">
        <f>'Haldibari Gaunpalika'!D10</f>
        <v/>
      </c>
      <c r="E17" s="8">
        <f>'Haldibari Gaunpalika'!E10</f>
        <v/>
      </c>
      <c r="F17" s="8">
        <f>D17+E17</f>
        <v/>
      </c>
      <c r="G17" s="8">
        <f>'Haldibari Gaunpalika'!G10</f>
        <v/>
      </c>
      <c r="H17" s="8">
        <f>'Haldibari Gaunpalika'!H10</f>
        <v/>
      </c>
      <c r="I17" s="8">
        <f>G17+H17</f>
        <v/>
      </c>
      <c r="J17" s="8">
        <f>D17+G17</f>
        <v/>
      </c>
      <c r="K17" s="8">
        <f>E17+H17</f>
        <v/>
      </c>
      <c r="L17" s="8">
        <f>J17+K17</f>
        <v/>
      </c>
      <c r="M17" s="9">
        <f>IF(C17=0,0,L17/C17*100)</f>
        <v/>
      </c>
    </row>
    <row r="18">
      <c r="A18" s="7" t="inlineStr">
        <is>
          <t>Bhadrapur Municipality</t>
        </is>
      </c>
      <c r="B18" s="8" t="n">
        <v>72250</v>
      </c>
      <c r="C18" s="8" t="n">
        <v>34680</v>
      </c>
      <c r="D18" s="8">
        <f>'Bhadrapur Municipality'!D15</f>
        <v/>
      </c>
      <c r="E18" s="8">
        <f>'Bhadrapur Municipality'!E15</f>
        <v/>
      </c>
      <c r="F18" s="8">
        <f>D18+E18</f>
        <v/>
      </c>
      <c r="G18" s="8">
        <f>'Bhadrapur Municipality'!G15</f>
        <v/>
      </c>
      <c r="H18" s="8">
        <f>'Bhadrapur Municipality'!H15</f>
        <v/>
      </c>
      <c r="I18" s="8">
        <f>G18+H18</f>
        <v/>
      </c>
      <c r="J18" s="8">
        <f>D18+G18</f>
        <v/>
      </c>
      <c r="K18" s="8">
        <f>E18+H18</f>
        <v/>
      </c>
      <c r="L18" s="8">
        <f>J18+K18</f>
        <v/>
      </c>
      <c r="M18" s="9">
        <f>IF(C18=0,0,L18/C18*100)</f>
        <v/>
      </c>
    </row>
    <row r="19">
      <c r="A19" s="7" t="inlineStr">
        <is>
          <t>Kachanakawal Gaunpalika</t>
        </is>
      </c>
      <c r="B19" s="8" t="n">
        <v>41055</v>
      </c>
      <c r="C19" s="8" t="n">
        <v>19706.4</v>
      </c>
      <c r="D19" s="8">
        <f>'Kachanakawal Gaunpalika'!D12</f>
        <v/>
      </c>
      <c r="E19" s="8">
        <f>'Kachanakawal Gaunpalika'!E12</f>
        <v/>
      </c>
      <c r="F19" s="8">
        <f>D19+E19</f>
        <v/>
      </c>
      <c r="G19" s="8">
        <f>'Kachanakawal Gaunpalika'!G12</f>
        <v/>
      </c>
      <c r="H19" s="8">
        <f>'Kachanakawal Gaunpalika'!H12</f>
        <v/>
      </c>
      <c r="I19" s="8">
        <f>G19+H19</f>
        <v/>
      </c>
      <c r="J19" s="8">
        <f>D19+G19</f>
        <v/>
      </c>
      <c r="K19" s="8">
        <f>E19+H19</f>
        <v/>
      </c>
      <c r="L19" s="8">
        <f>J19+K19</f>
        <v/>
      </c>
      <c r="M19" s="9">
        <f>IF(C19=0,0,L19/C19*100)</f>
        <v/>
      </c>
    </row>
    <row r="20">
      <c r="A20" s="10" t="inlineStr">
        <is>
          <t>Total</t>
        </is>
      </c>
      <c r="B20" s="11">
        <f>SUM(B5:B19)</f>
        <v/>
      </c>
      <c r="C20" s="11">
        <f>SUM(C5:C19)</f>
        <v/>
      </c>
      <c r="D20" s="11">
        <f>SUM(D5:D19)</f>
        <v/>
      </c>
      <c r="E20" s="11">
        <f>SUM(E5:E19)</f>
        <v/>
      </c>
      <c r="F20" s="11">
        <f>D20+E20</f>
        <v/>
      </c>
      <c r="G20" s="11">
        <f>SUM(G5:G19)</f>
        <v/>
      </c>
      <c r="H20" s="11">
        <f>SUM(H5:H19)</f>
        <v/>
      </c>
      <c r="I20" s="11">
        <f>G20+H20</f>
        <v/>
      </c>
      <c r="J20" s="11">
        <f>D20+G20</f>
        <v/>
      </c>
      <c r="K20" s="11">
        <f>E20+H20</f>
        <v/>
      </c>
      <c r="L20" s="11">
        <f>J20+K20</f>
        <v/>
      </c>
      <c r="M20" s="12">
        <f>IF(C20=0,0,L20/C20*100)</f>
        <v/>
      </c>
    </row>
    <row r="23">
      <c r="A23" s="15" t="inlineStr">
        <is>
          <t>District total by day</t>
        </is>
      </c>
    </row>
    <row r="24">
      <c r="A24" s="6" t="inlineStr">
        <is>
          <t>Day</t>
        </is>
      </c>
      <c r="B24" s="6" t="inlineStr">
        <is>
          <t>Date (AD)</t>
        </is>
      </c>
      <c r="C24" s="6" t="inlineStr">
        <is>
          <t>Date (BS)</t>
        </is>
      </c>
      <c r="D24" s="6" t="inlineStr">
        <is>
          <t>Doses that day</t>
        </is>
      </c>
      <c r="E24" s="6" t="inlineStr">
        <is>
          <t>Cumulative doses</t>
        </is>
      </c>
      <c r="F24" s="6" t="inlineStr">
        <is>
          <t>Cumulative progress %</t>
        </is>
      </c>
    </row>
    <row r="25">
      <c r="A25" s="16" t="n">
        <v>1</v>
      </c>
      <c r="B25" s="7" t="inlineStr">
        <is>
          <t>2026-10-05</t>
        </is>
      </c>
      <c r="C25" s="7" t="inlineStr">
        <is>
          <t>Mon 19 Aswin 2083-06-19</t>
        </is>
      </c>
      <c r="D25" s="7">
        <f>'Mechinagar Municipality'!L41+'Buddhashanti Gaunpalika'!L25+'Arjundhara Municipality'!L33+'Kankai Municipality'!L29+'Shivasatakshi Municipality'!L33+'Kamal Gaunpalika'!L25+'Damak Municipality'!L31+'Gauradaha Municipality'!L29+'Gauriganj Gaunpalika'!L23+'Jhapa Gaunpalika'!L25+'Barhadashi Gaunpalika'!L25+'Birtamod Municipality'!L31+'Haldibari Gaunpalika'!L21+'Bhadrapur Municipality'!L31+'Kachanakawal Gaunpalika'!L25</f>
        <v/>
      </c>
      <c r="E25" s="7">
        <f>D25</f>
        <v/>
      </c>
      <c r="F25" s="9">
        <f>IF(C20=0,0,E25/C20*100)</f>
        <v/>
      </c>
    </row>
    <row r="26">
      <c r="A26" s="16" t="n">
        <v>2</v>
      </c>
      <c r="B26" s="7" t="inlineStr">
        <is>
          <t>2026-10-06</t>
        </is>
      </c>
      <c r="C26" s="7" t="inlineStr">
        <is>
          <t>Tue 20 Aswin 2083-06-20</t>
        </is>
      </c>
      <c r="D26" s="7">
        <f>'Mechinagar Municipality'!L62+'Buddhashanti Gaunpalika'!L38+'Arjundhara Municipality'!L50+'Kankai Municipality'!L44+'Shivasatakshi Municipality'!L50+'Kamal Gaunpalika'!L38+'Damak Municipality'!L47+'Gauradaha Municipality'!L44+'Gauriganj Gaunpalika'!L35+'Jhapa Gaunpalika'!L38+'Barhadashi Gaunpalika'!L38+'Birtamod Municipality'!L47+'Haldibari Gaunpalika'!L32+'Bhadrapur Municipality'!L47+'Kachanakawal Gaunpalika'!L38</f>
        <v/>
      </c>
      <c r="E26" s="7">
        <f>E25+D26</f>
        <v/>
      </c>
      <c r="F26" s="9">
        <f>IF(C20=0,0,E26/C20*100)</f>
        <v/>
      </c>
    </row>
    <row r="27">
      <c r="A27" s="16" t="n">
        <v>3</v>
      </c>
      <c r="B27" s="7" t="inlineStr">
        <is>
          <t>2026-10-07</t>
        </is>
      </c>
      <c r="C27" s="7" t="inlineStr">
        <is>
          <t>Wed 21 Aswin 2083-06-21</t>
        </is>
      </c>
      <c r="D27" s="7">
        <f>'Mechinagar Municipality'!L83+'Buddhashanti Gaunpalika'!L51+'Arjundhara Municipality'!L67+'Kankai Municipality'!L59+'Shivasatakshi Municipality'!L67+'Kamal Gaunpalika'!L51+'Damak Municipality'!L63+'Gauradaha Municipality'!L59+'Gauriganj Gaunpalika'!L47+'Jhapa Gaunpalika'!L51+'Barhadashi Gaunpalika'!L51+'Birtamod Municipality'!L63+'Haldibari Gaunpalika'!L43+'Bhadrapur Municipality'!L63+'Kachanakawal Gaunpalika'!L51</f>
        <v/>
      </c>
      <c r="E27" s="7">
        <f>E26+D27</f>
        <v/>
      </c>
      <c r="F27" s="9">
        <f>IF(C20=0,0,E27/C20*100)</f>
        <v/>
      </c>
    </row>
    <row r="28">
      <c r="A28" s="16" t="n">
        <v>4</v>
      </c>
      <c r="B28" s="7" t="inlineStr">
        <is>
          <t>2026-10-08</t>
        </is>
      </c>
      <c r="C28" s="7" t="inlineStr">
        <is>
          <t>Thu 22 Aswin 2083-06-22</t>
        </is>
      </c>
      <c r="D28" s="7">
        <f>'Mechinagar Municipality'!L104+'Buddhashanti Gaunpalika'!L64+'Arjundhara Municipality'!L84+'Kankai Municipality'!L74+'Shivasatakshi Municipality'!L84+'Kamal Gaunpalika'!L64+'Damak Municipality'!L79+'Gauradaha Municipality'!L74+'Gauriganj Gaunpalika'!L59+'Jhapa Gaunpalika'!L64+'Barhadashi Gaunpalika'!L64+'Birtamod Municipality'!L79+'Haldibari Gaunpalika'!L54+'Bhadrapur Municipality'!L79+'Kachanakawal Gaunpalika'!L64</f>
        <v/>
      </c>
      <c r="E28" s="7">
        <f>E27+D28</f>
        <v/>
      </c>
      <c r="F28" s="9">
        <f>IF(C20=0,0,E28/C20*100)</f>
        <v/>
      </c>
    </row>
    <row r="29">
      <c r="A29" s="16" t="n">
        <v>5</v>
      </c>
      <c r="B29" s="7" t="inlineStr">
        <is>
          <t>2026-10-09</t>
        </is>
      </c>
      <c r="C29" s="7" t="inlineStr">
        <is>
          <t>Fri 23 Aswin 2083-06-23</t>
        </is>
      </c>
      <c r="D29" s="7">
        <f>'Mechinagar Municipality'!L125+'Buddhashanti Gaunpalika'!L77+'Arjundhara Municipality'!L101+'Kankai Municipality'!L89+'Shivasatakshi Municipality'!L101+'Kamal Gaunpalika'!L77+'Damak Municipality'!L95+'Gauradaha Municipality'!L89+'Gauriganj Gaunpalika'!L71+'Jhapa Gaunpalika'!L77+'Barhadashi Gaunpalika'!L77+'Birtamod Municipality'!L95+'Haldibari Gaunpalika'!L65+'Bhadrapur Municipality'!L95+'Kachanakawal Gaunpalika'!L77</f>
        <v/>
      </c>
      <c r="E29" s="7">
        <f>E28+D29</f>
        <v/>
      </c>
      <c r="F29" s="9">
        <f>IF(C20=0,0,E29/C20*100)</f>
        <v/>
      </c>
    </row>
    <row r="30">
      <c r="A30" s="16" t="n">
        <v>6</v>
      </c>
      <c r="B30" s="7" t="inlineStr">
        <is>
          <t>2026-10-10</t>
        </is>
      </c>
      <c r="C30" s="7" t="inlineStr">
        <is>
          <t>Sat 24 Aswin 2083-06-24</t>
        </is>
      </c>
      <c r="D30" s="7">
        <f>'Mechinagar Municipality'!L146+'Buddhashanti Gaunpalika'!L90+'Arjundhara Municipality'!L118+'Kankai Municipality'!L104+'Shivasatakshi Municipality'!L118+'Kamal Gaunpalika'!L90+'Damak Municipality'!L111+'Gauradaha Municipality'!L104+'Gauriganj Gaunpalika'!L83+'Jhapa Gaunpalika'!L90+'Barhadashi Gaunpalika'!L90+'Birtamod Municipality'!L111+'Haldibari Gaunpalika'!L76+'Bhadrapur Municipality'!L111+'Kachanakawal Gaunpalika'!L90</f>
        <v/>
      </c>
      <c r="E30" s="7">
        <f>E29+D30</f>
        <v/>
      </c>
      <c r="F30" s="9">
        <f>IF(C20=0,0,E30/C20*100)</f>
        <v/>
      </c>
    </row>
    <row r="31">
      <c r="A31" s="16" t="n">
        <v>7</v>
      </c>
      <c r="B31" s="7" t="inlineStr">
        <is>
          <t>2026-10-11</t>
        </is>
      </c>
      <c r="C31" s="7" t="inlineStr">
        <is>
          <t>Sun 25 Aswin 2083-06-25</t>
        </is>
      </c>
      <c r="D31" s="7">
        <f>'Mechinagar Municipality'!L167+'Buddhashanti Gaunpalika'!L103+'Arjundhara Municipality'!L135+'Kankai Municipality'!L119+'Shivasatakshi Municipality'!L135+'Kamal Gaunpalika'!L103+'Damak Municipality'!L127+'Gauradaha Municipality'!L119+'Gauriganj Gaunpalika'!L95+'Jhapa Gaunpalika'!L103+'Barhadashi Gaunpalika'!L103+'Birtamod Municipality'!L127+'Haldibari Gaunpalika'!L87+'Bhadrapur Municipality'!L127+'Kachanakawal Gaunpalika'!L103</f>
        <v/>
      </c>
      <c r="E31" s="7">
        <f>E30+D31</f>
        <v/>
      </c>
      <c r="F31" s="9">
        <f>IF(C20=0,0,E31/C20*100)</f>
        <v/>
      </c>
    </row>
    <row r="32">
      <c r="A32" s="16" t="n">
        <v>8</v>
      </c>
      <c r="B32" s="7" t="inlineStr">
        <is>
          <t>2026-10-12</t>
        </is>
      </c>
      <c r="C32" s="7" t="inlineStr">
        <is>
          <t>Mon 26 Aswin 2083-06-26</t>
        </is>
      </c>
      <c r="D32" s="7">
        <f>'Mechinagar Municipality'!L188+'Buddhashanti Gaunpalika'!L116+'Arjundhara Municipality'!L152+'Kankai Municipality'!L134+'Shivasatakshi Municipality'!L152+'Kamal Gaunpalika'!L116+'Damak Municipality'!L143+'Gauradaha Municipality'!L134+'Gauriganj Gaunpalika'!L107+'Jhapa Gaunpalika'!L116+'Barhadashi Gaunpalika'!L116+'Birtamod Municipality'!L143+'Haldibari Gaunpalika'!L98+'Bhadrapur Municipality'!L143+'Kachanakawal Gaunpalika'!L116</f>
        <v/>
      </c>
      <c r="E32" s="7">
        <f>E31+D32</f>
        <v/>
      </c>
      <c r="F32" s="9">
        <f>IF(C20=0,0,E32/C20*100)</f>
        <v/>
      </c>
    </row>
    <row r="33">
      <c r="A33" s="16" t="n">
        <v>9</v>
      </c>
      <c r="B33" s="7" t="inlineStr">
        <is>
          <t>2026-10-13</t>
        </is>
      </c>
      <c r="C33" s="7" t="inlineStr">
        <is>
          <t>Tue 27 Aswin 2083-06-27</t>
        </is>
      </c>
      <c r="D33" s="7">
        <f>'Mechinagar Municipality'!L209+'Buddhashanti Gaunpalika'!L129+'Arjundhara Municipality'!L169+'Kankai Municipality'!L149+'Shivasatakshi Municipality'!L169+'Kamal Gaunpalika'!L129+'Damak Municipality'!L159+'Gauradaha Municipality'!L149+'Gauriganj Gaunpalika'!L119+'Jhapa Gaunpalika'!L129+'Barhadashi Gaunpalika'!L129+'Birtamod Municipality'!L159+'Haldibari Gaunpalika'!L109+'Bhadrapur Municipality'!L159+'Kachanakawal Gaunpalika'!L129</f>
        <v/>
      </c>
      <c r="E33" s="7">
        <f>E32+D33</f>
        <v/>
      </c>
      <c r="F33" s="9">
        <f>IF(C20=0,0,E33/C20*100)</f>
        <v/>
      </c>
    </row>
    <row r="34">
      <c r="A34" s="16" t="n">
        <v>10</v>
      </c>
      <c r="B34" s="7" t="inlineStr">
        <is>
          <t>2026-10-14</t>
        </is>
      </c>
      <c r="C34" s="7" t="inlineStr">
        <is>
          <t>Wed 28 Aswin 2083-06-28</t>
        </is>
      </c>
      <c r="D34" s="7">
        <f>'Mechinagar Municipality'!L230+'Buddhashanti Gaunpalika'!L142+'Arjundhara Municipality'!L186+'Kankai Municipality'!L164+'Shivasatakshi Municipality'!L186+'Kamal Gaunpalika'!L142+'Damak Municipality'!L175+'Gauradaha Municipality'!L164+'Gauriganj Gaunpalika'!L131+'Jhapa Gaunpalika'!L142+'Barhadashi Gaunpalika'!L142+'Birtamod Municipality'!L175+'Haldibari Gaunpalika'!L120+'Bhadrapur Municipality'!L175+'Kachanakawal Gaunpalika'!L142</f>
        <v/>
      </c>
      <c r="E34" s="7">
        <f>E33+D34</f>
        <v/>
      </c>
      <c r="F34" s="9">
        <f>IF(C20=0,0,E34/C20*100)</f>
        <v/>
      </c>
    </row>
    <row r="35">
      <c r="A35" s="16" t="n">
        <v>11</v>
      </c>
      <c r="B35" s="7" t="inlineStr">
        <is>
          <t>2026-10-15</t>
        </is>
      </c>
      <c r="C35" s="7" t="inlineStr">
        <is>
          <t>Thu 29 Aswin 2083-06-29</t>
        </is>
      </c>
      <c r="D35" s="7">
        <f>'Mechinagar Municipality'!L251+'Buddhashanti Gaunpalika'!L155+'Arjundhara Municipality'!L203+'Kankai Municipality'!L179+'Shivasatakshi Municipality'!L203+'Kamal Gaunpalika'!L155+'Damak Municipality'!L191+'Gauradaha Municipality'!L179+'Gauriganj Gaunpalika'!L143+'Jhapa Gaunpalika'!L155+'Barhadashi Gaunpalika'!L155+'Birtamod Municipality'!L191+'Haldibari Gaunpalika'!L131+'Bhadrapur Municipality'!L191+'Kachanakawal Gaunpalika'!L155</f>
        <v/>
      </c>
      <c r="E35" s="7">
        <f>E34+D35</f>
        <v/>
      </c>
      <c r="F35" s="9">
        <f>IF(C20=0,0,E35/C20*100)</f>
        <v/>
      </c>
    </row>
    <row r="36">
      <c r="A36" s="16" t="n">
        <v>12</v>
      </c>
      <c r="B36" s="7" t="inlineStr">
        <is>
          <t>2026-10-16</t>
        </is>
      </c>
      <c r="C36" s="7" t="inlineStr">
        <is>
          <t>Fri 30 Aswin 2083-06-30</t>
        </is>
      </c>
      <c r="D36" s="7">
        <f>'Mechinagar Municipality'!L272+'Buddhashanti Gaunpalika'!L168+'Arjundhara Municipality'!L220+'Kankai Municipality'!L194+'Shivasatakshi Municipality'!L220+'Kamal Gaunpalika'!L168+'Damak Municipality'!L207+'Gauradaha Municipality'!L194+'Gauriganj Gaunpalika'!L155+'Jhapa Gaunpalika'!L168+'Barhadashi Gaunpalika'!L168+'Birtamod Municipality'!L207+'Haldibari Gaunpalika'!L142+'Bhadrapur Municipality'!L207+'Kachanakawal Gaunpalika'!L168</f>
        <v/>
      </c>
      <c r="E36" s="7">
        <f>E35+D36</f>
        <v/>
      </c>
      <c r="F36" s="9">
        <f>IF(C20=0,0,E36/C20*100)</f>
        <v/>
      </c>
    </row>
    <row r="37">
      <c r="A37" s="16" t="n">
        <v>13</v>
      </c>
      <c r="B37" s="7" t="inlineStr">
        <is>
          <t>2026-10-17</t>
        </is>
      </c>
      <c r="C37" s="7" t="inlineStr">
        <is>
          <t>Sat 31 Aswin 2083-06-31</t>
        </is>
      </c>
      <c r="D37" s="7">
        <f>'Mechinagar Municipality'!L293+'Buddhashanti Gaunpalika'!L181+'Arjundhara Municipality'!L237+'Kankai Municipality'!L209+'Shivasatakshi Municipality'!L237+'Kamal Gaunpalika'!L181+'Damak Municipality'!L223+'Gauradaha Municipality'!L209+'Gauriganj Gaunpalika'!L167+'Jhapa Gaunpalika'!L181+'Barhadashi Gaunpalika'!L181+'Birtamod Municipality'!L223+'Haldibari Gaunpalika'!L153+'Bhadrapur Municipality'!L223+'Kachanakawal Gaunpalika'!L181</f>
        <v/>
      </c>
      <c r="E37" s="7">
        <f>E36+D37</f>
        <v/>
      </c>
      <c r="F37" s="9">
        <f>IF(C20=0,0,E37/C20*100)</f>
        <v/>
      </c>
    </row>
    <row r="38">
      <c r="A38" s="16" t="n">
        <v>14</v>
      </c>
      <c r="B38" s="7" t="inlineStr">
        <is>
          <t>2026-10-18</t>
        </is>
      </c>
      <c r="C38" s="7" t="inlineStr">
        <is>
          <t>Sun 01 Kartik 2083-07-01</t>
        </is>
      </c>
      <c r="D38" s="7">
        <f>'Mechinagar Municipality'!L314+'Buddhashanti Gaunpalika'!L194+'Arjundhara Municipality'!L254+'Kankai Municipality'!L224+'Shivasatakshi Municipality'!L254+'Kamal Gaunpalika'!L194+'Damak Municipality'!L239+'Gauradaha Municipality'!L224+'Gauriganj Gaunpalika'!L179+'Jhapa Gaunpalika'!L194+'Barhadashi Gaunpalika'!L194+'Birtamod Municipality'!L239+'Haldibari Gaunpalika'!L164+'Bhadrapur Municipality'!L239+'Kachanakawal Gaunpalika'!L194</f>
        <v/>
      </c>
      <c r="E38" s="7">
        <f>E37+D38</f>
        <v/>
      </c>
      <c r="F38" s="9">
        <f>IF(C20=0,0,E38/C20*100)</f>
        <v/>
      </c>
    </row>
    <row r="39">
      <c r="A39" s="16" t="n">
        <v>15</v>
      </c>
      <c r="B39" s="7" t="inlineStr">
        <is>
          <t>2026-10-19</t>
        </is>
      </c>
      <c r="C39" s="7" t="inlineStr">
        <is>
          <t>Mon 02 Kartik 2083-07-02</t>
        </is>
      </c>
      <c r="D39" s="7">
        <f>'Mechinagar Municipality'!L335+'Buddhashanti Gaunpalika'!L207+'Arjundhara Municipality'!L271+'Kankai Municipality'!L239+'Shivasatakshi Municipality'!L271+'Kamal Gaunpalika'!L207+'Damak Municipality'!L255+'Gauradaha Municipality'!L239+'Gauriganj Gaunpalika'!L191+'Jhapa Gaunpalika'!L207+'Barhadashi Gaunpalika'!L207+'Birtamod Municipality'!L255+'Haldibari Gaunpalika'!L175+'Bhadrapur Municipality'!L255+'Kachanakawal Gaunpalika'!L207</f>
        <v/>
      </c>
      <c r="E39" s="7">
        <f>E38+D39</f>
        <v/>
      </c>
      <c r="F39" s="9">
        <f>IF(C20=0,0,E39/C20*100)</f>
        <v/>
      </c>
    </row>
  </sheetData>
  <sheetProtection selectLockedCells="0" selectUnlockedCells="0" sheet="1" objects="0" insertRows="1" insertHyperlinks="1" autoFilter="1" scenarios="0" formatColumns="1" deleteColumns="1" insertColumns="1" pivotTables="1" deleteRows="1" formatCells="1" formatRows="1" sort="1"/>
  <mergeCells count="10">
    <mergeCell ref="D2:L2"/>
    <mergeCell ref="J3:K3"/>
    <mergeCell ref="A1:M1"/>
    <mergeCell ref="A2:A4"/>
    <mergeCell ref="L3:L4"/>
    <mergeCell ref="C2:C4"/>
    <mergeCell ref="D3:F3"/>
    <mergeCell ref="G3:I3"/>
    <mergeCell ref="M2:M4"/>
    <mergeCell ref="B2:B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2026-09-16T09:56:48Z</dcterms:created>
  <dcterms:modified xmlns:dcterms="http://purl.org/dc/terms/" xmlns:xsi="http://www.w3.org/2001/XMLSchema-instance" xsi:type="dcterms:W3CDTF">2026-09-16T09:56:51Z</dcterms:modified>
</cp:coreProperties>
</file>