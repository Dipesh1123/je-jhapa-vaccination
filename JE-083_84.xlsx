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 firstSheet="11" activeTab="15"/>
  </bookViews>
  <sheets>
    <sheet name="Mechinagar Municipality" sheetId="1" r:id="rId1"/>
    <sheet name="Buddhashanti Gaunpalika" sheetId="2" r:id="rId2"/>
    <sheet name="Arjundhara Municipality" sheetId="3" r:id="rId3"/>
    <sheet name="Kankai Municipality" sheetId="4" r:id="rId4"/>
    <sheet name="Shivasatakshi Municipality" sheetId="5" r:id="rId5"/>
    <sheet name="Kamal Gaunpalika" sheetId="6" r:id="rId6"/>
    <sheet name="Damak Municipality" sheetId="7" r:id="rId7"/>
    <sheet name="Gauradaha Municipality" sheetId="8" r:id="rId8"/>
    <sheet name="Gauriganj Gaunpalika" sheetId="9" r:id="rId9"/>
    <sheet name="Jhapa Gaunpalika" sheetId="10" r:id="rId10"/>
    <sheet name="Barhadashi Gaunpalika" sheetId="11" r:id="rId11"/>
    <sheet name="Birtamod Municipality" sheetId="12" r:id="rId12"/>
    <sheet name="Haldibari Gaunpalika" sheetId="13" r:id="rId13"/>
    <sheet name="Bhadrapur Municipality" sheetId="14" r:id="rId14"/>
    <sheet name="Kachanakawal Gaunpalika" sheetId="15" r:id="rId15"/>
    <sheet name="Total " sheetId="16" r:id="rId16"/>
  </sheets>
  <calcPr calcId="152511"/>
</workbook>
</file>

<file path=xl/calcChain.xml><?xml version="1.0" encoding="utf-8"?>
<calcChain xmlns="http://schemas.openxmlformats.org/spreadsheetml/2006/main">
  <c r="C20" i="16" l="1"/>
  <c r="B20" i="16"/>
  <c r="C12" i="15"/>
  <c r="B12" i="15"/>
  <c r="C10" i="13"/>
  <c r="B10" i="13"/>
  <c r="C15" i="12"/>
  <c r="B15" i="12"/>
  <c r="C12" i="11"/>
  <c r="B12" i="11"/>
  <c r="C12" i="10"/>
  <c r="B12" i="10"/>
  <c r="C11" i="9"/>
  <c r="B11" i="9"/>
  <c r="C14" i="8"/>
  <c r="B14" i="8"/>
  <c r="C15" i="7"/>
  <c r="B15" i="7"/>
  <c r="C12" i="6"/>
  <c r="B12" i="6"/>
  <c r="C16" i="5"/>
  <c r="B16" i="5"/>
  <c r="C14" i="4"/>
  <c r="B14" i="4"/>
  <c r="C15" i="14"/>
  <c r="B15" i="14"/>
  <c r="C20" i="1"/>
  <c r="B20" i="1"/>
</calcChain>
</file>

<file path=xl/sharedStrings.xml><?xml version="1.0" encoding="utf-8"?>
<sst xmlns="http://schemas.openxmlformats.org/spreadsheetml/2006/main" count="317" uniqueCount="31">
  <si>
    <t xml:space="preserve">ward no </t>
  </si>
  <si>
    <t xml:space="preserve">total population </t>
  </si>
  <si>
    <t>JE target population</t>
  </si>
  <si>
    <t>vaccinated</t>
  </si>
  <si>
    <t>M</t>
  </si>
  <si>
    <t>F</t>
  </si>
  <si>
    <t>Age 60 above</t>
  </si>
  <si>
    <t>Age 30-60 yrs</t>
  </si>
  <si>
    <t>Total</t>
  </si>
  <si>
    <t xml:space="preserve">Total </t>
  </si>
  <si>
    <t xml:space="preserve">Grand Total </t>
  </si>
  <si>
    <t xml:space="preserve">Mechinagar Municipality </t>
  </si>
  <si>
    <t>Buddhashanti Gaunpalika</t>
  </si>
  <si>
    <t>Vaccinated</t>
  </si>
  <si>
    <t>Progress %</t>
  </si>
  <si>
    <t>Mechinagar Municipality</t>
  </si>
  <si>
    <t>Arjundhara Municipality</t>
  </si>
  <si>
    <t>Kankai Municipality</t>
  </si>
  <si>
    <t>Shivasatakshi Municipality</t>
  </si>
  <si>
    <t>Kamal Gaunpalika</t>
  </si>
  <si>
    <t>Damak Municipality</t>
  </si>
  <si>
    <t>Gauradaha Municipality</t>
  </si>
  <si>
    <t>Gauriganj Gaunpalika</t>
  </si>
  <si>
    <t>Jhapa Gaunpalika</t>
  </si>
  <si>
    <t>Barhadashi Gaunpalika</t>
  </si>
  <si>
    <t>Birtamod Municipality</t>
  </si>
  <si>
    <t>Haldibari Gaunpalika</t>
  </si>
  <si>
    <t>Bhadrapur Municipality</t>
  </si>
  <si>
    <t>Kachanakawal Gaunpalika</t>
  </si>
  <si>
    <t xml:space="preserve">Local Level </t>
  </si>
  <si>
    <t xml:space="preserve">Jhapa District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</si>
</sst>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1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2" xfId="0" applyBorder="1"/>
    <xf numFmtId="0" fontId="0" fillId="0" borderId="1" xfId="0" applyBorder="1" applyAlignment="1">
      <alignment horizontal="center" wrapText="1"/>
    </xf>
    <xf numFmtId="0" fontId="2" fillId="0" borderId="1" xfId="1" applyFont="1" applyBorder="1"/>
    <xf numFmtId="1" fontId="2" fillId="0" borderId="1" xfId="0" applyNumberFormat="1" applyFont="1" applyBorder="1"/>
    <xf numFmtId="1" fontId="2" fillId="0" borderId="1" xfId="0" applyNumberFormat="1" applyFont="1" applyBorder="1" applyAlignment="1">
      <alignment horizontal="center"/>
    </xf>
    <xf numFmtId="1" fontId="2" fillId="0" borderId="1" xfId="0" applyNumberFormat="1" applyFont="1" applyBorder="1" applyAlignment="1">
      <alignment horizontal="center" vertical="center"/>
    </xf>
    <xf numFmtId="0" fontId="2" fillId="0" borderId="1" xfId="1" applyFont="1" applyBorder="1" applyAlignment="1">
      <alignment horizontal="center"/>
    </xf>
    <xf numFmtId="0" fontId="2" fillId="0" borderId="1" xfId="1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 wrapText="1"/>
    </xf>
    <xf numFmtId="1" fontId="2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2" fillId="0" borderId="1" xfId="1" applyFont="1" applyFill="1" applyBorder="1"/>
    <xf numFmtId="0" fontId="0" fillId="0" borderId="0" xfId="0" applyBorder="1"/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 wrapText="1"/>
    </xf>
  </cellXfs>
  <cellStyles count="2">
    <cellStyle name="Normal" xfId="0" builtinId="0"/>
    <cellStyle name="Normal 3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0"/>
  <sheetViews>
    <sheetView workbookViewId="0">
      <selection sqref="A1:M1"/>
    </sheetView>
  </sheetViews>
  <sheetFormatPr defaultRowHeight="14.4" x14ac:dyDescent="0.3"/>
  <cols>
    <col min="2" max="2" width="14.109375" customWidth="1"/>
    <col min="3" max="3" width="17.33203125" customWidth="1"/>
    <col min="4" max="4" width="8.88671875" customWidth="1"/>
    <col min="7" max="7" width="8" customWidth="1"/>
  </cols>
  <sheetData>
    <row r="1" spans="1:13" x14ac:dyDescent="0.3">
      <c r="A1" s="26" t="s">
        <v>11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</row>
    <row r="2" spans="1:13" x14ac:dyDescent="0.3">
      <c r="A2" s="4" t="s">
        <v>0</v>
      </c>
      <c r="B2" s="4" t="s">
        <v>1</v>
      </c>
      <c r="C2" s="4" t="s">
        <v>2</v>
      </c>
      <c r="D2" s="4" t="s">
        <v>3</v>
      </c>
      <c r="E2" s="4"/>
      <c r="F2" s="4"/>
      <c r="G2" s="4"/>
      <c r="H2" s="4"/>
      <c r="I2" s="4"/>
      <c r="J2" s="4"/>
      <c r="K2" s="4"/>
      <c r="L2" s="4"/>
      <c r="M2" s="22" t="s">
        <v>14</v>
      </c>
    </row>
    <row r="3" spans="1:13" x14ac:dyDescent="0.3">
      <c r="A3" s="4"/>
      <c r="B3" s="4"/>
      <c r="C3" s="4"/>
      <c r="D3" s="4" t="s">
        <v>7</v>
      </c>
      <c r="E3" s="4"/>
      <c r="F3" s="4"/>
      <c r="G3" s="4" t="s">
        <v>6</v>
      </c>
      <c r="H3" s="4"/>
      <c r="I3" s="4"/>
      <c r="J3" s="3" t="s">
        <v>9</v>
      </c>
      <c r="K3" s="3"/>
      <c r="L3" s="13" t="s">
        <v>10</v>
      </c>
      <c r="M3" s="22"/>
    </row>
    <row r="4" spans="1:13" x14ac:dyDescent="0.3">
      <c r="A4" s="4"/>
      <c r="B4" s="4"/>
      <c r="C4" s="4"/>
      <c r="D4" s="5" t="s">
        <v>5</v>
      </c>
      <c r="E4" s="5" t="s">
        <v>4</v>
      </c>
      <c r="F4" s="5" t="s">
        <v>9</v>
      </c>
      <c r="G4" s="5" t="s">
        <v>5</v>
      </c>
      <c r="H4" s="5" t="s">
        <v>4</v>
      </c>
      <c r="I4" s="11" t="s">
        <v>8</v>
      </c>
      <c r="J4" s="11" t="s">
        <v>5</v>
      </c>
      <c r="K4" s="11" t="s">
        <v>4</v>
      </c>
      <c r="L4" s="13"/>
      <c r="M4" s="22"/>
    </row>
    <row r="5" spans="1:13" x14ac:dyDescent="0.3">
      <c r="A5" s="5">
        <v>1</v>
      </c>
      <c r="B5" s="7">
        <v>6478</v>
      </c>
      <c r="C5" s="7">
        <v>3109.44</v>
      </c>
      <c r="D5" s="6"/>
      <c r="E5" s="6"/>
      <c r="F5" s="6"/>
      <c r="G5" s="6"/>
      <c r="H5" s="6"/>
      <c r="I5" s="6"/>
      <c r="J5" s="6"/>
      <c r="K5" s="6"/>
      <c r="L5" s="6"/>
      <c r="M5" s="6"/>
    </row>
    <row r="6" spans="1:13" x14ac:dyDescent="0.3">
      <c r="A6" s="5">
        <v>2</v>
      </c>
      <c r="B6" s="7">
        <v>6940</v>
      </c>
      <c r="C6" s="7">
        <v>3331.2</v>
      </c>
      <c r="D6" s="6"/>
      <c r="E6" s="6"/>
      <c r="F6" s="6"/>
      <c r="G6" s="6"/>
      <c r="H6" s="6"/>
      <c r="I6" s="6"/>
      <c r="J6" s="6"/>
      <c r="K6" s="6"/>
      <c r="L6" s="6"/>
      <c r="M6" s="6"/>
    </row>
    <row r="7" spans="1:13" x14ac:dyDescent="0.3">
      <c r="A7" s="5">
        <v>3</v>
      </c>
      <c r="B7" s="7">
        <v>7375</v>
      </c>
      <c r="C7" s="7">
        <v>3540</v>
      </c>
      <c r="D7" s="6"/>
      <c r="E7" s="6"/>
      <c r="F7" s="6"/>
      <c r="G7" s="6"/>
      <c r="H7" s="6"/>
      <c r="I7" s="6"/>
      <c r="J7" s="6"/>
      <c r="K7" s="6"/>
      <c r="L7" s="6"/>
      <c r="M7" s="6"/>
    </row>
    <row r="8" spans="1:13" x14ac:dyDescent="0.3">
      <c r="A8" s="5">
        <v>4</v>
      </c>
      <c r="B8" s="7">
        <v>5531</v>
      </c>
      <c r="C8" s="7">
        <v>2654.88</v>
      </c>
      <c r="D8" s="6"/>
      <c r="E8" s="6"/>
      <c r="F8" s="6"/>
      <c r="G8" s="6"/>
      <c r="H8" s="6"/>
      <c r="I8" s="6"/>
      <c r="J8" s="6"/>
      <c r="K8" s="6"/>
      <c r="L8" s="6"/>
      <c r="M8" s="6"/>
    </row>
    <row r="9" spans="1:13" x14ac:dyDescent="0.3">
      <c r="A9" s="5">
        <v>5</v>
      </c>
      <c r="B9" s="7">
        <v>5457</v>
      </c>
      <c r="C9" s="7">
        <v>2619.36</v>
      </c>
      <c r="D9" s="6"/>
      <c r="E9" s="6"/>
      <c r="F9" s="6"/>
      <c r="G9" s="6"/>
      <c r="H9" s="6"/>
      <c r="I9" s="6"/>
      <c r="J9" s="6"/>
      <c r="K9" s="6"/>
      <c r="L9" s="6"/>
      <c r="M9" s="6"/>
    </row>
    <row r="10" spans="1:13" x14ac:dyDescent="0.3">
      <c r="A10" s="5">
        <v>6</v>
      </c>
      <c r="B10" s="7">
        <v>16161</v>
      </c>
      <c r="C10" s="7">
        <v>7757.2799999999988</v>
      </c>
      <c r="D10" s="6"/>
      <c r="E10" s="6"/>
      <c r="F10" s="6"/>
      <c r="G10" s="6"/>
      <c r="H10" s="6"/>
      <c r="I10" s="6"/>
      <c r="J10" s="6"/>
      <c r="K10" s="6"/>
      <c r="L10" s="6"/>
      <c r="M10" s="6"/>
    </row>
    <row r="11" spans="1:13" x14ac:dyDescent="0.3">
      <c r="A11" s="5">
        <v>7</v>
      </c>
      <c r="B11" s="7">
        <v>13537</v>
      </c>
      <c r="C11" s="7">
        <v>6497.7599999999993</v>
      </c>
      <c r="D11" s="6"/>
      <c r="E11" s="6"/>
      <c r="F11" s="6"/>
      <c r="G11" s="6"/>
      <c r="H11" s="6"/>
      <c r="I11" s="6"/>
      <c r="J11" s="6"/>
      <c r="K11" s="6"/>
      <c r="L11" s="6"/>
      <c r="M11" s="6"/>
    </row>
    <row r="12" spans="1:13" x14ac:dyDescent="0.3">
      <c r="A12" s="5">
        <v>8</v>
      </c>
      <c r="B12" s="7">
        <v>8527</v>
      </c>
      <c r="C12" s="7">
        <v>4092.96</v>
      </c>
      <c r="D12" s="6"/>
      <c r="E12" s="6"/>
      <c r="F12" s="6"/>
      <c r="G12" s="6"/>
      <c r="H12" s="6"/>
      <c r="I12" s="6"/>
      <c r="J12" s="6"/>
      <c r="K12" s="6"/>
      <c r="L12" s="6"/>
      <c r="M12" s="6"/>
    </row>
    <row r="13" spans="1:13" x14ac:dyDescent="0.3">
      <c r="A13" s="5">
        <v>9</v>
      </c>
      <c r="B13" s="7">
        <v>12286</v>
      </c>
      <c r="C13" s="7">
        <v>5897.28</v>
      </c>
      <c r="D13" s="6"/>
      <c r="E13" s="6"/>
      <c r="F13" s="6"/>
      <c r="G13" s="6"/>
      <c r="H13" s="6"/>
      <c r="I13" s="6"/>
      <c r="J13" s="6"/>
      <c r="K13" s="6"/>
      <c r="L13" s="6"/>
      <c r="M13" s="6"/>
    </row>
    <row r="14" spans="1:13" x14ac:dyDescent="0.3">
      <c r="A14" s="5">
        <v>10</v>
      </c>
      <c r="B14" s="7">
        <v>15923</v>
      </c>
      <c r="C14" s="7">
        <v>7643.0400000000009</v>
      </c>
      <c r="D14" s="6"/>
      <c r="E14" s="6"/>
      <c r="F14" s="6"/>
      <c r="G14" s="6"/>
      <c r="H14" s="6"/>
      <c r="I14" s="6"/>
      <c r="J14" s="6"/>
      <c r="K14" s="6"/>
      <c r="L14" s="6"/>
      <c r="M14" s="6"/>
    </row>
    <row r="15" spans="1:13" x14ac:dyDescent="0.3">
      <c r="A15" s="5">
        <v>11</v>
      </c>
      <c r="B15" s="7">
        <v>6760</v>
      </c>
      <c r="C15" s="7">
        <v>3244.7999999999997</v>
      </c>
      <c r="D15" s="6"/>
      <c r="E15" s="6"/>
      <c r="F15" s="6"/>
      <c r="G15" s="6"/>
      <c r="H15" s="6"/>
      <c r="I15" s="6"/>
      <c r="J15" s="6"/>
      <c r="K15" s="6"/>
      <c r="L15" s="6"/>
      <c r="M15" s="6"/>
    </row>
    <row r="16" spans="1:13" x14ac:dyDescent="0.3">
      <c r="A16" s="5">
        <v>12</v>
      </c>
      <c r="B16" s="7">
        <v>8356</v>
      </c>
      <c r="C16" s="7">
        <v>4010.8799999999992</v>
      </c>
      <c r="D16" s="6"/>
      <c r="E16" s="6"/>
      <c r="F16" s="6"/>
      <c r="G16" s="6"/>
      <c r="H16" s="6"/>
      <c r="I16" s="6"/>
      <c r="J16" s="6"/>
      <c r="K16" s="6"/>
      <c r="L16" s="6"/>
      <c r="M16" s="6"/>
    </row>
    <row r="17" spans="1:13" x14ac:dyDescent="0.3">
      <c r="A17" s="5">
        <v>13</v>
      </c>
      <c r="B17" s="7">
        <v>7618</v>
      </c>
      <c r="C17" s="7">
        <v>3656.64</v>
      </c>
      <c r="D17" s="6"/>
      <c r="E17" s="6"/>
      <c r="F17" s="6"/>
      <c r="G17" s="6"/>
      <c r="H17" s="6"/>
      <c r="I17" s="6"/>
      <c r="J17" s="6"/>
      <c r="K17" s="6"/>
      <c r="L17" s="6"/>
      <c r="M17" s="6"/>
    </row>
    <row r="18" spans="1:13" x14ac:dyDescent="0.3">
      <c r="A18" s="5">
        <v>14</v>
      </c>
      <c r="B18" s="7">
        <v>7074</v>
      </c>
      <c r="C18" s="7">
        <v>3395.52</v>
      </c>
      <c r="D18" s="6"/>
      <c r="E18" s="6"/>
      <c r="F18" s="6"/>
      <c r="G18" s="6"/>
      <c r="H18" s="6"/>
      <c r="I18" s="6"/>
      <c r="J18" s="6"/>
      <c r="K18" s="6"/>
      <c r="L18" s="6"/>
      <c r="M18" s="6"/>
    </row>
    <row r="19" spans="1:13" x14ac:dyDescent="0.3">
      <c r="A19" s="5">
        <v>15</v>
      </c>
      <c r="B19" s="7">
        <v>8487</v>
      </c>
      <c r="C19" s="7">
        <v>4073.76</v>
      </c>
      <c r="D19" s="6"/>
      <c r="E19" s="6"/>
      <c r="F19" s="6"/>
      <c r="G19" s="6"/>
      <c r="H19" s="6"/>
      <c r="I19" s="6"/>
      <c r="J19" s="6"/>
      <c r="K19" s="6"/>
      <c r="L19" s="6"/>
      <c r="M19" s="6"/>
    </row>
    <row r="20" spans="1:13" x14ac:dyDescent="0.3">
      <c r="A20" s="6" t="s">
        <v>8</v>
      </c>
      <c r="B20" s="7">
        <f>SUM(B5:B19)</f>
        <v>136510</v>
      </c>
      <c r="C20" s="7">
        <f>SUM(C5:C19)</f>
        <v>65524.799999999996</v>
      </c>
      <c r="D20" s="6"/>
      <c r="E20" s="6"/>
      <c r="F20" s="6"/>
      <c r="G20" s="6"/>
      <c r="H20" s="6"/>
      <c r="I20" s="6"/>
      <c r="J20" s="6"/>
      <c r="K20" s="6"/>
      <c r="L20" s="6"/>
      <c r="M20" s="6"/>
    </row>
  </sheetData>
  <mergeCells count="10">
    <mergeCell ref="J3:K3"/>
    <mergeCell ref="L3:L4"/>
    <mergeCell ref="M2:M4"/>
    <mergeCell ref="A1:M1"/>
    <mergeCell ref="A2:A4"/>
    <mergeCell ref="B2:B4"/>
    <mergeCell ref="C2:C4"/>
    <mergeCell ref="D3:F3"/>
    <mergeCell ref="G3:I3"/>
    <mergeCell ref="D2:L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2"/>
  <sheetViews>
    <sheetView workbookViewId="0">
      <selection activeCell="M2" sqref="M2:M12"/>
    </sheetView>
  </sheetViews>
  <sheetFormatPr defaultRowHeight="14.4" x14ac:dyDescent="0.3"/>
  <cols>
    <col min="2" max="2" width="14.109375" customWidth="1"/>
    <col min="3" max="3" width="17.33203125" customWidth="1"/>
    <col min="4" max="4" width="8.88671875" customWidth="1"/>
    <col min="7" max="7" width="8" customWidth="1"/>
  </cols>
  <sheetData>
    <row r="1" spans="1:13" x14ac:dyDescent="0.3">
      <c r="A1" s="1" t="s">
        <v>12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3">
      <c r="A2" s="4" t="s">
        <v>0</v>
      </c>
      <c r="B2" s="4" t="s">
        <v>1</v>
      </c>
      <c r="C2" s="4" t="s">
        <v>2</v>
      </c>
      <c r="D2" s="4" t="s">
        <v>3</v>
      </c>
      <c r="E2" s="4"/>
      <c r="F2" s="4"/>
      <c r="G2" s="4"/>
      <c r="H2" s="4"/>
      <c r="I2" s="4"/>
      <c r="J2" s="4"/>
      <c r="K2" s="4"/>
      <c r="L2" s="4"/>
      <c r="M2" s="22" t="s">
        <v>14</v>
      </c>
    </row>
    <row r="3" spans="1:13" x14ac:dyDescent="0.3">
      <c r="A3" s="4"/>
      <c r="B3" s="4"/>
      <c r="C3" s="4"/>
      <c r="D3" s="4" t="s">
        <v>7</v>
      </c>
      <c r="E3" s="4"/>
      <c r="F3" s="4"/>
      <c r="G3" s="4" t="s">
        <v>6</v>
      </c>
      <c r="H3" s="4"/>
      <c r="I3" s="4"/>
      <c r="J3" s="3" t="s">
        <v>9</v>
      </c>
      <c r="K3" s="3"/>
      <c r="L3" s="13" t="s">
        <v>10</v>
      </c>
      <c r="M3" s="22"/>
    </row>
    <row r="4" spans="1:13" x14ac:dyDescent="0.3">
      <c r="A4" s="4"/>
      <c r="B4" s="4"/>
      <c r="C4" s="4"/>
      <c r="D4" s="5" t="s">
        <v>5</v>
      </c>
      <c r="E4" s="5" t="s">
        <v>4</v>
      </c>
      <c r="F4" s="5" t="s">
        <v>9</v>
      </c>
      <c r="G4" s="5" t="s">
        <v>5</v>
      </c>
      <c r="H4" s="5" t="s">
        <v>4</v>
      </c>
      <c r="I4" s="11" t="s">
        <v>8</v>
      </c>
      <c r="J4" s="11" t="s">
        <v>5</v>
      </c>
      <c r="K4" s="11" t="s">
        <v>4</v>
      </c>
      <c r="L4" s="13"/>
      <c r="M4" s="22"/>
    </row>
    <row r="5" spans="1:13" x14ac:dyDescent="0.3">
      <c r="A5" s="5">
        <v>1</v>
      </c>
      <c r="B5" s="7">
        <v>10670</v>
      </c>
      <c r="C5" s="7">
        <v>5121.5999999999995</v>
      </c>
      <c r="D5" s="6"/>
      <c r="E5" s="6"/>
      <c r="F5" s="6"/>
      <c r="G5" s="6"/>
      <c r="H5" s="6"/>
      <c r="I5" s="6"/>
      <c r="J5" s="6"/>
      <c r="K5" s="6"/>
      <c r="L5" s="6"/>
      <c r="M5" s="6"/>
    </row>
    <row r="6" spans="1:13" x14ac:dyDescent="0.3">
      <c r="A6" s="5">
        <v>2</v>
      </c>
      <c r="B6" s="7">
        <v>9393</v>
      </c>
      <c r="C6" s="7">
        <v>4508.6399999999994</v>
      </c>
      <c r="D6" s="6"/>
      <c r="E6" s="6"/>
      <c r="F6" s="6"/>
      <c r="G6" s="6"/>
      <c r="H6" s="6"/>
      <c r="I6" s="6"/>
      <c r="J6" s="6"/>
      <c r="K6" s="6"/>
      <c r="L6" s="6"/>
      <c r="M6" s="6"/>
    </row>
    <row r="7" spans="1:13" x14ac:dyDescent="0.3">
      <c r="A7" s="5">
        <v>3</v>
      </c>
      <c r="B7" s="7">
        <v>12660</v>
      </c>
      <c r="C7" s="7">
        <v>6076.8</v>
      </c>
      <c r="D7" s="6"/>
      <c r="E7" s="6"/>
      <c r="F7" s="6"/>
      <c r="G7" s="6"/>
      <c r="H7" s="6"/>
      <c r="I7" s="6"/>
      <c r="J7" s="6"/>
      <c r="K7" s="6"/>
      <c r="L7" s="6"/>
      <c r="M7" s="6"/>
    </row>
    <row r="8" spans="1:13" x14ac:dyDescent="0.3">
      <c r="A8" s="5">
        <v>4</v>
      </c>
      <c r="B8" s="7">
        <v>12054</v>
      </c>
      <c r="C8" s="7">
        <v>5785.92</v>
      </c>
      <c r="D8" s="6"/>
      <c r="E8" s="6"/>
      <c r="F8" s="6"/>
      <c r="G8" s="6"/>
      <c r="H8" s="6"/>
      <c r="I8" s="6"/>
      <c r="J8" s="6"/>
      <c r="K8" s="6"/>
      <c r="L8" s="6"/>
      <c r="M8" s="6"/>
    </row>
    <row r="9" spans="1:13" x14ac:dyDescent="0.3">
      <c r="A9" s="5">
        <v>5</v>
      </c>
      <c r="B9" s="7">
        <v>4123</v>
      </c>
      <c r="C9" s="7">
        <v>1979.04</v>
      </c>
      <c r="D9" s="6"/>
      <c r="E9" s="6"/>
      <c r="F9" s="6"/>
      <c r="G9" s="6"/>
      <c r="H9" s="6"/>
      <c r="I9" s="6"/>
      <c r="J9" s="6"/>
      <c r="K9" s="6"/>
      <c r="L9" s="6"/>
      <c r="M9" s="6"/>
    </row>
    <row r="10" spans="1:13" x14ac:dyDescent="0.3">
      <c r="A10" s="5">
        <v>6</v>
      </c>
      <c r="B10" s="7">
        <v>3304</v>
      </c>
      <c r="C10" s="7">
        <v>1585.9199999999998</v>
      </c>
      <c r="D10" s="6"/>
      <c r="E10" s="6"/>
      <c r="F10" s="6"/>
      <c r="G10" s="6"/>
      <c r="H10" s="6"/>
      <c r="I10" s="6"/>
      <c r="J10" s="6"/>
      <c r="K10" s="6"/>
      <c r="L10" s="6"/>
      <c r="M10" s="6"/>
    </row>
    <row r="11" spans="1:13" x14ac:dyDescent="0.3">
      <c r="A11" s="5">
        <v>7</v>
      </c>
      <c r="B11" s="7">
        <v>2349</v>
      </c>
      <c r="C11" s="7">
        <v>1127.52</v>
      </c>
      <c r="D11" s="6"/>
      <c r="E11" s="6"/>
      <c r="F11" s="6"/>
      <c r="G11" s="6"/>
      <c r="H11" s="6"/>
      <c r="I11" s="6"/>
      <c r="J11" s="6"/>
      <c r="K11" s="6"/>
      <c r="L11" s="6"/>
      <c r="M11" s="6"/>
    </row>
    <row r="12" spans="1:13" x14ac:dyDescent="0.3">
      <c r="A12" s="6" t="s">
        <v>8</v>
      </c>
      <c r="B12" s="7"/>
      <c r="C12" s="7"/>
      <c r="D12" s="6"/>
      <c r="E12" s="6"/>
      <c r="F12" s="6"/>
      <c r="G12" s="6"/>
      <c r="H12" s="6"/>
      <c r="I12" s="6"/>
      <c r="J12" s="6"/>
      <c r="K12" s="6"/>
      <c r="L12" s="6"/>
      <c r="M12" s="6"/>
    </row>
  </sheetData>
  <mergeCells count="10">
    <mergeCell ref="M2:M4"/>
    <mergeCell ref="A1:M1"/>
    <mergeCell ref="A2:A4"/>
    <mergeCell ref="B2:B4"/>
    <mergeCell ref="C2:C4"/>
    <mergeCell ref="D2:L2"/>
    <mergeCell ref="D3:F3"/>
    <mergeCell ref="G3:I3"/>
    <mergeCell ref="J3:K3"/>
    <mergeCell ref="L3:L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6"/>
  <sheetViews>
    <sheetView workbookViewId="0">
      <selection activeCell="H20" sqref="H20"/>
    </sheetView>
  </sheetViews>
  <sheetFormatPr defaultRowHeight="14.4" x14ac:dyDescent="0.3"/>
  <cols>
    <col min="2" max="2" width="14.109375" customWidth="1"/>
    <col min="3" max="3" width="17.33203125" customWidth="1"/>
    <col min="4" max="4" width="8.88671875" customWidth="1"/>
    <col min="7" max="7" width="8" customWidth="1"/>
  </cols>
  <sheetData>
    <row r="1" spans="1:13" x14ac:dyDescent="0.3">
      <c r="A1" s="1" t="s">
        <v>16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3">
      <c r="A2" s="4" t="s">
        <v>0</v>
      </c>
      <c r="B2" s="4" t="s">
        <v>1</v>
      </c>
      <c r="C2" s="4" t="s">
        <v>2</v>
      </c>
      <c r="D2" s="4" t="s">
        <v>3</v>
      </c>
      <c r="E2" s="4"/>
      <c r="F2" s="4"/>
      <c r="G2" s="4"/>
      <c r="H2" s="4"/>
      <c r="I2" s="4"/>
      <c r="J2" s="4"/>
      <c r="K2" s="4"/>
      <c r="L2" s="4"/>
      <c r="M2" s="22" t="s">
        <v>14</v>
      </c>
    </row>
    <row r="3" spans="1:13" x14ac:dyDescent="0.3">
      <c r="A3" s="4"/>
      <c r="B3" s="4"/>
      <c r="C3" s="4"/>
      <c r="D3" s="4" t="s">
        <v>7</v>
      </c>
      <c r="E3" s="4"/>
      <c r="F3" s="4"/>
      <c r="G3" s="4" t="s">
        <v>6</v>
      </c>
      <c r="H3" s="4"/>
      <c r="I3" s="4"/>
      <c r="J3" s="3" t="s">
        <v>9</v>
      </c>
      <c r="K3" s="3"/>
      <c r="L3" s="13" t="s">
        <v>10</v>
      </c>
      <c r="M3" s="22"/>
    </row>
    <row r="4" spans="1:13" x14ac:dyDescent="0.3">
      <c r="A4" s="4"/>
      <c r="B4" s="4"/>
      <c r="C4" s="4"/>
      <c r="D4" s="5" t="s">
        <v>5</v>
      </c>
      <c r="E4" s="5" t="s">
        <v>4</v>
      </c>
      <c r="F4" s="5" t="s">
        <v>9</v>
      </c>
      <c r="G4" s="5" t="s">
        <v>5</v>
      </c>
      <c r="H4" s="5" t="s">
        <v>4</v>
      </c>
      <c r="I4" s="11" t="s">
        <v>8</v>
      </c>
      <c r="J4" s="11" t="s">
        <v>5</v>
      </c>
      <c r="K4" s="11" t="s">
        <v>4</v>
      </c>
      <c r="L4" s="13"/>
      <c r="M4" s="22"/>
    </row>
    <row r="5" spans="1:13" ht="15.6" x14ac:dyDescent="0.3">
      <c r="A5" s="14">
        <v>1</v>
      </c>
      <c r="B5" s="15">
        <v>6994</v>
      </c>
      <c r="C5" s="15">
        <v>3357.12</v>
      </c>
      <c r="D5" s="6"/>
      <c r="E5" s="6"/>
      <c r="F5" s="6"/>
      <c r="G5" s="6"/>
      <c r="H5" s="6"/>
      <c r="I5" s="6"/>
      <c r="J5" s="6"/>
      <c r="K5" s="6"/>
      <c r="L5" s="6"/>
      <c r="M5" s="6"/>
    </row>
    <row r="6" spans="1:13" ht="15.6" x14ac:dyDescent="0.3">
      <c r="A6" s="14">
        <v>2</v>
      </c>
      <c r="B6" s="15">
        <v>5836</v>
      </c>
      <c r="C6" s="15">
        <v>2801.2799999999997</v>
      </c>
      <c r="D6" s="6"/>
      <c r="E6" s="6"/>
      <c r="F6" s="6"/>
      <c r="G6" s="6"/>
      <c r="H6" s="6"/>
      <c r="I6" s="6"/>
      <c r="J6" s="6"/>
      <c r="K6" s="6"/>
      <c r="L6" s="6"/>
      <c r="M6" s="6"/>
    </row>
    <row r="7" spans="1:13" ht="15.6" x14ac:dyDescent="0.3">
      <c r="A7" s="14">
        <v>3</v>
      </c>
      <c r="B7" s="15">
        <v>7049</v>
      </c>
      <c r="C7" s="15">
        <v>3383.52</v>
      </c>
      <c r="D7" s="6"/>
      <c r="E7" s="6"/>
      <c r="F7" s="6"/>
      <c r="G7" s="6"/>
      <c r="H7" s="6"/>
      <c r="I7" s="6"/>
      <c r="J7" s="6"/>
      <c r="K7" s="6"/>
      <c r="L7" s="6"/>
      <c r="M7" s="6"/>
    </row>
    <row r="8" spans="1:13" ht="15.6" x14ac:dyDescent="0.3">
      <c r="A8" s="14">
        <v>4</v>
      </c>
      <c r="B8" s="15">
        <v>6745</v>
      </c>
      <c r="C8" s="15">
        <v>3237.6</v>
      </c>
      <c r="D8" s="6"/>
      <c r="E8" s="6"/>
      <c r="F8" s="6"/>
      <c r="G8" s="6"/>
      <c r="H8" s="6"/>
      <c r="I8" s="6"/>
      <c r="J8" s="6"/>
      <c r="K8" s="6"/>
      <c r="L8" s="6"/>
      <c r="M8" s="6"/>
    </row>
    <row r="9" spans="1:13" ht="15.6" x14ac:dyDescent="0.3">
      <c r="A9" s="14">
        <v>5</v>
      </c>
      <c r="B9" s="15">
        <v>10360</v>
      </c>
      <c r="C9" s="15">
        <v>4972.8</v>
      </c>
      <c r="D9" s="6"/>
      <c r="E9" s="6"/>
      <c r="F9" s="6"/>
      <c r="G9" s="6"/>
      <c r="H9" s="6"/>
      <c r="I9" s="6"/>
      <c r="J9" s="6"/>
      <c r="K9" s="6"/>
      <c r="L9" s="6"/>
      <c r="M9" s="6"/>
    </row>
    <row r="10" spans="1:13" ht="15.6" x14ac:dyDescent="0.3">
      <c r="A10" s="14">
        <v>6</v>
      </c>
      <c r="B10" s="15">
        <v>12099</v>
      </c>
      <c r="C10" s="15">
        <v>5807.5199999999995</v>
      </c>
      <c r="D10" s="6"/>
      <c r="E10" s="6"/>
      <c r="F10" s="6"/>
      <c r="G10" s="6"/>
      <c r="H10" s="6"/>
      <c r="I10" s="6"/>
      <c r="J10" s="6"/>
      <c r="K10" s="6"/>
      <c r="L10" s="6"/>
      <c r="M10" s="6"/>
    </row>
    <row r="11" spans="1:13" ht="15.6" x14ac:dyDescent="0.3">
      <c r="A11" s="14">
        <v>7</v>
      </c>
      <c r="B11" s="15">
        <v>4939</v>
      </c>
      <c r="C11" s="15">
        <v>2370.7199999999998</v>
      </c>
      <c r="D11" s="6"/>
      <c r="E11" s="6"/>
      <c r="F11" s="6"/>
      <c r="G11" s="6"/>
      <c r="H11" s="6"/>
      <c r="I11" s="6"/>
      <c r="J11" s="6"/>
      <c r="K11" s="6"/>
      <c r="L11" s="6"/>
      <c r="M11" s="6"/>
    </row>
    <row r="12" spans="1:13" ht="15.6" x14ac:dyDescent="0.3">
      <c r="A12" s="14">
        <v>8</v>
      </c>
      <c r="B12" s="15">
        <v>6905</v>
      </c>
      <c r="C12" s="15">
        <v>3314.4</v>
      </c>
      <c r="D12" s="6"/>
      <c r="E12" s="6"/>
      <c r="F12" s="6"/>
      <c r="G12" s="6"/>
      <c r="H12" s="6"/>
      <c r="I12" s="6"/>
      <c r="J12" s="6"/>
      <c r="K12" s="6"/>
      <c r="L12" s="6"/>
      <c r="M12" s="6"/>
    </row>
    <row r="13" spans="1:13" ht="15.6" x14ac:dyDescent="0.3">
      <c r="A13" s="14">
        <v>9</v>
      </c>
      <c r="B13" s="15">
        <v>8301</v>
      </c>
      <c r="C13" s="15">
        <v>3984.4799999999996</v>
      </c>
      <c r="D13" s="6"/>
      <c r="E13" s="6"/>
      <c r="F13" s="6"/>
      <c r="G13" s="6"/>
      <c r="H13" s="6"/>
      <c r="I13" s="6"/>
      <c r="J13" s="6"/>
      <c r="K13" s="6"/>
      <c r="L13" s="6"/>
      <c r="M13" s="6"/>
    </row>
    <row r="14" spans="1:13" ht="15.6" x14ac:dyDescent="0.3">
      <c r="A14" s="14">
        <v>10</v>
      </c>
      <c r="B14" s="15">
        <v>7266</v>
      </c>
      <c r="C14" s="15">
        <v>3487.68</v>
      </c>
      <c r="D14" s="6"/>
      <c r="E14" s="6"/>
      <c r="F14" s="6"/>
      <c r="G14" s="6"/>
      <c r="H14" s="6"/>
      <c r="I14" s="6"/>
      <c r="J14" s="6"/>
      <c r="K14" s="6"/>
      <c r="L14" s="6"/>
      <c r="M14" s="6"/>
    </row>
    <row r="15" spans="1:13" ht="15.6" x14ac:dyDescent="0.3">
      <c r="A15" s="14">
        <v>11</v>
      </c>
      <c r="B15" s="15">
        <v>12394</v>
      </c>
      <c r="C15" s="15">
        <v>5949.12</v>
      </c>
      <c r="D15" s="6"/>
      <c r="E15" s="6"/>
      <c r="F15" s="6"/>
      <c r="G15" s="6"/>
      <c r="H15" s="6"/>
      <c r="I15" s="6"/>
      <c r="J15" s="6"/>
      <c r="K15" s="6"/>
      <c r="L15" s="6"/>
      <c r="M15" s="6"/>
    </row>
    <row r="16" spans="1:13" x14ac:dyDescent="0.3">
      <c r="A16" s="6" t="s">
        <v>8</v>
      </c>
      <c r="B16" s="7"/>
      <c r="C16" s="7"/>
      <c r="D16" s="6"/>
      <c r="E16" s="6"/>
      <c r="F16" s="6"/>
      <c r="G16" s="6"/>
      <c r="H16" s="6"/>
      <c r="I16" s="6"/>
      <c r="J16" s="6"/>
      <c r="K16" s="6"/>
      <c r="L16" s="6"/>
      <c r="M16" s="6"/>
    </row>
  </sheetData>
  <mergeCells count="10">
    <mergeCell ref="M2:M4"/>
    <mergeCell ref="A1:M1"/>
    <mergeCell ref="A2:A4"/>
    <mergeCell ref="B2:B4"/>
    <mergeCell ref="C2:C4"/>
    <mergeCell ref="D2:L2"/>
    <mergeCell ref="D3:F3"/>
    <mergeCell ref="G3:I3"/>
    <mergeCell ref="J3:K3"/>
    <mergeCell ref="L3:L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4"/>
  <sheetViews>
    <sheetView workbookViewId="0">
      <selection activeCell="J24" sqref="J24"/>
    </sheetView>
  </sheetViews>
  <sheetFormatPr defaultRowHeight="14.4" x14ac:dyDescent="0.3"/>
  <cols>
    <col min="2" max="2" width="14.109375" customWidth="1"/>
    <col min="3" max="3" width="17.33203125" customWidth="1"/>
    <col min="4" max="4" width="8.88671875" customWidth="1"/>
    <col min="7" max="7" width="8" customWidth="1"/>
  </cols>
  <sheetData>
    <row r="1" spans="1:13" x14ac:dyDescent="0.3">
      <c r="A1" s="1" t="s">
        <v>17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3">
      <c r="A2" s="4" t="s">
        <v>0</v>
      </c>
      <c r="B2" s="4" t="s">
        <v>1</v>
      </c>
      <c r="C2" s="4" t="s">
        <v>2</v>
      </c>
      <c r="D2" s="4" t="s">
        <v>13</v>
      </c>
      <c r="E2" s="4"/>
      <c r="F2" s="4"/>
      <c r="G2" s="4"/>
      <c r="H2" s="4"/>
      <c r="I2" s="4"/>
      <c r="J2" s="4"/>
      <c r="K2" s="4"/>
      <c r="L2" s="4"/>
      <c r="M2" s="22" t="s">
        <v>14</v>
      </c>
    </row>
    <row r="3" spans="1:13" x14ac:dyDescent="0.3">
      <c r="A3" s="4"/>
      <c r="B3" s="4"/>
      <c r="C3" s="4"/>
      <c r="D3" s="4" t="s">
        <v>7</v>
      </c>
      <c r="E3" s="4"/>
      <c r="F3" s="4"/>
      <c r="G3" s="4" t="s">
        <v>6</v>
      </c>
      <c r="H3" s="4"/>
      <c r="I3" s="4"/>
      <c r="J3" s="3" t="s">
        <v>9</v>
      </c>
      <c r="K3" s="3"/>
      <c r="L3" s="13" t="s">
        <v>10</v>
      </c>
      <c r="M3" s="22"/>
    </row>
    <row r="4" spans="1:13" x14ac:dyDescent="0.3">
      <c r="A4" s="4"/>
      <c r="B4" s="4"/>
      <c r="C4" s="4"/>
      <c r="D4" s="5" t="s">
        <v>5</v>
      </c>
      <c r="E4" s="5" t="s">
        <v>4</v>
      </c>
      <c r="F4" s="5" t="s">
        <v>9</v>
      </c>
      <c r="G4" s="5" t="s">
        <v>5</v>
      </c>
      <c r="H4" s="5" t="s">
        <v>4</v>
      </c>
      <c r="I4" s="11" t="s">
        <v>8</v>
      </c>
      <c r="J4" s="11" t="s">
        <v>5</v>
      </c>
      <c r="K4" s="11" t="s">
        <v>4</v>
      </c>
      <c r="L4" s="13"/>
      <c r="M4" s="22"/>
    </row>
    <row r="5" spans="1:13" ht="15.6" x14ac:dyDescent="0.3">
      <c r="A5" s="19">
        <v>1</v>
      </c>
      <c r="B5" s="17">
        <v>5097</v>
      </c>
      <c r="C5" s="17">
        <v>2446.56</v>
      </c>
      <c r="D5" s="6"/>
      <c r="E5" s="6"/>
      <c r="F5" s="6"/>
      <c r="G5" s="6"/>
      <c r="H5" s="6"/>
      <c r="I5" s="6"/>
      <c r="J5" s="6"/>
      <c r="K5" s="6"/>
      <c r="L5" s="6"/>
      <c r="M5" s="6"/>
    </row>
    <row r="6" spans="1:13" ht="15.6" x14ac:dyDescent="0.3">
      <c r="A6" s="19">
        <v>2</v>
      </c>
      <c r="B6" s="17">
        <v>5126</v>
      </c>
      <c r="C6" s="17">
        <v>2460.48</v>
      </c>
      <c r="D6" s="6"/>
      <c r="E6" s="6"/>
      <c r="F6" s="6"/>
      <c r="G6" s="6"/>
      <c r="H6" s="6"/>
      <c r="I6" s="6"/>
      <c r="J6" s="6"/>
      <c r="K6" s="6"/>
      <c r="L6" s="6"/>
      <c r="M6" s="6"/>
    </row>
    <row r="7" spans="1:13" ht="15.6" x14ac:dyDescent="0.3">
      <c r="A7" s="19">
        <v>3</v>
      </c>
      <c r="B7" s="17">
        <v>13610</v>
      </c>
      <c r="C7" s="17">
        <v>6532.8</v>
      </c>
      <c r="D7" s="6"/>
      <c r="E7" s="6"/>
      <c r="F7" s="6"/>
      <c r="G7" s="6"/>
      <c r="H7" s="6"/>
      <c r="I7" s="6"/>
      <c r="J7" s="6"/>
      <c r="K7" s="6"/>
      <c r="L7" s="6"/>
      <c r="M7" s="6"/>
    </row>
    <row r="8" spans="1:13" ht="15.6" x14ac:dyDescent="0.3">
      <c r="A8" s="19">
        <v>4</v>
      </c>
      <c r="B8" s="17">
        <v>7634</v>
      </c>
      <c r="C8" s="17">
        <v>3664.3199999999997</v>
      </c>
      <c r="D8" s="6"/>
      <c r="E8" s="6"/>
      <c r="F8" s="6"/>
      <c r="G8" s="6"/>
      <c r="H8" s="6"/>
      <c r="I8" s="6"/>
      <c r="J8" s="6"/>
      <c r="K8" s="6"/>
      <c r="L8" s="6"/>
      <c r="M8" s="6"/>
    </row>
    <row r="9" spans="1:13" ht="15.6" x14ac:dyDescent="0.3">
      <c r="A9" s="19">
        <v>5</v>
      </c>
      <c r="B9" s="17">
        <v>6548</v>
      </c>
      <c r="C9" s="17">
        <v>3143.04</v>
      </c>
      <c r="D9" s="6"/>
      <c r="E9" s="6"/>
      <c r="F9" s="6"/>
      <c r="G9" s="6"/>
      <c r="H9" s="6"/>
      <c r="I9" s="6"/>
      <c r="J9" s="6"/>
      <c r="K9" s="6"/>
      <c r="L9" s="6"/>
      <c r="M9" s="6"/>
    </row>
    <row r="10" spans="1:13" ht="15.6" x14ac:dyDescent="0.3">
      <c r="A10" s="19">
        <v>6</v>
      </c>
      <c r="B10" s="17">
        <v>2725</v>
      </c>
      <c r="C10" s="17">
        <v>1308</v>
      </c>
      <c r="D10" s="6"/>
      <c r="E10" s="6"/>
      <c r="F10" s="6"/>
      <c r="G10" s="6"/>
      <c r="H10" s="6"/>
      <c r="I10" s="6"/>
      <c r="J10" s="6"/>
      <c r="K10" s="6"/>
      <c r="L10" s="6"/>
      <c r="M10" s="6"/>
    </row>
    <row r="11" spans="1:13" ht="15.6" x14ac:dyDescent="0.3">
      <c r="A11" s="19">
        <v>7</v>
      </c>
      <c r="B11" s="17">
        <v>4662</v>
      </c>
      <c r="C11" s="17">
        <v>2237.7599999999998</v>
      </c>
      <c r="D11" s="6"/>
      <c r="E11" s="6"/>
      <c r="F11" s="6"/>
      <c r="G11" s="6"/>
      <c r="H11" s="6"/>
      <c r="I11" s="6"/>
      <c r="J11" s="6"/>
      <c r="K11" s="6"/>
      <c r="L11" s="6"/>
      <c r="M11" s="6"/>
    </row>
    <row r="12" spans="1:13" ht="15.6" x14ac:dyDescent="0.3">
      <c r="A12" s="19">
        <v>8</v>
      </c>
      <c r="B12" s="17">
        <v>5552</v>
      </c>
      <c r="C12" s="17">
        <v>2664.96</v>
      </c>
      <c r="D12" s="6"/>
      <c r="E12" s="6"/>
      <c r="F12" s="6"/>
      <c r="G12" s="6"/>
      <c r="H12" s="6"/>
      <c r="I12" s="6"/>
      <c r="J12" s="6"/>
      <c r="K12" s="6"/>
      <c r="L12" s="6"/>
      <c r="M12" s="6"/>
    </row>
    <row r="13" spans="1:13" ht="15.6" x14ac:dyDescent="0.3">
      <c r="A13" s="19">
        <v>9</v>
      </c>
      <c r="B13" s="17">
        <v>3727</v>
      </c>
      <c r="C13" s="17">
        <v>1788.96</v>
      </c>
      <c r="D13" s="6"/>
      <c r="E13" s="6"/>
      <c r="F13" s="6"/>
      <c r="G13" s="6"/>
      <c r="H13" s="6"/>
      <c r="I13" s="6"/>
      <c r="J13" s="6"/>
      <c r="K13" s="6"/>
      <c r="L13" s="6"/>
      <c r="M13" s="6"/>
    </row>
    <row r="14" spans="1:13" x14ac:dyDescent="0.3">
      <c r="A14" s="5" t="s">
        <v>8</v>
      </c>
      <c r="B14" s="7">
        <f>SUM(B5:B13)</f>
        <v>54681</v>
      </c>
      <c r="C14" s="7">
        <f>SUM(C5:C13)</f>
        <v>26246.879999999997</v>
      </c>
      <c r="D14" s="6"/>
      <c r="E14" s="6"/>
      <c r="F14" s="6"/>
      <c r="G14" s="6"/>
      <c r="H14" s="6"/>
      <c r="I14" s="6"/>
      <c r="J14" s="6"/>
      <c r="K14" s="6"/>
      <c r="L14" s="6"/>
      <c r="M14" s="6"/>
    </row>
  </sheetData>
  <mergeCells count="10">
    <mergeCell ref="M2:M4"/>
    <mergeCell ref="A1:M1"/>
    <mergeCell ref="A2:A4"/>
    <mergeCell ref="B2:B4"/>
    <mergeCell ref="C2:C4"/>
    <mergeCell ref="D2:L2"/>
    <mergeCell ref="D3:F3"/>
    <mergeCell ref="G3:I3"/>
    <mergeCell ref="J3:K3"/>
    <mergeCell ref="L3:L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6"/>
  <sheetViews>
    <sheetView workbookViewId="0">
      <selection activeCell="I24" sqref="I24"/>
    </sheetView>
  </sheetViews>
  <sheetFormatPr defaultRowHeight="14.4" x14ac:dyDescent="0.3"/>
  <cols>
    <col min="2" max="2" width="14.109375" customWidth="1"/>
    <col min="3" max="3" width="17.33203125" customWidth="1"/>
    <col min="4" max="4" width="8.88671875" customWidth="1"/>
    <col min="7" max="7" width="8" customWidth="1"/>
  </cols>
  <sheetData>
    <row r="1" spans="1:13" x14ac:dyDescent="0.3">
      <c r="A1" s="2" t="s">
        <v>18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x14ac:dyDescent="0.3">
      <c r="A2" s="4" t="s">
        <v>0</v>
      </c>
      <c r="B2" s="4" t="s">
        <v>1</v>
      </c>
      <c r="C2" s="4" t="s">
        <v>2</v>
      </c>
      <c r="D2" s="4" t="s">
        <v>3</v>
      </c>
      <c r="E2" s="4"/>
      <c r="F2" s="4"/>
      <c r="G2" s="4"/>
      <c r="H2" s="4"/>
      <c r="I2" s="4"/>
      <c r="J2" s="4"/>
      <c r="K2" s="4"/>
      <c r="L2" s="4"/>
      <c r="M2" s="22" t="s">
        <v>14</v>
      </c>
    </row>
    <row r="3" spans="1:13" x14ac:dyDescent="0.3">
      <c r="A3" s="4"/>
      <c r="B3" s="4"/>
      <c r="C3" s="4"/>
      <c r="D3" s="4" t="s">
        <v>7</v>
      </c>
      <c r="E3" s="4"/>
      <c r="F3" s="4"/>
      <c r="G3" s="4" t="s">
        <v>6</v>
      </c>
      <c r="H3" s="4"/>
      <c r="I3" s="4"/>
      <c r="J3" s="3" t="s">
        <v>9</v>
      </c>
      <c r="K3" s="3"/>
      <c r="L3" s="13" t="s">
        <v>10</v>
      </c>
      <c r="M3" s="22"/>
    </row>
    <row r="4" spans="1:13" x14ac:dyDescent="0.3">
      <c r="A4" s="4"/>
      <c r="B4" s="4"/>
      <c r="C4" s="4"/>
      <c r="D4" s="5" t="s">
        <v>5</v>
      </c>
      <c r="E4" s="5" t="s">
        <v>4</v>
      </c>
      <c r="F4" s="5" t="s">
        <v>9</v>
      </c>
      <c r="G4" s="5" t="s">
        <v>5</v>
      </c>
      <c r="H4" s="5" t="s">
        <v>4</v>
      </c>
      <c r="I4" s="11" t="s">
        <v>8</v>
      </c>
      <c r="J4" s="11" t="s">
        <v>5</v>
      </c>
      <c r="K4" s="11" t="s">
        <v>4</v>
      </c>
      <c r="L4" s="13"/>
      <c r="M4" s="22"/>
    </row>
    <row r="5" spans="1:13" ht="15.6" x14ac:dyDescent="0.3">
      <c r="A5" s="20">
        <v>1</v>
      </c>
      <c r="B5" s="21">
        <v>6369</v>
      </c>
      <c r="C5" s="21">
        <v>3057.12</v>
      </c>
      <c r="D5" s="6"/>
      <c r="E5" s="6"/>
      <c r="F5" s="6"/>
      <c r="G5" s="6"/>
      <c r="H5" s="6"/>
      <c r="I5" s="6"/>
      <c r="J5" s="6"/>
      <c r="K5" s="6"/>
      <c r="L5" s="6"/>
      <c r="M5" s="6"/>
    </row>
    <row r="6" spans="1:13" ht="15.6" x14ac:dyDescent="0.3">
      <c r="A6" s="20">
        <v>2</v>
      </c>
      <c r="B6" s="21">
        <v>6172</v>
      </c>
      <c r="C6" s="21">
        <v>2962.56</v>
      </c>
      <c r="D6" s="6"/>
      <c r="E6" s="6"/>
      <c r="F6" s="6"/>
      <c r="G6" s="6"/>
      <c r="H6" s="6"/>
      <c r="I6" s="6"/>
      <c r="J6" s="6"/>
      <c r="K6" s="6"/>
      <c r="L6" s="6"/>
      <c r="M6" s="6"/>
    </row>
    <row r="7" spans="1:13" ht="15.6" x14ac:dyDescent="0.3">
      <c r="A7" s="20">
        <v>3</v>
      </c>
      <c r="B7" s="21">
        <v>4635</v>
      </c>
      <c r="C7" s="21">
        <v>2224.7999999999997</v>
      </c>
      <c r="D7" s="6"/>
      <c r="E7" s="6"/>
      <c r="F7" s="6"/>
      <c r="G7" s="6"/>
      <c r="H7" s="6"/>
      <c r="I7" s="6"/>
      <c r="J7" s="6"/>
      <c r="K7" s="6"/>
      <c r="L7" s="6"/>
      <c r="M7" s="6"/>
    </row>
    <row r="8" spans="1:13" ht="15.6" x14ac:dyDescent="0.3">
      <c r="A8" s="20">
        <v>4</v>
      </c>
      <c r="B8" s="21">
        <v>6399</v>
      </c>
      <c r="C8" s="21">
        <v>3071.52</v>
      </c>
      <c r="D8" s="6"/>
      <c r="E8" s="6"/>
      <c r="F8" s="6"/>
      <c r="G8" s="6"/>
      <c r="H8" s="6"/>
      <c r="I8" s="6"/>
      <c r="J8" s="6"/>
      <c r="K8" s="6"/>
      <c r="L8" s="6"/>
      <c r="M8" s="6"/>
    </row>
    <row r="9" spans="1:13" ht="15.6" x14ac:dyDescent="0.3">
      <c r="A9" s="20">
        <v>5</v>
      </c>
      <c r="B9" s="21">
        <v>4767</v>
      </c>
      <c r="C9" s="21">
        <v>2288.16</v>
      </c>
      <c r="D9" s="6"/>
      <c r="E9" s="6"/>
      <c r="F9" s="6"/>
      <c r="G9" s="6"/>
      <c r="H9" s="6"/>
      <c r="I9" s="6"/>
      <c r="J9" s="6"/>
      <c r="K9" s="6"/>
      <c r="L9" s="6"/>
      <c r="M9" s="6"/>
    </row>
    <row r="10" spans="1:13" ht="15.6" x14ac:dyDescent="0.3">
      <c r="A10" s="20">
        <v>6</v>
      </c>
      <c r="B10" s="21">
        <v>6247</v>
      </c>
      <c r="C10" s="21">
        <v>2998.56</v>
      </c>
      <c r="D10" s="6"/>
      <c r="E10" s="6"/>
      <c r="F10" s="6"/>
      <c r="G10" s="6"/>
      <c r="H10" s="6"/>
      <c r="I10" s="6"/>
      <c r="J10" s="6"/>
      <c r="K10" s="6"/>
      <c r="L10" s="6"/>
      <c r="M10" s="6"/>
    </row>
    <row r="11" spans="1:13" ht="15.6" x14ac:dyDescent="0.3">
      <c r="A11" s="20">
        <v>7</v>
      </c>
      <c r="B11" s="21">
        <v>8247</v>
      </c>
      <c r="C11" s="21">
        <v>3958.5599999999995</v>
      </c>
      <c r="D11" s="6"/>
      <c r="E11" s="6"/>
      <c r="F11" s="6"/>
      <c r="G11" s="6"/>
      <c r="H11" s="6"/>
      <c r="I11" s="6"/>
      <c r="J11" s="6"/>
      <c r="K11" s="6"/>
      <c r="L11" s="6"/>
      <c r="M11" s="6"/>
    </row>
    <row r="12" spans="1:13" ht="15.6" x14ac:dyDescent="0.3">
      <c r="A12" s="20">
        <v>8</v>
      </c>
      <c r="B12" s="21">
        <v>9607</v>
      </c>
      <c r="C12" s="21">
        <v>4611.3599999999997</v>
      </c>
      <c r="D12" s="6"/>
      <c r="E12" s="6"/>
      <c r="F12" s="6"/>
      <c r="G12" s="6"/>
      <c r="H12" s="6"/>
      <c r="I12" s="6"/>
      <c r="J12" s="6"/>
      <c r="K12" s="6"/>
      <c r="L12" s="6"/>
      <c r="M12" s="6"/>
    </row>
    <row r="13" spans="1:13" ht="15.6" x14ac:dyDescent="0.3">
      <c r="A13" s="20">
        <v>9</v>
      </c>
      <c r="B13" s="21">
        <v>6800</v>
      </c>
      <c r="C13" s="21">
        <v>3264</v>
      </c>
      <c r="D13" s="6"/>
      <c r="E13" s="6"/>
      <c r="F13" s="6"/>
      <c r="G13" s="6"/>
      <c r="H13" s="6"/>
      <c r="I13" s="6"/>
      <c r="J13" s="6"/>
      <c r="K13" s="6"/>
      <c r="L13" s="6"/>
      <c r="M13" s="6"/>
    </row>
    <row r="14" spans="1:13" ht="15.6" x14ac:dyDescent="0.3">
      <c r="A14" s="20">
        <v>10</v>
      </c>
      <c r="B14" s="21">
        <v>7567</v>
      </c>
      <c r="C14" s="21">
        <v>3632.16</v>
      </c>
      <c r="D14" s="6"/>
      <c r="E14" s="6"/>
      <c r="F14" s="6"/>
      <c r="G14" s="6"/>
      <c r="H14" s="6"/>
      <c r="I14" s="6"/>
      <c r="J14" s="6"/>
      <c r="K14" s="6"/>
      <c r="L14" s="6"/>
      <c r="M14" s="6"/>
    </row>
    <row r="15" spans="1:13" ht="15.6" x14ac:dyDescent="0.3">
      <c r="A15" s="20">
        <v>11</v>
      </c>
      <c r="B15" s="21">
        <v>9230</v>
      </c>
      <c r="C15" s="21">
        <v>4430.3999999999996</v>
      </c>
      <c r="D15" s="6"/>
      <c r="E15" s="6"/>
      <c r="F15" s="6"/>
      <c r="G15" s="6"/>
      <c r="H15" s="6"/>
      <c r="I15" s="6"/>
      <c r="J15" s="6"/>
      <c r="K15" s="6"/>
      <c r="L15" s="6"/>
      <c r="M15" s="6"/>
    </row>
    <row r="16" spans="1:13" x14ac:dyDescent="0.3">
      <c r="A16" s="5" t="s">
        <v>8</v>
      </c>
      <c r="B16" s="7">
        <f>SUM(B5:B15)</f>
        <v>76040</v>
      </c>
      <c r="C16" s="7">
        <f>SUM(C5:C15)</f>
        <v>36499.199999999997</v>
      </c>
      <c r="D16" s="6"/>
      <c r="E16" s="6"/>
      <c r="F16" s="6"/>
      <c r="G16" s="6"/>
      <c r="H16" s="6"/>
      <c r="I16" s="6"/>
      <c r="J16" s="6"/>
      <c r="K16" s="6"/>
      <c r="L16" s="6"/>
      <c r="M16" s="6"/>
    </row>
  </sheetData>
  <mergeCells count="10">
    <mergeCell ref="M2:M4"/>
    <mergeCell ref="A1:M1"/>
    <mergeCell ref="A2:A4"/>
    <mergeCell ref="B2:B4"/>
    <mergeCell ref="C2:C4"/>
    <mergeCell ref="D2:L2"/>
    <mergeCell ref="D3:F3"/>
    <mergeCell ref="G3:I3"/>
    <mergeCell ref="J3:K3"/>
    <mergeCell ref="L3:L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2"/>
  <sheetViews>
    <sheetView workbookViewId="0">
      <selection activeCell="J20" sqref="J20"/>
    </sheetView>
  </sheetViews>
  <sheetFormatPr defaultRowHeight="14.4" x14ac:dyDescent="0.3"/>
  <cols>
    <col min="2" max="2" width="14.109375" customWidth="1"/>
    <col min="3" max="3" width="17.33203125" customWidth="1"/>
    <col min="4" max="4" width="8.88671875" customWidth="1"/>
    <col min="7" max="7" width="8" customWidth="1"/>
  </cols>
  <sheetData>
    <row r="1" spans="1:13" x14ac:dyDescent="0.3">
      <c r="A1" s="2" t="s">
        <v>19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x14ac:dyDescent="0.3">
      <c r="A2" s="4" t="s">
        <v>0</v>
      </c>
      <c r="B2" s="4" t="s">
        <v>1</v>
      </c>
      <c r="C2" s="4" t="s">
        <v>2</v>
      </c>
      <c r="D2" s="4" t="s">
        <v>3</v>
      </c>
      <c r="E2" s="4"/>
      <c r="F2" s="4"/>
      <c r="G2" s="4"/>
      <c r="H2" s="4"/>
      <c r="I2" s="4"/>
      <c r="J2" s="4"/>
      <c r="K2" s="4"/>
      <c r="L2" s="4"/>
      <c r="M2" s="22" t="s">
        <v>14</v>
      </c>
    </row>
    <row r="3" spans="1:13" x14ac:dyDescent="0.3">
      <c r="A3" s="4"/>
      <c r="B3" s="4"/>
      <c r="C3" s="4"/>
      <c r="D3" s="4" t="s">
        <v>7</v>
      </c>
      <c r="E3" s="4"/>
      <c r="F3" s="4"/>
      <c r="G3" s="4" t="s">
        <v>6</v>
      </c>
      <c r="H3" s="4"/>
      <c r="I3" s="4"/>
      <c r="J3" s="3" t="s">
        <v>9</v>
      </c>
      <c r="K3" s="3"/>
      <c r="L3" s="13" t="s">
        <v>10</v>
      </c>
      <c r="M3" s="22"/>
    </row>
    <row r="4" spans="1:13" x14ac:dyDescent="0.3">
      <c r="A4" s="4"/>
      <c r="B4" s="4"/>
      <c r="C4" s="4"/>
      <c r="D4" s="5" t="s">
        <v>5</v>
      </c>
      <c r="E4" s="5" t="s">
        <v>4</v>
      </c>
      <c r="F4" s="5" t="s">
        <v>9</v>
      </c>
      <c r="G4" s="5" t="s">
        <v>5</v>
      </c>
      <c r="H4" s="5" t="s">
        <v>4</v>
      </c>
      <c r="I4" s="11" t="s">
        <v>8</v>
      </c>
      <c r="J4" s="11" t="s">
        <v>5</v>
      </c>
      <c r="K4" s="11" t="s">
        <v>4</v>
      </c>
      <c r="L4" s="13"/>
      <c r="M4" s="22"/>
    </row>
    <row r="5" spans="1:13" ht="15.6" x14ac:dyDescent="0.3">
      <c r="A5" s="18">
        <v>1</v>
      </c>
      <c r="B5" s="16">
        <v>6877</v>
      </c>
      <c r="C5" s="16">
        <v>3300.96</v>
      </c>
      <c r="D5" s="6"/>
      <c r="E5" s="6"/>
      <c r="F5" s="6"/>
      <c r="G5" s="6"/>
      <c r="H5" s="6"/>
      <c r="I5" s="6"/>
      <c r="J5" s="6"/>
      <c r="K5" s="6"/>
      <c r="L5" s="6"/>
      <c r="M5" s="6"/>
    </row>
    <row r="6" spans="1:13" ht="15.6" x14ac:dyDescent="0.3">
      <c r="A6" s="18">
        <v>2</v>
      </c>
      <c r="B6" s="16">
        <v>6807</v>
      </c>
      <c r="C6" s="16">
        <v>3267.3599999999997</v>
      </c>
      <c r="D6" s="6"/>
      <c r="E6" s="6"/>
      <c r="F6" s="6"/>
      <c r="G6" s="6"/>
      <c r="H6" s="6"/>
      <c r="I6" s="6"/>
      <c r="J6" s="6"/>
      <c r="K6" s="6"/>
      <c r="L6" s="6"/>
      <c r="M6" s="6"/>
    </row>
    <row r="7" spans="1:13" ht="15.6" x14ac:dyDescent="0.3">
      <c r="A7" s="18">
        <v>3</v>
      </c>
      <c r="B7" s="16">
        <v>6565</v>
      </c>
      <c r="C7" s="16">
        <v>3151.2</v>
      </c>
      <c r="D7" s="6"/>
      <c r="E7" s="6"/>
      <c r="F7" s="6"/>
      <c r="G7" s="6"/>
      <c r="H7" s="6"/>
      <c r="I7" s="6"/>
      <c r="J7" s="6"/>
      <c r="K7" s="6"/>
      <c r="L7" s="6"/>
      <c r="M7" s="6"/>
    </row>
    <row r="8" spans="1:13" ht="15.6" x14ac:dyDescent="0.3">
      <c r="A8" s="18">
        <v>4</v>
      </c>
      <c r="B8" s="16">
        <v>8179</v>
      </c>
      <c r="C8" s="16">
        <v>3925.92</v>
      </c>
      <c r="D8" s="6"/>
      <c r="E8" s="6"/>
      <c r="F8" s="6"/>
      <c r="G8" s="6"/>
      <c r="H8" s="6"/>
      <c r="I8" s="6"/>
      <c r="J8" s="6"/>
      <c r="K8" s="6"/>
      <c r="L8" s="6"/>
      <c r="M8" s="6"/>
    </row>
    <row r="9" spans="1:13" ht="15.6" x14ac:dyDescent="0.3">
      <c r="A9" s="18">
        <v>5</v>
      </c>
      <c r="B9" s="16">
        <v>11141</v>
      </c>
      <c r="C9" s="16">
        <v>5347.6799999999994</v>
      </c>
      <c r="D9" s="6"/>
      <c r="E9" s="6"/>
      <c r="F9" s="6"/>
      <c r="G9" s="6"/>
      <c r="H9" s="6"/>
      <c r="I9" s="6"/>
      <c r="J9" s="6"/>
      <c r="K9" s="6"/>
      <c r="L9" s="6"/>
      <c r="M9" s="6"/>
    </row>
    <row r="10" spans="1:13" ht="15.6" x14ac:dyDescent="0.3">
      <c r="A10" s="18">
        <v>6</v>
      </c>
      <c r="B10" s="16">
        <v>8092</v>
      </c>
      <c r="C10" s="16">
        <v>3884.16</v>
      </c>
      <c r="D10" s="6"/>
      <c r="E10" s="6"/>
      <c r="F10" s="6"/>
      <c r="G10" s="6"/>
      <c r="H10" s="6"/>
      <c r="I10" s="6"/>
      <c r="J10" s="6"/>
      <c r="K10" s="6"/>
      <c r="L10" s="6"/>
      <c r="M10" s="6"/>
    </row>
    <row r="11" spans="1:13" ht="15.6" x14ac:dyDescent="0.3">
      <c r="A11" s="18">
        <v>7</v>
      </c>
      <c r="B11" s="16">
        <v>7480</v>
      </c>
      <c r="C11" s="16">
        <v>3590.4</v>
      </c>
      <c r="D11" s="6"/>
      <c r="E11" s="6"/>
      <c r="F11" s="6"/>
      <c r="G11" s="6"/>
      <c r="H11" s="6"/>
      <c r="I11" s="6"/>
      <c r="J11" s="6"/>
      <c r="K11" s="6"/>
      <c r="L11" s="6"/>
      <c r="M11" s="6"/>
    </row>
    <row r="12" spans="1:13" x14ac:dyDescent="0.3">
      <c r="A12" s="8" t="s">
        <v>8</v>
      </c>
      <c r="B12" s="7">
        <f>SUM(B5:B11)</f>
        <v>55141</v>
      </c>
      <c r="C12" s="7">
        <f>SUM(C5:C11)</f>
        <v>26467.68</v>
      </c>
      <c r="D12" s="6"/>
      <c r="E12" s="6"/>
      <c r="F12" s="6"/>
      <c r="G12" s="6"/>
      <c r="H12" s="6"/>
      <c r="I12" s="6"/>
      <c r="J12" s="6"/>
      <c r="K12" s="6"/>
      <c r="L12" s="6"/>
      <c r="M12" s="6"/>
    </row>
  </sheetData>
  <mergeCells count="10">
    <mergeCell ref="M2:M4"/>
    <mergeCell ref="A1:M1"/>
    <mergeCell ref="A2:A4"/>
    <mergeCell ref="B2:B4"/>
    <mergeCell ref="C2:C4"/>
    <mergeCell ref="D2:L2"/>
    <mergeCell ref="D3:F3"/>
    <mergeCell ref="G3:I3"/>
    <mergeCell ref="J3:K3"/>
    <mergeCell ref="L3:L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5"/>
  <sheetViews>
    <sheetView workbookViewId="0">
      <selection activeCell="M23" sqref="M23"/>
    </sheetView>
  </sheetViews>
  <sheetFormatPr defaultRowHeight="14.4" x14ac:dyDescent="0.3"/>
  <cols>
    <col min="2" max="2" width="14.109375" customWidth="1"/>
    <col min="3" max="3" width="17.33203125" customWidth="1"/>
    <col min="4" max="4" width="8.88671875" customWidth="1"/>
    <col min="7" max="7" width="8" customWidth="1"/>
  </cols>
  <sheetData>
    <row r="1" spans="1:14" x14ac:dyDescent="0.3">
      <c r="A1" s="28" t="s">
        <v>20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5"/>
    </row>
    <row r="2" spans="1:14" x14ac:dyDescent="0.3">
      <c r="A2" s="27" t="s">
        <v>0</v>
      </c>
      <c r="B2" s="27" t="s">
        <v>1</v>
      </c>
      <c r="C2" s="27" t="s">
        <v>2</v>
      </c>
      <c r="D2" s="27" t="s">
        <v>3</v>
      </c>
      <c r="E2" s="27"/>
      <c r="F2" s="27"/>
      <c r="G2" s="27"/>
      <c r="H2" s="27"/>
      <c r="I2" s="27"/>
      <c r="J2" s="27"/>
      <c r="K2" s="27"/>
      <c r="L2" s="27"/>
      <c r="M2" s="22" t="s">
        <v>14</v>
      </c>
    </row>
    <row r="3" spans="1:14" x14ac:dyDescent="0.3">
      <c r="A3" s="4"/>
      <c r="B3" s="4"/>
      <c r="C3" s="4"/>
      <c r="D3" s="4" t="s">
        <v>7</v>
      </c>
      <c r="E3" s="4"/>
      <c r="F3" s="4"/>
      <c r="G3" s="4" t="s">
        <v>6</v>
      </c>
      <c r="H3" s="4"/>
      <c r="I3" s="4"/>
      <c r="J3" s="3" t="s">
        <v>9</v>
      </c>
      <c r="K3" s="3"/>
      <c r="L3" s="13" t="s">
        <v>10</v>
      </c>
      <c r="M3" s="22"/>
    </row>
    <row r="4" spans="1:14" x14ac:dyDescent="0.3">
      <c r="A4" s="4"/>
      <c r="B4" s="4"/>
      <c r="C4" s="4"/>
      <c r="D4" s="5" t="s">
        <v>5</v>
      </c>
      <c r="E4" s="5" t="s">
        <v>4</v>
      </c>
      <c r="F4" s="5" t="s">
        <v>9</v>
      </c>
      <c r="G4" s="5" t="s">
        <v>5</v>
      </c>
      <c r="H4" s="5" t="s">
        <v>4</v>
      </c>
      <c r="I4" s="11" t="s">
        <v>8</v>
      </c>
      <c r="J4" s="11" t="s">
        <v>5</v>
      </c>
      <c r="K4" s="11" t="s">
        <v>4</v>
      </c>
      <c r="L4" s="13"/>
      <c r="M4" s="22"/>
    </row>
    <row r="5" spans="1:14" ht="15.6" x14ac:dyDescent="0.3">
      <c r="A5" s="19">
        <v>1</v>
      </c>
      <c r="B5" s="17">
        <v>14924</v>
      </c>
      <c r="C5" s="17">
        <v>7163.5199999999995</v>
      </c>
      <c r="D5" s="6"/>
      <c r="E5" s="6"/>
      <c r="F5" s="6"/>
      <c r="G5" s="6"/>
      <c r="H5" s="6"/>
      <c r="I5" s="6"/>
      <c r="J5" s="6"/>
      <c r="K5" s="6"/>
      <c r="L5" s="6"/>
      <c r="M5" s="6"/>
    </row>
    <row r="6" spans="1:14" ht="15.6" x14ac:dyDescent="0.3">
      <c r="A6" s="19">
        <v>2</v>
      </c>
      <c r="B6" s="17">
        <v>12529</v>
      </c>
      <c r="C6" s="17">
        <v>6013.92</v>
      </c>
      <c r="D6" s="6"/>
      <c r="E6" s="6"/>
      <c r="F6" s="6"/>
      <c r="G6" s="6"/>
      <c r="H6" s="6"/>
      <c r="I6" s="6"/>
      <c r="J6" s="6"/>
      <c r="K6" s="6"/>
      <c r="L6" s="6"/>
      <c r="M6" s="6"/>
    </row>
    <row r="7" spans="1:14" ht="15.6" x14ac:dyDescent="0.3">
      <c r="A7" s="19">
        <v>3</v>
      </c>
      <c r="B7" s="17">
        <v>11756</v>
      </c>
      <c r="C7" s="17">
        <v>5642.88</v>
      </c>
      <c r="D7" s="6"/>
      <c r="E7" s="6"/>
      <c r="F7" s="6"/>
      <c r="G7" s="6"/>
      <c r="H7" s="6"/>
      <c r="I7" s="6"/>
      <c r="J7" s="6"/>
      <c r="K7" s="6"/>
      <c r="L7" s="6"/>
      <c r="M7" s="6"/>
    </row>
    <row r="8" spans="1:14" ht="15.6" x14ac:dyDescent="0.3">
      <c r="A8" s="19">
        <v>4</v>
      </c>
      <c r="B8" s="17">
        <v>12078</v>
      </c>
      <c r="C8" s="17">
        <v>5797.44</v>
      </c>
      <c r="D8" s="6"/>
      <c r="E8" s="6"/>
      <c r="F8" s="6"/>
      <c r="G8" s="6"/>
      <c r="H8" s="6"/>
      <c r="I8" s="6"/>
      <c r="J8" s="6"/>
      <c r="K8" s="6"/>
      <c r="L8" s="6"/>
      <c r="M8" s="6"/>
    </row>
    <row r="9" spans="1:14" ht="15.6" x14ac:dyDescent="0.3">
      <c r="A9" s="19">
        <v>5</v>
      </c>
      <c r="B9" s="17">
        <v>16384</v>
      </c>
      <c r="C9" s="17">
        <v>7864.32</v>
      </c>
      <c r="D9" s="6"/>
      <c r="E9" s="6"/>
      <c r="F9" s="6"/>
      <c r="G9" s="6"/>
      <c r="H9" s="6"/>
      <c r="I9" s="6"/>
      <c r="J9" s="6"/>
      <c r="K9" s="6"/>
      <c r="L9" s="6"/>
      <c r="M9" s="6"/>
    </row>
    <row r="10" spans="1:14" ht="15.6" x14ac:dyDescent="0.3">
      <c r="A10" s="19">
        <v>6</v>
      </c>
      <c r="B10" s="17">
        <v>6847</v>
      </c>
      <c r="C10" s="17">
        <v>3286.56</v>
      </c>
      <c r="D10" s="6"/>
      <c r="E10" s="6"/>
      <c r="F10" s="6"/>
      <c r="G10" s="6"/>
      <c r="H10" s="6"/>
      <c r="I10" s="6"/>
      <c r="J10" s="6"/>
      <c r="K10" s="6"/>
      <c r="L10" s="6"/>
      <c r="M10" s="6"/>
    </row>
    <row r="11" spans="1:14" ht="15.6" x14ac:dyDescent="0.3">
      <c r="A11" s="19">
        <v>7</v>
      </c>
      <c r="B11" s="17">
        <v>7961</v>
      </c>
      <c r="C11" s="17">
        <v>3821.2799999999997</v>
      </c>
      <c r="D11" s="6"/>
      <c r="E11" s="6"/>
      <c r="F11" s="6"/>
      <c r="G11" s="6"/>
      <c r="H11" s="6"/>
      <c r="I11" s="6"/>
      <c r="J11" s="6"/>
      <c r="K11" s="6"/>
      <c r="L11" s="6"/>
      <c r="M11" s="6"/>
    </row>
    <row r="12" spans="1:14" ht="15.6" x14ac:dyDescent="0.3">
      <c r="A12" s="19">
        <v>8</v>
      </c>
      <c r="B12" s="17">
        <v>11478</v>
      </c>
      <c r="C12" s="17">
        <v>5509.44</v>
      </c>
      <c r="D12" s="6"/>
      <c r="E12" s="6"/>
      <c r="F12" s="6"/>
      <c r="G12" s="6"/>
      <c r="H12" s="6"/>
      <c r="I12" s="6"/>
      <c r="J12" s="6"/>
      <c r="K12" s="6"/>
      <c r="L12" s="6"/>
      <c r="M12" s="6"/>
    </row>
    <row r="13" spans="1:14" ht="15.6" x14ac:dyDescent="0.3">
      <c r="A13" s="19">
        <v>9</v>
      </c>
      <c r="B13" s="17">
        <v>15078</v>
      </c>
      <c r="C13" s="17">
        <v>7237.44</v>
      </c>
      <c r="D13" s="6"/>
      <c r="E13" s="6"/>
      <c r="F13" s="6"/>
      <c r="G13" s="6"/>
      <c r="H13" s="6"/>
      <c r="I13" s="6"/>
      <c r="J13" s="6"/>
      <c r="K13" s="6"/>
      <c r="L13" s="6"/>
      <c r="M13" s="6"/>
    </row>
    <row r="14" spans="1:14" ht="15.6" x14ac:dyDescent="0.3">
      <c r="A14" s="19">
        <v>10</v>
      </c>
      <c r="B14" s="17">
        <v>6266</v>
      </c>
      <c r="C14" s="17">
        <v>3007.68</v>
      </c>
      <c r="D14" s="6"/>
      <c r="E14" s="6"/>
      <c r="F14" s="6"/>
      <c r="G14" s="6"/>
      <c r="H14" s="6"/>
      <c r="I14" s="6"/>
      <c r="J14" s="6"/>
      <c r="K14" s="6"/>
      <c r="L14" s="6"/>
      <c r="M14" s="6"/>
    </row>
    <row r="15" spans="1:14" x14ac:dyDescent="0.3">
      <c r="A15" s="5" t="s">
        <v>8</v>
      </c>
      <c r="B15" s="7">
        <f>SUM(B5:B14)</f>
        <v>115301</v>
      </c>
      <c r="C15" s="7">
        <f>SUM(C5:C14)</f>
        <v>55344.480000000003</v>
      </c>
      <c r="D15" s="6"/>
      <c r="E15" s="6"/>
      <c r="F15" s="6"/>
      <c r="G15" s="6"/>
      <c r="H15" s="6"/>
      <c r="I15" s="6"/>
      <c r="J15" s="6"/>
      <c r="K15" s="6"/>
      <c r="L15" s="6"/>
      <c r="M15" s="6"/>
    </row>
  </sheetData>
  <mergeCells count="10">
    <mergeCell ref="M2:M4"/>
    <mergeCell ref="A1:M1"/>
    <mergeCell ref="A2:A4"/>
    <mergeCell ref="B2:B4"/>
    <mergeCell ref="C2:C4"/>
    <mergeCell ref="D2:L2"/>
    <mergeCell ref="D3:F3"/>
    <mergeCell ref="G3:I3"/>
    <mergeCell ref="J3:K3"/>
    <mergeCell ref="L3:L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4"/>
  <sheetViews>
    <sheetView workbookViewId="0">
      <selection activeCell="J25" sqref="J25"/>
    </sheetView>
  </sheetViews>
  <sheetFormatPr defaultRowHeight="14.4" x14ac:dyDescent="0.3"/>
  <cols>
    <col min="2" max="2" width="14.109375" customWidth="1"/>
    <col min="3" max="3" width="17.33203125" customWidth="1"/>
    <col min="4" max="4" width="8.88671875" customWidth="1"/>
    <col min="7" max="7" width="8" customWidth="1"/>
  </cols>
  <sheetData>
    <row r="1" spans="1:13" x14ac:dyDescent="0.3">
      <c r="A1" s="1" t="s">
        <v>21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3">
      <c r="A2" s="4" t="s">
        <v>0</v>
      </c>
      <c r="B2" s="4" t="s">
        <v>1</v>
      </c>
      <c r="C2" s="4" t="s">
        <v>2</v>
      </c>
      <c r="D2" s="4" t="s">
        <v>3</v>
      </c>
      <c r="E2" s="4"/>
      <c r="F2" s="4"/>
      <c r="G2" s="4"/>
      <c r="H2" s="4"/>
      <c r="I2" s="4"/>
      <c r="J2" s="4"/>
      <c r="K2" s="4"/>
      <c r="L2" s="9"/>
      <c r="M2" s="22" t="s">
        <v>14</v>
      </c>
    </row>
    <row r="3" spans="1:13" x14ac:dyDescent="0.3">
      <c r="A3" s="4"/>
      <c r="B3" s="4"/>
      <c r="C3" s="4"/>
      <c r="D3" s="4" t="s">
        <v>7</v>
      </c>
      <c r="E3" s="4"/>
      <c r="F3" s="4"/>
      <c r="G3" s="4" t="s">
        <v>6</v>
      </c>
      <c r="H3" s="4"/>
      <c r="I3" s="4"/>
      <c r="J3" s="3" t="s">
        <v>9</v>
      </c>
      <c r="K3" s="3"/>
      <c r="L3" s="30" t="s">
        <v>10</v>
      </c>
      <c r="M3" s="22"/>
    </row>
    <row r="4" spans="1:13" x14ac:dyDescent="0.3">
      <c r="A4" s="4"/>
      <c r="B4" s="4"/>
      <c r="C4" s="4"/>
      <c r="D4" s="5" t="s">
        <v>5</v>
      </c>
      <c r="E4" s="5" t="s">
        <v>4</v>
      </c>
      <c r="F4" s="5" t="s">
        <v>9</v>
      </c>
      <c r="G4" s="5" t="s">
        <v>5</v>
      </c>
      <c r="H4" s="5" t="s">
        <v>4</v>
      </c>
      <c r="I4" s="11" t="s">
        <v>8</v>
      </c>
      <c r="J4" s="11" t="s">
        <v>5</v>
      </c>
      <c r="K4" s="11" t="s">
        <v>4</v>
      </c>
      <c r="L4" s="30"/>
      <c r="M4" s="22"/>
    </row>
    <row r="5" spans="1:13" ht="15.6" x14ac:dyDescent="0.3">
      <c r="A5" s="18">
        <v>1</v>
      </c>
      <c r="B5" s="16">
        <v>10136</v>
      </c>
      <c r="C5" s="16">
        <v>4865.28</v>
      </c>
      <c r="D5" s="6"/>
      <c r="E5" s="6"/>
      <c r="F5" s="6"/>
      <c r="G5" s="6"/>
      <c r="H5" s="6"/>
      <c r="I5" s="6"/>
      <c r="J5" s="6"/>
      <c r="K5" s="6"/>
      <c r="L5" s="12"/>
      <c r="M5" s="6"/>
    </row>
    <row r="6" spans="1:13" ht="15.6" x14ac:dyDescent="0.3">
      <c r="A6" s="18">
        <v>2</v>
      </c>
      <c r="B6" s="16">
        <v>5101</v>
      </c>
      <c r="C6" s="16">
        <v>2448.48</v>
      </c>
      <c r="D6" s="6"/>
      <c r="E6" s="6"/>
      <c r="F6" s="6"/>
      <c r="G6" s="6"/>
      <c r="H6" s="6"/>
      <c r="I6" s="6"/>
      <c r="J6" s="6"/>
      <c r="K6" s="6"/>
      <c r="L6" s="12"/>
      <c r="M6" s="6"/>
    </row>
    <row r="7" spans="1:13" ht="15.6" x14ac:dyDescent="0.3">
      <c r="A7" s="18">
        <v>3</v>
      </c>
      <c r="B7" s="16">
        <v>4836</v>
      </c>
      <c r="C7" s="16">
        <v>2321.2799999999997</v>
      </c>
      <c r="D7" s="6"/>
      <c r="E7" s="6"/>
      <c r="F7" s="6"/>
      <c r="G7" s="6"/>
      <c r="H7" s="6"/>
      <c r="I7" s="6"/>
      <c r="J7" s="6"/>
      <c r="K7" s="6"/>
      <c r="L7" s="12"/>
      <c r="M7" s="6"/>
    </row>
    <row r="8" spans="1:13" ht="15.6" x14ac:dyDescent="0.3">
      <c r="A8" s="18">
        <v>4</v>
      </c>
      <c r="B8" s="16">
        <v>7697</v>
      </c>
      <c r="C8" s="16">
        <v>3694.56</v>
      </c>
      <c r="D8" s="6"/>
      <c r="E8" s="6"/>
      <c r="F8" s="6"/>
      <c r="G8" s="6"/>
      <c r="H8" s="6"/>
      <c r="I8" s="6"/>
      <c r="J8" s="6"/>
      <c r="K8" s="6"/>
      <c r="L8" s="12"/>
      <c r="M8" s="6"/>
    </row>
    <row r="9" spans="1:13" ht="15.6" x14ac:dyDescent="0.3">
      <c r="A9" s="18">
        <v>5</v>
      </c>
      <c r="B9" s="16">
        <v>8418</v>
      </c>
      <c r="C9" s="16">
        <v>4040.6399999999994</v>
      </c>
      <c r="D9" s="6"/>
      <c r="E9" s="6"/>
      <c r="F9" s="6"/>
      <c r="G9" s="6"/>
      <c r="H9" s="6"/>
      <c r="I9" s="6"/>
      <c r="J9" s="6"/>
      <c r="K9" s="6"/>
      <c r="L9" s="12"/>
      <c r="M9" s="6"/>
    </row>
    <row r="10" spans="1:13" ht="15.6" x14ac:dyDescent="0.3">
      <c r="A10" s="18">
        <v>6</v>
      </c>
      <c r="B10" s="16">
        <v>6965</v>
      </c>
      <c r="C10" s="16">
        <v>3343.2</v>
      </c>
      <c r="D10" s="6"/>
      <c r="E10" s="6"/>
      <c r="F10" s="6"/>
      <c r="G10" s="6"/>
      <c r="H10" s="6"/>
      <c r="I10" s="6"/>
      <c r="J10" s="6"/>
      <c r="K10" s="6"/>
      <c r="L10" s="12"/>
      <c r="M10" s="6"/>
    </row>
    <row r="11" spans="1:13" ht="15.6" x14ac:dyDescent="0.3">
      <c r="A11" s="18">
        <v>7</v>
      </c>
      <c r="B11" s="16">
        <v>7137</v>
      </c>
      <c r="C11" s="16">
        <v>3425.7599999999998</v>
      </c>
      <c r="D11" s="6"/>
      <c r="E11" s="6"/>
      <c r="F11" s="6"/>
      <c r="G11" s="6"/>
      <c r="H11" s="6"/>
      <c r="I11" s="6"/>
      <c r="J11" s="6"/>
      <c r="K11" s="6"/>
      <c r="L11" s="12"/>
      <c r="M11" s="6"/>
    </row>
    <row r="12" spans="1:13" ht="15.6" x14ac:dyDescent="0.3">
      <c r="A12" s="18">
        <v>8</v>
      </c>
      <c r="B12" s="16">
        <v>5799</v>
      </c>
      <c r="C12" s="16">
        <v>2783.52</v>
      </c>
      <c r="D12" s="6"/>
      <c r="E12" s="6"/>
      <c r="F12" s="6"/>
      <c r="G12" s="6"/>
      <c r="H12" s="6"/>
      <c r="I12" s="6"/>
      <c r="J12" s="6"/>
      <c r="K12" s="6"/>
      <c r="L12" s="12"/>
      <c r="M12" s="6"/>
    </row>
    <row r="13" spans="1:13" ht="15.6" x14ac:dyDescent="0.3">
      <c r="A13" s="18">
        <v>9</v>
      </c>
      <c r="B13" s="16">
        <v>6476</v>
      </c>
      <c r="C13" s="16">
        <v>3108.48</v>
      </c>
      <c r="D13" s="6"/>
      <c r="E13" s="6"/>
      <c r="F13" s="6"/>
      <c r="G13" s="6"/>
      <c r="H13" s="6"/>
      <c r="I13" s="6"/>
      <c r="J13" s="6"/>
      <c r="K13" s="6"/>
      <c r="L13" s="12"/>
      <c r="M13" s="6"/>
    </row>
    <row r="14" spans="1:13" x14ac:dyDescent="0.3">
      <c r="A14" s="8" t="s">
        <v>8</v>
      </c>
      <c r="B14" s="7">
        <f>SUM(B5:B13)</f>
        <v>62565</v>
      </c>
      <c r="C14" s="7">
        <f>SUM(C5:C13)</f>
        <v>30031.199999999997</v>
      </c>
      <c r="D14" s="6"/>
      <c r="E14" s="6"/>
      <c r="F14" s="6"/>
      <c r="G14" s="6"/>
      <c r="H14" s="6"/>
      <c r="I14" s="6"/>
      <c r="J14" s="6"/>
      <c r="K14" s="6"/>
      <c r="L14" s="12"/>
      <c r="M14" s="6"/>
    </row>
  </sheetData>
  <mergeCells count="10">
    <mergeCell ref="M2:M4"/>
    <mergeCell ref="A1:M1"/>
    <mergeCell ref="A2:A4"/>
    <mergeCell ref="B2:B4"/>
    <mergeCell ref="C2:C4"/>
    <mergeCell ref="D2:L2"/>
    <mergeCell ref="D3:F3"/>
    <mergeCell ref="G3:I3"/>
    <mergeCell ref="J3:K3"/>
    <mergeCell ref="L3:L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"/>
  <sheetViews>
    <sheetView workbookViewId="0">
      <selection activeCell="K15" sqref="K15"/>
    </sheetView>
  </sheetViews>
  <sheetFormatPr defaultRowHeight="14.4" x14ac:dyDescent="0.3"/>
  <cols>
    <col min="2" max="2" width="14.109375" customWidth="1"/>
    <col min="3" max="3" width="17.33203125" customWidth="1"/>
    <col min="4" max="4" width="8.88671875" customWidth="1"/>
    <col min="7" max="7" width="8" customWidth="1"/>
  </cols>
  <sheetData>
    <row r="1" spans="1:13" x14ac:dyDescent="0.3">
      <c r="A1" s="1" t="s">
        <v>22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3">
      <c r="A2" s="4" t="s">
        <v>0</v>
      </c>
      <c r="B2" s="4" t="s">
        <v>1</v>
      </c>
      <c r="C2" s="4" t="s">
        <v>2</v>
      </c>
      <c r="D2" s="4" t="s">
        <v>3</v>
      </c>
      <c r="E2" s="4"/>
      <c r="F2" s="4"/>
      <c r="G2" s="4"/>
      <c r="H2" s="4"/>
      <c r="I2" s="4"/>
      <c r="J2" s="4"/>
      <c r="K2" s="4"/>
      <c r="L2" s="4"/>
      <c r="M2" s="22" t="s">
        <v>14</v>
      </c>
    </row>
    <row r="3" spans="1:13" x14ac:dyDescent="0.3">
      <c r="A3" s="4"/>
      <c r="B3" s="4"/>
      <c r="C3" s="4"/>
      <c r="D3" s="4" t="s">
        <v>7</v>
      </c>
      <c r="E3" s="4"/>
      <c r="F3" s="4"/>
      <c r="G3" s="4" t="s">
        <v>6</v>
      </c>
      <c r="H3" s="4"/>
      <c r="I3" s="4"/>
      <c r="J3" s="3" t="s">
        <v>9</v>
      </c>
      <c r="K3" s="3"/>
      <c r="L3" s="13" t="s">
        <v>10</v>
      </c>
      <c r="M3" s="22"/>
    </row>
    <row r="4" spans="1:13" x14ac:dyDescent="0.3">
      <c r="A4" s="4"/>
      <c r="B4" s="4"/>
      <c r="C4" s="4"/>
      <c r="D4" s="5" t="s">
        <v>5</v>
      </c>
      <c r="E4" s="5" t="s">
        <v>4</v>
      </c>
      <c r="F4" s="5" t="s">
        <v>9</v>
      </c>
      <c r="G4" s="5" t="s">
        <v>5</v>
      </c>
      <c r="H4" s="5" t="s">
        <v>4</v>
      </c>
      <c r="I4" s="11" t="s">
        <v>8</v>
      </c>
      <c r="J4" s="11" t="s">
        <v>5</v>
      </c>
      <c r="K4" s="11" t="s">
        <v>4</v>
      </c>
      <c r="L4" s="13"/>
      <c r="M4" s="22"/>
    </row>
    <row r="5" spans="1:13" ht="15.6" x14ac:dyDescent="0.3">
      <c r="A5" s="20">
        <v>1</v>
      </c>
      <c r="B5" s="21">
        <v>7239</v>
      </c>
      <c r="C5" s="21">
        <v>3474.72</v>
      </c>
      <c r="D5" s="6"/>
      <c r="E5" s="6"/>
      <c r="F5" s="6"/>
      <c r="G5" s="6"/>
      <c r="H5" s="6"/>
      <c r="I5" s="6"/>
      <c r="J5" s="6"/>
      <c r="K5" s="6"/>
      <c r="L5" s="6"/>
      <c r="M5" s="6"/>
    </row>
    <row r="6" spans="1:13" ht="15.6" x14ac:dyDescent="0.3">
      <c r="A6" s="20">
        <v>2</v>
      </c>
      <c r="B6" s="21">
        <v>6257</v>
      </c>
      <c r="C6" s="21">
        <v>3003.3599999999997</v>
      </c>
      <c r="D6" s="6"/>
      <c r="E6" s="6"/>
      <c r="F6" s="6"/>
      <c r="G6" s="6"/>
      <c r="H6" s="6"/>
      <c r="I6" s="6"/>
      <c r="J6" s="6"/>
      <c r="K6" s="6"/>
      <c r="L6" s="6"/>
      <c r="M6" s="6"/>
    </row>
    <row r="7" spans="1:13" ht="15.6" x14ac:dyDescent="0.3">
      <c r="A7" s="20">
        <v>3</v>
      </c>
      <c r="B7" s="21">
        <v>7126</v>
      </c>
      <c r="C7" s="21">
        <v>3420.48</v>
      </c>
      <c r="D7" s="6"/>
      <c r="E7" s="6"/>
      <c r="F7" s="6"/>
      <c r="G7" s="6"/>
      <c r="H7" s="6"/>
      <c r="I7" s="6"/>
      <c r="J7" s="6"/>
      <c r="K7" s="6"/>
      <c r="L7" s="6"/>
      <c r="M7" s="6"/>
    </row>
    <row r="8" spans="1:13" ht="15.6" x14ac:dyDescent="0.3">
      <c r="A8" s="20">
        <v>4</v>
      </c>
      <c r="B8" s="21">
        <v>4888</v>
      </c>
      <c r="C8" s="21">
        <v>2346.2399999999998</v>
      </c>
      <c r="D8" s="6"/>
      <c r="E8" s="6"/>
      <c r="F8" s="6"/>
      <c r="G8" s="6"/>
      <c r="H8" s="6"/>
      <c r="I8" s="6"/>
      <c r="J8" s="6"/>
      <c r="K8" s="6"/>
      <c r="L8" s="6"/>
      <c r="M8" s="6"/>
    </row>
    <row r="9" spans="1:13" ht="15.6" x14ac:dyDescent="0.3">
      <c r="A9" s="20">
        <v>5</v>
      </c>
      <c r="B9" s="21">
        <v>4300</v>
      </c>
      <c r="C9" s="21">
        <v>2064</v>
      </c>
      <c r="D9" s="6"/>
      <c r="E9" s="6"/>
      <c r="F9" s="6"/>
      <c r="G9" s="6"/>
      <c r="H9" s="6"/>
      <c r="I9" s="6"/>
      <c r="J9" s="6"/>
      <c r="K9" s="6"/>
      <c r="L9" s="6"/>
      <c r="M9" s="6"/>
    </row>
    <row r="10" spans="1:13" ht="15.6" x14ac:dyDescent="0.3">
      <c r="A10" s="20">
        <v>6</v>
      </c>
      <c r="B10" s="21">
        <v>5886</v>
      </c>
      <c r="C10" s="21">
        <v>2825.2799999999997</v>
      </c>
      <c r="D10" s="6"/>
      <c r="E10" s="6"/>
      <c r="F10" s="6"/>
      <c r="G10" s="6"/>
      <c r="H10" s="6"/>
      <c r="I10" s="6"/>
      <c r="J10" s="6"/>
      <c r="K10" s="6"/>
      <c r="L10" s="6"/>
      <c r="M10" s="6"/>
    </row>
    <row r="11" spans="1:13" x14ac:dyDescent="0.3">
      <c r="A11" s="5" t="s">
        <v>8</v>
      </c>
      <c r="B11" s="7">
        <f>SUM(B5:B10)</f>
        <v>35696</v>
      </c>
      <c r="C11" s="7">
        <f>SUM(C5:C10)</f>
        <v>17134.079999999998</v>
      </c>
      <c r="D11" s="6"/>
      <c r="E11" s="6"/>
      <c r="F11" s="6"/>
      <c r="G11" s="6"/>
      <c r="H11" s="6"/>
      <c r="I11" s="6"/>
      <c r="J11" s="6"/>
      <c r="K11" s="6"/>
      <c r="L11" s="6"/>
      <c r="M11" s="6"/>
    </row>
  </sheetData>
  <mergeCells count="10">
    <mergeCell ref="M2:M4"/>
    <mergeCell ref="A1:M1"/>
    <mergeCell ref="A2:A4"/>
    <mergeCell ref="B2:B4"/>
    <mergeCell ref="C2:C4"/>
    <mergeCell ref="D2:L2"/>
    <mergeCell ref="D3:F3"/>
    <mergeCell ref="G3:I3"/>
    <mergeCell ref="J3:K3"/>
    <mergeCell ref="L3:L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2"/>
  <sheetViews>
    <sheetView workbookViewId="0">
      <selection activeCell="O21" sqref="O21"/>
    </sheetView>
  </sheetViews>
  <sheetFormatPr defaultRowHeight="14.4" x14ac:dyDescent="0.3"/>
  <cols>
    <col min="2" max="2" width="14.109375" customWidth="1"/>
    <col min="3" max="3" width="17.33203125" customWidth="1"/>
    <col min="4" max="4" width="8.88671875" customWidth="1"/>
    <col min="7" max="7" width="8" customWidth="1"/>
  </cols>
  <sheetData>
    <row r="1" spans="1:13" x14ac:dyDescent="0.3">
      <c r="A1" s="1" t="s">
        <v>23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3">
      <c r="A2" s="4" t="s">
        <v>0</v>
      </c>
      <c r="B2" s="4" t="s">
        <v>1</v>
      </c>
      <c r="C2" s="4" t="s">
        <v>2</v>
      </c>
      <c r="D2" s="4" t="s">
        <v>3</v>
      </c>
      <c r="E2" s="4"/>
      <c r="F2" s="4"/>
      <c r="G2" s="4"/>
      <c r="H2" s="4"/>
      <c r="I2" s="4"/>
      <c r="J2" s="4"/>
      <c r="K2" s="4"/>
      <c r="L2" s="4"/>
      <c r="M2" s="22" t="s">
        <v>14</v>
      </c>
    </row>
    <row r="3" spans="1:13" x14ac:dyDescent="0.3">
      <c r="A3" s="4"/>
      <c r="B3" s="4"/>
      <c r="C3" s="4"/>
      <c r="D3" s="4" t="s">
        <v>7</v>
      </c>
      <c r="E3" s="4"/>
      <c r="F3" s="4"/>
      <c r="G3" s="4" t="s">
        <v>6</v>
      </c>
      <c r="H3" s="4"/>
      <c r="I3" s="4"/>
      <c r="J3" s="3" t="s">
        <v>9</v>
      </c>
      <c r="K3" s="3"/>
      <c r="L3" s="13" t="s">
        <v>10</v>
      </c>
      <c r="M3" s="22"/>
    </row>
    <row r="4" spans="1:13" x14ac:dyDescent="0.3">
      <c r="A4" s="4"/>
      <c r="B4" s="4"/>
      <c r="C4" s="4"/>
      <c r="D4" s="5" t="s">
        <v>5</v>
      </c>
      <c r="E4" s="5" t="s">
        <v>4</v>
      </c>
      <c r="F4" s="5" t="s">
        <v>9</v>
      </c>
      <c r="G4" s="5" t="s">
        <v>5</v>
      </c>
      <c r="H4" s="5" t="s">
        <v>4</v>
      </c>
      <c r="I4" s="11" t="s">
        <v>8</v>
      </c>
      <c r="J4" s="11" t="s">
        <v>5</v>
      </c>
      <c r="K4" s="11" t="s">
        <v>4</v>
      </c>
      <c r="L4" s="13"/>
      <c r="M4" s="22"/>
    </row>
    <row r="5" spans="1:13" ht="15.6" x14ac:dyDescent="0.3">
      <c r="A5" s="20">
        <v>1</v>
      </c>
      <c r="B5" s="21">
        <v>5005</v>
      </c>
      <c r="C5" s="21">
        <v>2402.4</v>
      </c>
      <c r="D5" s="6"/>
      <c r="E5" s="6"/>
      <c r="F5" s="6"/>
      <c r="G5" s="6"/>
      <c r="H5" s="6"/>
      <c r="I5" s="6"/>
      <c r="J5" s="6"/>
      <c r="K5" s="6"/>
      <c r="L5" s="6"/>
      <c r="M5" s="6"/>
    </row>
    <row r="6" spans="1:13" ht="15.6" x14ac:dyDescent="0.3">
      <c r="A6" s="20">
        <v>2</v>
      </c>
      <c r="B6" s="21">
        <v>5231</v>
      </c>
      <c r="C6" s="21">
        <v>2510.88</v>
      </c>
      <c r="D6" s="6"/>
      <c r="E6" s="6"/>
      <c r="F6" s="6"/>
      <c r="G6" s="6"/>
      <c r="H6" s="6"/>
      <c r="I6" s="6"/>
      <c r="J6" s="6"/>
      <c r="K6" s="6"/>
      <c r="L6" s="6"/>
      <c r="M6" s="6"/>
    </row>
    <row r="7" spans="1:13" ht="15.6" x14ac:dyDescent="0.3">
      <c r="A7" s="20">
        <v>3</v>
      </c>
      <c r="B7" s="21">
        <v>6386</v>
      </c>
      <c r="C7" s="21">
        <v>3065.2799999999997</v>
      </c>
      <c r="D7" s="6"/>
      <c r="E7" s="6"/>
      <c r="F7" s="6"/>
      <c r="G7" s="6"/>
      <c r="H7" s="6"/>
      <c r="I7" s="6"/>
      <c r="J7" s="6"/>
      <c r="K7" s="6"/>
      <c r="L7" s="6"/>
      <c r="M7" s="6"/>
    </row>
    <row r="8" spans="1:13" ht="15.6" x14ac:dyDescent="0.3">
      <c r="A8" s="20">
        <v>4</v>
      </c>
      <c r="B8" s="21">
        <v>6392</v>
      </c>
      <c r="C8" s="21">
        <v>3068.16</v>
      </c>
      <c r="D8" s="6"/>
      <c r="E8" s="6"/>
      <c r="F8" s="6"/>
      <c r="G8" s="6"/>
      <c r="H8" s="6"/>
      <c r="I8" s="6"/>
      <c r="J8" s="6"/>
      <c r="K8" s="6"/>
      <c r="L8" s="6"/>
      <c r="M8" s="6"/>
    </row>
    <row r="9" spans="1:13" ht="15.6" x14ac:dyDescent="0.3">
      <c r="A9" s="20">
        <v>5</v>
      </c>
      <c r="B9" s="21">
        <v>6200</v>
      </c>
      <c r="C9" s="21">
        <v>2976</v>
      </c>
      <c r="D9" s="6"/>
      <c r="E9" s="6"/>
      <c r="F9" s="6"/>
      <c r="G9" s="6"/>
      <c r="H9" s="6"/>
      <c r="I9" s="6"/>
      <c r="J9" s="6"/>
      <c r="K9" s="6"/>
      <c r="L9" s="6"/>
      <c r="M9" s="6"/>
    </row>
    <row r="10" spans="1:13" ht="15.6" x14ac:dyDescent="0.3">
      <c r="A10" s="20">
        <v>6</v>
      </c>
      <c r="B10" s="21">
        <v>5766</v>
      </c>
      <c r="C10" s="21">
        <v>2767.68</v>
      </c>
      <c r="D10" s="6"/>
      <c r="E10" s="6"/>
      <c r="F10" s="6"/>
      <c r="G10" s="6"/>
      <c r="H10" s="6"/>
      <c r="I10" s="6"/>
      <c r="J10" s="6"/>
      <c r="K10" s="6"/>
      <c r="L10" s="6"/>
      <c r="M10" s="6"/>
    </row>
    <row r="11" spans="1:13" ht="15.6" x14ac:dyDescent="0.3">
      <c r="A11" s="20">
        <v>7</v>
      </c>
      <c r="B11" s="21">
        <v>4718</v>
      </c>
      <c r="C11" s="21">
        <v>2264.64</v>
      </c>
      <c r="D11" s="6"/>
      <c r="E11" s="6"/>
      <c r="F11" s="6"/>
      <c r="G11" s="6"/>
      <c r="H11" s="6"/>
      <c r="I11" s="6"/>
      <c r="J11" s="6"/>
      <c r="K11" s="6"/>
      <c r="L11" s="6"/>
      <c r="M11" s="6"/>
    </row>
    <row r="12" spans="1:13" x14ac:dyDescent="0.3">
      <c r="A12" s="5" t="s">
        <v>8</v>
      </c>
      <c r="B12" s="7">
        <f>SUM(B5:B11)</f>
        <v>39698</v>
      </c>
      <c r="C12" s="7">
        <f>SUM(C5:C11)</f>
        <v>19055.04</v>
      </c>
      <c r="D12" s="6"/>
      <c r="E12" s="6"/>
      <c r="F12" s="6"/>
      <c r="G12" s="6"/>
      <c r="H12" s="6"/>
      <c r="I12" s="6"/>
      <c r="J12" s="6"/>
      <c r="K12" s="6"/>
      <c r="L12" s="6"/>
      <c r="M12" s="6"/>
    </row>
  </sheetData>
  <mergeCells count="10">
    <mergeCell ref="M2:M4"/>
    <mergeCell ref="A1:M1"/>
    <mergeCell ref="A2:A4"/>
    <mergeCell ref="B2:B4"/>
    <mergeCell ref="C2:C4"/>
    <mergeCell ref="D2:L2"/>
    <mergeCell ref="D3:F3"/>
    <mergeCell ref="G3:I3"/>
    <mergeCell ref="J3:K3"/>
    <mergeCell ref="L3:L4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2"/>
  <sheetViews>
    <sheetView workbookViewId="0">
      <selection activeCell="M2" sqref="M2:M12"/>
    </sheetView>
  </sheetViews>
  <sheetFormatPr defaultRowHeight="14.4" x14ac:dyDescent="0.3"/>
  <cols>
    <col min="2" max="2" width="14.109375" customWidth="1"/>
    <col min="3" max="3" width="17.33203125" customWidth="1"/>
    <col min="4" max="4" width="8.88671875" customWidth="1"/>
    <col min="7" max="7" width="8" customWidth="1"/>
  </cols>
  <sheetData>
    <row r="1" spans="1:13" x14ac:dyDescent="0.3">
      <c r="A1" s="1" t="s">
        <v>24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3">
      <c r="A2" s="4" t="s">
        <v>0</v>
      </c>
      <c r="B2" s="4" t="s">
        <v>1</v>
      </c>
      <c r="C2" s="4" t="s">
        <v>2</v>
      </c>
      <c r="D2" s="4" t="s">
        <v>3</v>
      </c>
      <c r="E2" s="4"/>
      <c r="F2" s="4"/>
      <c r="G2" s="4"/>
      <c r="H2" s="4"/>
      <c r="I2" s="4"/>
      <c r="J2" s="4"/>
      <c r="K2" s="4"/>
      <c r="L2" s="4"/>
      <c r="M2" s="22" t="s">
        <v>14</v>
      </c>
    </row>
    <row r="3" spans="1:13" x14ac:dyDescent="0.3">
      <c r="A3" s="4"/>
      <c r="B3" s="4"/>
      <c r="C3" s="4"/>
      <c r="D3" s="4" t="s">
        <v>7</v>
      </c>
      <c r="E3" s="4"/>
      <c r="F3" s="4"/>
      <c r="G3" s="4" t="s">
        <v>6</v>
      </c>
      <c r="H3" s="4"/>
      <c r="I3" s="4"/>
      <c r="J3" s="3" t="s">
        <v>9</v>
      </c>
      <c r="K3" s="3"/>
      <c r="L3" s="13" t="s">
        <v>10</v>
      </c>
      <c r="M3" s="22"/>
    </row>
    <row r="4" spans="1:13" x14ac:dyDescent="0.3">
      <c r="A4" s="4"/>
      <c r="B4" s="4"/>
      <c r="C4" s="4"/>
      <c r="D4" s="5" t="s">
        <v>5</v>
      </c>
      <c r="E4" s="5" t="s">
        <v>4</v>
      </c>
      <c r="F4" s="5" t="s">
        <v>9</v>
      </c>
      <c r="G4" s="5" t="s">
        <v>5</v>
      </c>
      <c r="H4" s="5" t="s">
        <v>4</v>
      </c>
      <c r="I4" s="11" t="s">
        <v>8</v>
      </c>
      <c r="J4" s="11" t="s">
        <v>5</v>
      </c>
      <c r="K4" s="11" t="s">
        <v>4</v>
      </c>
      <c r="L4" s="13"/>
      <c r="M4" s="22"/>
    </row>
    <row r="5" spans="1:13" ht="15.6" x14ac:dyDescent="0.3">
      <c r="A5" s="19">
        <v>1</v>
      </c>
      <c r="B5" s="17">
        <v>4582</v>
      </c>
      <c r="C5" s="17">
        <v>2199.36</v>
      </c>
      <c r="D5" s="6"/>
      <c r="E5" s="6"/>
      <c r="F5" s="6"/>
      <c r="G5" s="6"/>
      <c r="H5" s="6"/>
      <c r="I5" s="6"/>
      <c r="J5" s="6"/>
      <c r="K5" s="6"/>
      <c r="L5" s="6"/>
      <c r="M5" s="6"/>
    </row>
    <row r="6" spans="1:13" ht="15.6" x14ac:dyDescent="0.3">
      <c r="A6" s="19">
        <v>2</v>
      </c>
      <c r="B6" s="17">
        <v>6302</v>
      </c>
      <c r="C6" s="17">
        <v>3024.96</v>
      </c>
      <c r="D6" s="6"/>
      <c r="E6" s="6"/>
      <c r="F6" s="6"/>
      <c r="G6" s="6"/>
      <c r="H6" s="6"/>
      <c r="I6" s="6"/>
      <c r="J6" s="6"/>
      <c r="K6" s="6"/>
      <c r="L6" s="6"/>
      <c r="M6" s="6"/>
    </row>
    <row r="7" spans="1:13" ht="15.6" x14ac:dyDescent="0.3">
      <c r="A7" s="19">
        <v>3</v>
      </c>
      <c r="B7" s="17">
        <v>6775</v>
      </c>
      <c r="C7" s="17">
        <v>3252</v>
      </c>
      <c r="D7" s="6"/>
      <c r="E7" s="6"/>
      <c r="F7" s="6"/>
      <c r="G7" s="6"/>
      <c r="H7" s="6"/>
      <c r="I7" s="6"/>
      <c r="J7" s="6"/>
      <c r="K7" s="6"/>
      <c r="L7" s="6"/>
      <c r="M7" s="6"/>
    </row>
    <row r="8" spans="1:13" ht="15.6" x14ac:dyDescent="0.3">
      <c r="A8" s="19">
        <v>4</v>
      </c>
      <c r="B8" s="17">
        <v>4524</v>
      </c>
      <c r="C8" s="17">
        <v>2171.52</v>
      </c>
      <c r="D8" s="6"/>
      <c r="E8" s="6"/>
      <c r="F8" s="6"/>
      <c r="G8" s="6"/>
      <c r="H8" s="6"/>
      <c r="I8" s="6"/>
      <c r="J8" s="6"/>
      <c r="K8" s="6"/>
      <c r="L8" s="6"/>
      <c r="M8" s="6"/>
    </row>
    <row r="9" spans="1:13" ht="15.6" x14ac:dyDescent="0.3">
      <c r="A9" s="19">
        <v>5</v>
      </c>
      <c r="B9" s="17">
        <v>7332</v>
      </c>
      <c r="C9" s="17">
        <v>3519.3599999999997</v>
      </c>
      <c r="D9" s="6"/>
      <c r="E9" s="6"/>
      <c r="F9" s="6"/>
      <c r="G9" s="6"/>
      <c r="H9" s="6"/>
      <c r="I9" s="6"/>
      <c r="J9" s="6"/>
      <c r="K9" s="6"/>
      <c r="L9" s="6"/>
      <c r="M9" s="6"/>
    </row>
    <row r="10" spans="1:13" ht="15.6" x14ac:dyDescent="0.3">
      <c r="A10" s="19">
        <v>6</v>
      </c>
      <c r="B10" s="17">
        <v>5370</v>
      </c>
      <c r="C10" s="17">
        <v>2577.6</v>
      </c>
      <c r="D10" s="6"/>
      <c r="E10" s="6"/>
      <c r="F10" s="6"/>
      <c r="G10" s="6"/>
      <c r="H10" s="6"/>
      <c r="I10" s="6"/>
      <c r="J10" s="6"/>
      <c r="K10" s="6"/>
      <c r="L10" s="6"/>
      <c r="M10" s="6"/>
    </row>
    <row r="11" spans="1:13" ht="15.6" x14ac:dyDescent="0.3">
      <c r="A11" s="19">
        <v>7</v>
      </c>
      <c r="B11" s="17">
        <v>3287</v>
      </c>
      <c r="C11" s="17">
        <v>1577.76</v>
      </c>
      <c r="D11" s="6"/>
      <c r="E11" s="6"/>
      <c r="F11" s="6"/>
      <c r="G11" s="6"/>
      <c r="H11" s="6"/>
      <c r="I11" s="6"/>
      <c r="J11" s="6"/>
      <c r="K11" s="6"/>
      <c r="L11" s="6"/>
      <c r="M11" s="6"/>
    </row>
    <row r="12" spans="1:13" x14ac:dyDescent="0.3">
      <c r="A12" s="6" t="s">
        <v>8</v>
      </c>
      <c r="B12" s="7">
        <f>SUM(B5:B11)</f>
        <v>38172</v>
      </c>
      <c r="C12" s="7">
        <f>SUM(C5:C11)</f>
        <v>18322.559999999998</v>
      </c>
      <c r="D12" s="6"/>
      <c r="E12" s="6"/>
      <c r="F12" s="6"/>
      <c r="G12" s="6"/>
      <c r="H12" s="6"/>
      <c r="I12" s="6"/>
      <c r="J12" s="6"/>
      <c r="K12" s="6"/>
      <c r="L12" s="6"/>
      <c r="M12" s="6"/>
    </row>
  </sheetData>
  <mergeCells count="10">
    <mergeCell ref="M2:M4"/>
    <mergeCell ref="A1:M1"/>
    <mergeCell ref="A2:A4"/>
    <mergeCell ref="B2:B4"/>
    <mergeCell ref="C2:C4"/>
    <mergeCell ref="D2:L2"/>
    <mergeCell ref="D3:F3"/>
    <mergeCell ref="G3:I3"/>
    <mergeCell ref="J3:K3"/>
    <mergeCell ref="L3:L4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15"/>
  <sheetViews>
    <sheetView workbookViewId="0">
      <selection activeCell="F21" sqref="F21"/>
    </sheetView>
  </sheetViews>
  <sheetFormatPr defaultRowHeight="14.4" x14ac:dyDescent="0.3"/>
  <cols>
    <col min="2" max="2" width="14.109375" customWidth="1"/>
    <col min="3" max="3" width="17.33203125" customWidth="1"/>
    <col min="4" max="4" width="8.88671875" customWidth="1"/>
    <col min="7" max="7" width="8" customWidth="1"/>
  </cols>
  <sheetData>
    <row r="2" spans="1:12" x14ac:dyDescent="0.3">
      <c r="A2" s="4" t="s">
        <v>0</v>
      </c>
      <c r="B2" s="4" t="s">
        <v>1</v>
      </c>
      <c r="C2" s="4" t="s">
        <v>2</v>
      </c>
      <c r="D2" s="4" t="s">
        <v>3</v>
      </c>
      <c r="E2" s="4"/>
      <c r="F2" s="4"/>
      <c r="G2" s="4"/>
      <c r="H2" s="4"/>
      <c r="I2" s="4"/>
      <c r="J2" s="4"/>
      <c r="K2" s="4"/>
      <c r="L2" s="4"/>
    </row>
    <row r="3" spans="1:12" x14ac:dyDescent="0.3">
      <c r="A3" s="4"/>
      <c r="B3" s="4"/>
      <c r="C3" s="4"/>
      <c r="D3" s="4" t="s">
        <v>7</v>
      </c>
      <c r="E3" s="4"/>
      <c r="F3" s="4"/>
      <c r="G3" s="4" t="s">
        <v>6</v>
      </c>
      <c r="H3" s="4"/>
      <c r="I3" s="4"/>
      <c r="J3" s="3" t="s">
        <v>9</v>
      </c>
      <c r="K3" s="3"/>
      <c r="L3" s="13" t="s">
        <v>10</v>
      </c>
    </row>
    <row r="4" spans="1:12" x14ac:dyDescent="0.3">
      <c r="A4" s="4"/>
      <c r="B4" s="4"/>
      <c r="C4" s="4"/>
      <c r="D4" s="5" t="s">
        <v>5</v>
      </c>
      <c r="E4" s="5" t="s">
        <v>4</v>
      </c>
      <c r="F4" s="5" t="s">
        <v>9</v>
      </c>
      <c r="G4" s="5" t="s">
        <v>5</v>
      </c>
      <c r="H4" s="5" t="s">
        <v>4</v>
      </c>
      <c r="I4" s="11" t="s">
        <v>8</v>
      </c>
      <c r="J4" s="11" t="s">
        <v>5</v>
      </c>
      <c r="K4" s="11" t="s">
        <v>4</v>
      </c>
      <c r="L4" s="13"/>
    </row>
    <row r="5" spans="1:12" ht="15.6" x14ac:dyDescent="0.3">
      <c r="A5" s="18">
        <v>1</v>
      </c>
      <c r="B5" s="16">
        <v>14715</v>
      </c>
      <c r="C5" s="16">
        <v>7063.2</v>
      </c>
      <c r="D5" s="6"/>
      <c r="E5" s="6"/>
      <c r="F5" s="6"/>
      <c r="G5" s="6"/>
      <c r="H5" s="6"/>
      <c r="I5" s="6"/>
      <c r="J5" s="6"/>
      <c r="K5" s="6"/>
      <c r="L5" s="6"/>
    </row>
    <row r="6" spans="1:12" ht="15.6" x14ac:dyDescent="0.3">
      <c r="A6" s="18">
        <v>2</v>
      </c>
      <c r="B6" s="16">
        <v>14308</v>
      </c>
      <c r="C6" s="16">
        <v>6867.84</v>
      </c>
      <c r="D6" s="6"/>
      <c r="E6" s="6"/>
      <c r="F6" s="6"/>
      <c r="G6" s="6"/>
      <c r="H6" s="6"/>
      <c r="I6" s="6"/>
      <c r="J6" s="6"/>
      <c r="K6" s="6"/>
      <c r="L6" s="6"/>
    </row>
    <row r="7" spans="1:12" ht="15.6" x14ac:dyDescent="0.3">
      <c r="A7" s="18">
        <v>3</v>
      </c>
      <c r="B7" s="16">
        <v>14218</v>
      </c>
      <c r="C7" s="16">
        <v>6824.6399999999994</v>
      </c>
      <c r="D7" s="6"/>
      <c r="E7" s="6"/>
      <c r="F7" s="6"/>
      <c r="G7" s="6"/>
      <c r="H7" s="6"/>
      <c r="I7" s="6"/>
      <c r="J7" s="6"/>
      <c r="K7" s="6"/>
      <c r="L7" s="6"/>
    </row>
    <row r="8" spans="1:12" ht="15.6" x14ac:dyDescent="0.3">
      <c r="A8" s="18">
        <v>4</v>
      </c>
      <c r="B8" s="16">
        <v>17875</v>
      </c>
      <c r="C8" s="16">
        <v>8580</v>
      </c>
      <c r="D8" s="6"/>
      <c r="E8" s="6"/>
      <c r="F8" s="6"/>
      <c r="G8" s="6"/>
      <c r="H8" s="6"/>
      <c r="I8" s="6"/>
      <c r="J8" s="6"/>
      <c r="K8" s="6"/>
      <c r="L8" s="6"/>
    </row>
    <row r="9" spans="1:12" ht="15.6" x14ac:dyDescent="0.3">
      <c r="A9" s="18">
        <v>5</v>
      </c>
      <c r="B9" s="16">
        <v>24323</v>
      </c>
      <c r="C9" s="16">
        <v>11675.039999999999</v>
      </c>
      <c r="D9" s="6"/>
      <c r="E9" s="6"/>
      <c r="F9" s="6"/>
      <c r="G9" s="6"/>
      <c r="H9" s="6"/>
      <c r="I9" s="6"/>
      <c r="J9" s="6"/>
      <c r="K9" s="6"/>
      <c r="L9" s="6"/>
    </row>
    <row r="10" spans="1:12" ht="15.6" x14ac:dyDescent="0.3">
      <c r="A10" s="18">
        <v>6</v>
      </c>
      <c r="B10" s="16">
        <v>9337</v>
      </c>
      <c r="C10" s="16">
        <v>4481.76</v>
      </c>
      <c r="D10" s="6"/>
      <c r="E10" s="6"/>
      <c r="F10" s="6"/>
      <c r="G10" s="6"/>
      <c r="H10" s="6"/>
      <c r="I10" s="6"/>
      <c r="J10" s="6"/>
      <c r="K10" s="6"/>
      <c r="L10" s="6"/>
    </row>
    <row r="11" spans="1:12" ht="15.6" x14ac:dyDescent="0.3">
      <c r="A11" s="18">
        <v>7</v>
      </c>
      <c r="B11" s="16">
        <v>8819</v>
      </c>
      <c r="C11" s="16">
        <v>4233.12</v>
      </c>
      <c r="D11" s="6"/>
      <c r="E11" s="6"/>
      <c r="F11" s="6"/>
      <c r="G11" s="6"/>
      <c r="H11" s="6"/>
      <c r="I11" s="6"/>
      <c r="J11" s="6"/>
      <c r="K11" s="6"/>
      <c r="L11" s="6"/>
    </row>
    <row r="12" spans="1:12" ht="15.6" x14ac:dyDescent="0.3">
      <c r="A12" s="18">
        <v>8</v>
      </c>
      <c r="B12" s="16">
        <v>6304</v>
      </c>
      <c r="C12" s="16">
        <v>3025.92</v>
      </c>
      <c r="D12" s="6"/>
      <c r="E12" s="6"/>
      <c r="F12" s="6"/>
      <c r="G12" s="6"/>
      <c r="H12" s="6"/>
      <c r="I12" s="6"/>
      <c r="J12" s="6"/>
      <c r="K12" s="6"/>
      <c r="L12" s="6"/>
    </row>
    <row r="13" spans="1:12" ht="15.6" x14ac:dyDescent="0.3">
      <c r="A13" s="18">
        <v>9</v>
      </c>
      <c r="B13" s="16">
        <v>5891</v>
      </c>
      <c r="C13" s="16">
        <v>2827.68</v>
      </c>
      <c r="D13" s="6"/>
      <c r="E13" s="6"/>
      <c r="F13" s="6"/>
      <c r="G13" s="6"/>
      <c r="H13" s="6"/>
      <c r="I13" s="6"/>
      <c r="J13" s="6"/>
      <c r="K13" s="6"/>
      <c r="L13" s="6"/>
    </row>
    <row r="14" spans="1:12" ht="15.6" x14ac:dyDescent="0.3">
      <c r="A14" s="18">
        <v>10</v>
      </c>
      <c r="B14" s="16">
        <v>8683</v>
      </c>
      <c r="C14" s="16">
        <v>4167.84</v>
      </c>
      <c r="D14" s="6"/>
      <c r="E14" s="6"/>
      <c r="F14" s="6"/>
      <c r="G14" s="6"/>
      <c r="H14" s="6"/>
      <c r="I14" s="6"/>
      <c r="J14" s="6"/>
      <c r="K14" s="6"/>
      <c r="L14" s="6"/>
    </row>
    <row r="15" spans="1:12" x14ac:dyDescent="0.3">
      <c r="A15" s="8" t="s">
        <v>8</v>
      </c>
      <c r="B15" s="7">
        <f>SUM(B5:B14)</f>
        <v>124473</v>
      </c>
      <c r="C15" s="7">
        <f>SUM(C5:C14)</f>
        <v>59747.040000000008</v>
      </c>
      <c r="D15" s="6"/>
      <c r="E15" s="6"/>
      <c r="F15" s="6"/>
      <c r="G15" s="6"/>
      <c r="H15" s="6"/>
      <c r="I15" s="6"/>
      <c r="J15" s="6"/>
      <c r="K15" s="6"/>
      <c r="L15" s="6"/>
    </row>
  </sheetData>
  <mergeCells count="8">
    <mergeCell ref="A2:A4"/>
    <mergeCell ref="B2:B4"/>
    <mergeCell ref="C2:C4"/>
    <mergeCell ref="D2:L2"/>
    <mergeCell ref="D3:F3"/>
    <mergeCell ref="G3:I3"/>
    <mergeCell ref="J3:K3"/>
    <mergeCell ref="L3:L4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"/>
  <sheetViews>
    <sheetView workbookViewId="0">
      <selection activeCell="N18" sqref="N18"/>
    </sheetView>
  </sheetViews>
  <sheetFormatPr defaultRowHeight="14.4" x14ac:dyDescent="0.3"/>
  <cols>
    <col min="2" max="2" width="14.109375" customWidth="1"/>
    <col min="3" max="3" width="17.33203125" customWidth="1"/>
    <col min="4" max="4" width="8.88671875" customWidth="1"/>
    <col min="7" max="7" width="8" customWidth="1"/>
  </cols>
  <sheetData>
    <row r="1" spans="1:13" x14ac:dyDescent="0.3">
      <c r="A1" s="1" t="s">
        <v>26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3">
      <c r="A2" s="4" t="s">
        <v>0</v>
      </c>
      <c r="B2" s="4" t="s">
        <v>1</v>
      </c>
      <c r="C2" s="4" t="s">
        <v>2</v>
      </c>
      <c r="D2" s="4" t="s">
        <v>3</v>
      </c>
      <c r="E2" s="4"/>
      <c r="F2" s="4"/>
      <c r="G2" s="4"/>
      <c r="H2" s="4"/>
      <c r="I2" s="4"/>
      <c r="J2" s="4"/>
      <c r="K2" s="4"/>
      <c r="L2" s="4"/>
      <c r="M2" s="22" t="s">
        <v>14</v>
      </c>
    </row>
    <row r="3" spans="1:13" x14ac:dyDescent="0.3">
      <c r="A3" s="4"/>
      <c r="B3" s="4"/>
      <c r="C3" s="4"/>
      <c r="D3" s="4" t="s">
        <v>7</v>
      </c>
      <c r="E3" s="4"/>
      <c r="F3" s="4"/>
      <c r="G3" s="4" t="s">
        <v>6</v>
      </c>
      <c r="H3" s="4"/>
      <c r="I3" s="4"/>
      <c r="J3" s="3" t="s">
        <v>9</v>
      </c>
      <c r="K3" s="3"/>
      <c r="L3" s="13" t="s">
        <v>10</v>
      </c>
      <c r="M3" s="22"/>
    </row>
    <row r="4" spans="1:13" x14ac:dyDescent="0.3">
      <c r="A4" s="4"/>
      <c r="B4" s="4"/>
      <c r="C4" s="4"/>
      <c r="D4" s="5" t="s">
        <v>5</v>
      </c>
      <c r="E4" s="5" t="s">
        <v>4</v>
      </c>
      <c r="F4" s="5" t="s">
        <v>9</v>
      </c>
      <c r="G4" s="5" t="s">
        <v>5</v>
      </c>
      <c r="H4" s="5" t="s">
        <v>4</v>
      </c>
      <c r="I4" s="11" t="s">
        <v>8</v>
      </c>
      <c r="J4" s="11" t="s">
        <v>5</v>
      </c>
      <c r="K4" s="11" t="s">
        <v>4</v>
      </c>
      <c r="L4" s="13"/>
      <c r="M4" s="22"/>
    </row>
    <row r="5" spans="1:13" ht="15.6" x14ac:dyDescent="0.3">
      <c r="A5" s="18">
        <v>1</v>
      </c>
      <c r="B5" s="16">
        <v>8307</v>
      </c>
      <c r="C5" s="16">
        <v>3987.3599999999997</v>
      </c>
      <c r="D5" s="6"/>
      <c r="E5" s="6"/>
      <c r="F5" s="6"/>
      <c r="G5" s="6"/>
      <c r="H5" s="6"/>
      <c r="I5" s="6"/>
      <c r="J5" s="6"/>
      <c r="K5" s="6"/>
      <c r="L5" s="6"/>
      <c r="M5" s="6"/>
    </row>
    <row r="6" spans="1:13" ht="15.6" x14ac:dyDescent="0.3">
      <c r="A6" s="18">
        <v>2</v>
      </c>
      <c r="B6" s="16">
        <v>9433</v>
      </c>
      <c r="C6" s="16">
        <v>4527.84</v>
      </c>
      <c r="D6" s="6"/>
      <c r="E6" s="6"/>
      <c r="F6" s="6"/>
      <c r="G6" s="6"/>
      <c r="H6" s="6"/>
      <c r="I6" s="6"/>
      <c r="J6" s="6"/>
      <c r="K6" s="6"/>
      <c r="L6" s="6"/>
      <c r="M6" s="6"/>
    </row>
    <row r="7" spans="1:13" ht="15.6" x14ac:dyDescent="0.3">
      <c r="A7" s="18">
        <v>3</v>
      </c>
      <c r="B7" s="16">
        <v>5330</v>
      </c>
      <c r="C7" s="16">
        <v>2558.4</v>
      </c>
      <c r="D7" s="6"/>
      <c r="E7" s="6"/>
      <c r="F7" s="6"/>
      <c r="G7" s="6"/>
      <c r="H7" s="6"/>
      <c r="I7" s="6"/>
      <c r="J7" s="6"/>
      <c r="K7" s="6"/>
      <c r="L7" s="6"/>
      <c r="M7" s="6"/>
    </row>
    <row r="8" spans="1:13" ht="15.6" x14ac:dyDescent="0.3">
      <c r="A8" s="18">
        <v>4</v>
      </c>
      <c r="B8" s="16">
        <v>5863</v>
      </c>
      <c r="C8" s="16">
        <v>2814.24</v>
      </c>
      <c r="D8" s="6"/>
      <c r="E8" s="6"/>
      <c r="F8" s="6"/>
      <c r="G8" s="6"/>
      <c r="H8" s="6"/>
      <c r="I8" s="6"/>
      <c r="J8" s="6"/>
      <c r="K8" s="6"/>
      <c r="L8" s="6"/>
      <c r="M8" s="6"/>
    </row>
    <row r="9" spans="1:13" ht="15.6" x14ac:dyDescent="0.3">
      <c r="A9" s="18">
        <v>5</v>
      </c>
      <c r="B9" s="16">
        <v>3791</v>
      </c>
      <c r="C9" s="16">
        <v>1819.6799999999998</v>
      </c>
      <c r="D9" s="6"/>
      <c r="E9" s="6"/>
      <c r="F9" s="6"/>
      <c r="G9" s="6"/>
      <c r="H9" s="6"/>
      <c r="I9" s="6"/>
      <c r="J9" s="6"/>
      <c r="K9" s="6"/>
      <c r="L9" s="6"/>
      <c r="M9" s="6"/>
    </row>
    <row r="10" spans="1:13" x14ac:dyDescent="0.3">
      <c r="A10" s="6" t="s">
        <v>8</v>
      </c>
      <c r="B10" s="7">
        <f>SUM(B5:B9)</f>
        <v>32724</v>
      </c>
      <c r="C10" s="7">
        <f>SUM(C5:C9)</f>
        <v>15707.52</v>
      </c>
      <c r="D10" s="6"/>
      <c r="E10" s="6"/>
      <c r="F10" s="6"/>
      <c r="G10" s="6"/>
      <c r="H10" s="6"/>
      <c r="I10" s="6"/>
      <c r="J10" s="6"/>
      <c r="K10" s="6"/>
      <c r="L10" s="6"/>
      <c r="M10" s="6"/>
    </row>
  </sheetData>
  <mergeCells count="10">
    <mergeCell ref="M2:M4"/>
    <mergeCell ref="A1:M1"/>
    <mergeCell ref="A2:A4"/>
    <mergeCell ref="B2:B4"/>
    <mergeCell ref="C2:C4"/>
    <mergeCell ref="D2:L2"/>
    <mergeCell ref="D3:F3"/>
    <mergeCell ref="G3:I3"/>
    <mergeCell ref="J3:K3"/>
    <mergeCell ref="L3:L4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5"/>
  <sheetViews>
    <sheetView workbookViewId="0">
      <selection activeCell="N19" sqref="N19"/>
    </sheetView>
  </sheetViews>
  <sheetFormatPr defaultRowHeight="14.4" x14ac:dyDescent="0.3"/>
  <cols>
    <col min="2" max="2" width="14.109375" customWidth="1"/>
    <col min="3" max="3" width="17.33203125" customWidth="1"/>
    <col min="4" max="4" width="8.88671875" customWidth="1"/>
    <col min="7" max="7" width="8" customWidth="1"/>
  </cols>
  <sheetData>
    <row r="1" spans="1:13" x14ac:dyDescent="0.3">
      <c r="A1" s="26" t="s">
        <v>27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</row>
    <row r="2" spans="1:13" x14ac:dyDescent="0.3">
      <c r="A2" s="4" t="s">
        <v>0</v>
      </c>
      <c r="B2" s="4" t="s">
        <v>1</v>
      </c>
      <c r="C2" s="4" t="s">
        <v>2</v>
      </c>
      <c r="D2" s="4" t="s">
        <v>3</v>
      </c>
      <c r="E2" s="4"/>
      <c r="F2" s="4"/>
      <c r="G2" s="4"/>
      <c r="H2" s="4"/>
      <c r="I2" s="4"/>
      <c r="J2" s="4"/>
      <c r="K2" s="4"/>
      <c r="L2" s="4"/>
      <c r="M2" s="22" t="s">
        <v>14</v>
      </c>
    </row>
    <row r="3" spans="1:13" x14ac:dyDescent="0.3">
      <c r="A3" s="4"/>
      <c r="B3" s="4"/>
      <c r="C3" s="4"/>
      <c r="D3" s="4" t="s">
        <v>7</v>
      </c>
      <c r="E3" s="4"/>
      <c r="F3" s="4"/>
      <c r="G3" s="4" t="s">
        <v>6</v>
      </c>
      <c r="H3" s="4"/>
      <c r="I3" s="4"/>
      <c r="J3" s="3" t="s">
        <v>9</v>
      </c>
      <c r="K3" s="3"/>
      <c r="L3" s="13" t="s">
        <v>10</v>
      </c>
      <c r="M3" s="22"/>
    </row>
    <row r="4" spans="1:13" x14ac:dyDescent="0.3">
      <c r="A4" s="4"/>
      <c r="B4" s="4"/>
      <c r="C4" s="4"/>
      <c r="D4" s="5" t="s">
        <v>5</v>
      </c>
      <c r="E4" s="5" t="s">
        <v>4</v>
      </c>
      <c r="F4" s="5" t="s">
        <v>9</v>
      </c>
      <c r="G4" s="5" t="s">
        <v>5</v>
      </c>
      <c r="H4" s="5" t="s">
        <v>4</v>
      </c>
      <c r="I4" s="11" t="s">
        <v>8</v>
      </c>
      <c r="J4" s="11" t="s">
        <v>5</v>
      </c>
      <c r="K4" s="11" t="s">
        <v>4</v>
      </c>
      <c r="L4" s="13"/>
      <c r="M4" s="22"/>
    </row>
    <row r="5" spans="1:13" ht="15.6" x14ac:dyDescent="0.3">
      <c r="A5" s="18">
        <v>1</v>
      </c>
      <c r="B5" s="16">
        <v>5960</v>
      </c>
      <c r="C5" s="16">
        <v>2860.7999999999997</v>
      </c>
      <c r="D5" s="6"/>
      <c r="E5" s="6"/>
      <c r="F5" s="6"/>
      <c r="G5" s="6"/>
      <c r="H5" s="6"/>
      <c r="I5" s="6"/>
      <c r="J5" s="6"/>
      <c r="K5" s="6"/>
      <c r="L5" s="6"/>
      <c r="M5" s="6"/>
    </row>
    <row r="6" spans="1:13" ht="15.6" x14ac:dyDescent="0.3">
      <c r="A6" s="18">
        <v>2</v>
      </c>
      <c r="B6" s="16">
        <v>7710</v>
      </c>
      <c r="C6" s="16">
        <v>3700.7999999999997</v>
      </c>
      <c r="D6" s="6"/>
      <c r="E6" s="6"/>
      <c r="F6" s="6"/>
      <c r="G6" s="6"/>
      <c r="H6" s="6"/>
      <c r="I6" s="6"/>
      <c r="J6" s="6"/>
      <c r="K6" s="6"/>
      <c r="L6" s="6"/>
      <c r="M6" s="6"/>
    </row>
    <row r="7" spans="1:13" ht="15.6" x14ac:dyDescent="0.3">
      <c r="A7" s="18">
        <v>3</v>
      </c>
      <c r="B7" s="16">
        <v>6812</v>
      </c>
      <c r="C7" s="16">
        <v>3269.7599999999998</v>
      </c>
      <c r="D7" s="6"/>
      <c r="E7" s="6"/>
      <c r="F7" s="6"/>
      <c r="G7" s="6"/>
      <c r="H7" s="6"/>
      <c r="I7" s="6"/>
      <c r="J7" s="6"/>
      <c r="K7" s="6"/>
      <c r="L7" s="6"/>
      <c r="M7" s="6"/>
    </row>
    <row r="8" spans="1:13" ht="15.6" x14ac:dyDescent="0.3">
      <c r="A8" s="18">
        <v>4</v>
      </c>
      <c r="B8" s="16">
        <v>7222</v>
      </c>
      <c r="C8" s="16">
        <v>3466.56</v>
      </c>
      <c r="D8" s="6"/>
      <c r="E8" s="6"/>
      <c r="F8" s="6"/>
      <c r="G8" s="6"/>
      <c r="H8" s="6"/>
      <c r="I8" s="6"/>
      <c r="J8" s="6"/>
      <c r="K8" s="6"/>
      <c r="L8" s="6"/>
      <c r="M8" s="6"/>
    </row>
    <row r="9" spans="1:13" ht="15.6" x14ac:dyDescent="0.3">
      <c r="A9" s="18">
        <v>5</v>
      </c>
      <c r="B9" s="16">
        <v>6980</v>
      </c>
      <c r="C9" s="16">
        <v>3350.4</v>
      </c>
      <c r="D9" s="6"/>
      <c r="E9" s="6"/>
      <c r="F9" s="6"/>
      <c r="G9" s="6"/>
      <c r="H9" s="6"/>
      <c r="I9" s="6"/>
      <c r="J9" s="6"/>
      <c r="K9" s="6"/>
      <c r="L9" s="6"/>
      <c r="M9" s="6"/>
    </row>
    <row r="10" spans="1:13" ht="15.6" x14ac:dyDescent="0.3">
      <c r="A10" s="18">
        <v>6</v>
      </c>
      <c r="B10" s="16">
        <v>7304</v>
      </c>
      <c r="C10" s="16">
        <v>3505.92</v>
      </c>
      <c r="D10" s="6"/>
      <c r="E10" s="6"/>
      <c r="F10" s="6"/>
      <c r="G10" s="6"/>
      <c r="H10" s="6"/>
      <c r="I10" s="6"/>
      <c r="J10" s="6"/>
      <c r="K10" s="6"/>
      <c r="L10" s="6"/>
      <c r="M10" s="6"/>
    </row>
    <row r="11" spans="1:13" ht="15.6" x14ac:dyDescent="0.3">
      <c r="A11" s="18">
        <v>7</v>
      </c>
      <c r="B11" s="16">
        <v>8314</v>
      </c>
      <c r="C11" s="16">
        <v>3990.7199999999993</v>
      </c>
      <c r="D11" s="6"/>
      <c r="E11" s="6"/>
      <c r="F11" s="6"/>
      <c r="G11" s="6"/>
      <c r="H11" s="6"/>
      <c r="I11" s="6"/>
      <c r="J11" s="6"/>
      <c r="K11" s="6"/>
      <c r="L11" s="6"/>
      <c r="M11" s="6"/>
    </row>
    <row r="12" spans="1:13" ht="15.6" x14ac:dyDescent="0.3">
      <c r="A12" s="18">
        <v>8</v>
      </c>
      <c r="B12" s="16">
        <v>5804</v>
      </c>
      <c r="C12" s="16">
        <v>2785.92</v>
      </c>
      <c r="D12" s="6"/>
      <c r="E12" s="6"/>
      <c r="F12" s="6"/>
      <c r="G12" s="6"/>
      <c r="H12" s="6"/>
      <c r="I12" s="6"/>
      <c r="J12" s="6"/>
      <c r="K12" s="6"/>
      <c r="L12" s="6"/>
      <c r="M12" s="6"/>
    </row>
    <row r="13" spans="1:13" ht="15.6" x14ac:dyDescent="0.3">
      <c r="A13" s="18">
        <v>9</v>
      </c>
      <c r="B13" s="16">
        <v>7913</v>
      </c>
      <c r="C13" s="16">
        <v>3798.24</v>
      </c>
      <c r="D13" s="6"/>
      <c r="E13" s="6"/>
      <c r="F13" s="6"/>
      <c r="G13" s="6"/>
      <c r="H13" s="6"/>
      <c r="I13" s="6"/>
      <c r="J13" s="6"/>
      <c r="K13" s="6"/>
      <c r="L13" s="6"/>
      <c r="M13" s="6"/>
    </row>
    <row r="14" spans="1:13" ht="15.6" x14ac:dyDescent="0.3">
      <c r="A14" s="18">
        <v>10</v>
      </c>
      <c r="B14" s="16">
        <v>8231</v>
      </c>
      <c r="C14" s="16">
        <v>3950.8799999999992</v>
      </c>
      <c r="D14" s="6"/>
      <c r="E14" s="6"/>
      <c r="F14" s="6"/>
      <c r="G14" s="6"/>
      <c r="H14" s="6"/>
      <c r="I14" s="6"/>
      <c r="J14" s="6"/>
      <c r="K14" s="6"/>
      <c r="L14" s="6"/>
      <c r="M14" s="6"/>
    </row>
    <row r="15" spans="1:13" x14ac:dyDescent="0.3">
      <c r="A15" s="8" t="s">
        <v>8</v>
      </c>
      <c r="B15" s="5">
        <f>SUM(B5:B14)</f>
        <v>72250</v>
      </c>
      <c r="C15" s="7">
        <f>SUM(C5:C14)</f>
        <v>34679.999999999993</v>
      </c>
      <c r="D15" s="6"/>
      <c r="E15" s="6"/>
      <c r="F15" s="6"/>
      <c r="G15" s="6"/>
      <c r="H15" s="6"/>
      <c r="I15" s="6"/>
      <c r="J15" s="6"/>
      <c r="K15" s="6"/>
      <c r="L15" s="6"/>
      <c r="M15" s="6"/>
    </row>
  </sheetData>
  <mergeCells count="10">
    <mergeCell ref="M2:M4"/>
    <mergeCell ref="A1:M1"/>
    <mergeCell ref="A2:A4"/>
    <mergeCell ref="B2:B4"/>
    <mergeCell ref="C2:C4"/>
    <mergeCell ref="D2:L2"/>
    <mergeCell ref="D3:F3"/>
    <mergeCell ref="G3:I3"/>
    <mergeCell ref="J3:K3"/>
    <mergeCell ref="L3:L4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2"/>
  <sheetViews>
    <sheetView workbookViewId="0">
      <selection activeCell="J24" sqref="J24"/>
    </sheetView>
  </sheetViews>
  <sheetFormatPr defaultRowHeight="14.4" x14ac:dyDescent="0.3"/>
  <cols>
    <col min="2" max="2" width="14.109375" customWidth="1"/>
    <col min="3" max="3" width="17.33203125" customWidth="1"/>
    <col min="4" max="4" width="8.88671875" customWidth="1"/>
    <col min="7" max="7" width="8" customWidth="1"/>
  </cols>
  <sheetData>
    <row r="1" spans="1:13" x14ac:dyDescent="0.3">
      <c r="A1" s="1" t="s">
        <v>28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3">
      <c r="A2" s="4" t="s">
        <v>0</v>
      </c>
      <c r="B2" s="4" t="s">
        <v>1</v>
      </c>
      <c r="C2" s="4" t="s">
        <v>2</v>
      </c>
      <c r="D2" s="4" t="s">
        <v>3</v>
      </c>
      <c r="E2" s="4"/>
      <c r="F2" s="4"/>
      <c r="G2" s="4"/>
      <c r="H2" s="4"/>
      <c r="I2" s="4"/>
      <c r="J2" s="4"/>
      <c r="K2" s="4"/>
      <c r="L2" s="4"/>
      <c r="M2" s="22" t="s">
        <v>14</v>
      </c>
    </row>
    <row r="3" spans="1:13" x14ac:dyDescent="0.3">
      <c r="A3" s="4"/>
      <c r="B3" s="4"/>
      <c r="C3" s="4"/>
      <c r="D3" s="4" t="s">
        <v>7</v>
      </c>
      <c r="E3" s="4"/>
      <c r="F3" s="4"/>
      <c r="G3" s="4" t="s">
        <v>6</v>
      </c>
      <c r="H3" s="4"/>
      <c r="I3" s="4"/>
      <c r="J3" s="3" t="s">
        <v>9</v>
      </c>
      <c r="K3" s="3"/>
      <c r="L3" s="13" t="s">
        <v>10</v>
      </c>
      <c r="M3" s="22"/>
    </row>
    <row r="4" spans="1:13" x14ac:dyDescent="0.3">
      <c r="A4" s="4"/>
      <c r="B4" s="4"/>
      <c r="C4" s="4"/>
      <c r="D4" s="5" t="s">
        <v>5</v>
      </c>
      <c r="E4" s="5" t="s">
        <v>4</v>
      </c>
      <c r="F4" s="5" t="s">
        <v>9</v>
      </c>
      <c r="G4" s="5" t="s">
        <v>5</v>
      </c>
      <c r="H4" s="5" t="s">
        <v>4</v>
      </c>
      <c r="I4" s="11" t="s">
        <v>8</v>
      </c>
      <c r="J4" s="11" t="s">
        <v>5</v>
      </c>
      <c r="K4" s="11" t="s">
        <v>4</v>
      </c>
      <c r="L4" s="13"/>
      <c r="M4" s="22"/>
    </row>
    <row r="5" spans="1:13" ht="15.6" x14ac:dyDescent="0.3">
      <c r="A5" s="18">
        <v>1</v>
      </c>
      <c r="B5" s="16">
        <v>7187</v>
      </c>
      <c r="C5" s="16">
        <v>3449.7599999999998</v>
      </c>
      <c r="D5" s="6"/>
      <c r="E5" s="6"/>
      <c r="F5" s="6"/>
      <c r="G5" s="6"/>
      <c r="H5" s="6"/>
      <c r="I5" s="6"/>
      <c r="J5" s="6"/>
      <c r="K5" s="6"/>
      <c r="L5" s="6"/>
      <c r="M5" s="6"/>
    </row>
    <row r="6" spans="1:13" ht="15.6" x14ac:dyDescent="0.3">
      <c r="A6" s="18">
        <v>2</v>
      </c>
      <c r="B6" s="16">
        <v>3911</v>
      </c>
      <c r="C6" s="16">
        <v>1877.28</v>
      </c>
      <c r="D6" s="6"/>
      <c r="E6" s="6"/>
      <c r="F6" s="6"/>
      <c r="G6" s="6"/>
      <c r="H6" s="6"/>
      <c r="I6" s="6"/>
      <c r="J6" s="6"/>
      <c r="K6" s="6"/>
      <c r="L6" s="6"/>
      <c r="M6" s="6"/>
    </row>
    <row r="7" spans="1:13" ht="15.6" x14ac:dyDescent="0.3">
      <c r="A7" s="18">
        <v>3</v>
      </c>
      <c r="B7" s="16">
        <v>6370</v>
      </c>
      <c r="C7" s="16">
        <v>3057.6</v>
      </c>
      <c r="D7" s="6"/>
      <c r="E7" s="6"/>
      <c r="F7" s="6"/>
      <c r="G7" s="6"/>
      <c r="H7" s="6"/>
      <c r="I7" s="6"/>
      <c r="J7" s="6"/>
      <c r="K7" s="6"/>
      <c r="L7" s="6"/>
      <c r="M7" s="6"/>
    </row>
    <row r="8" spans="1:13" ht="15.6" x14ac:dyDescent="0.3">
      <c r="A8" s="18">
        <v>4</v>
      </c>
      <c r="B8" s="16">
        <v>6489</v>
      </c>
      <c r="C8" s="16">
        <v>3114.72</v>
      </c>
      <c r="D8" s="6"/>
      <c r="E8" s="6"/>
      <c r="F8" s="6"/>
      <c r="G8" s="6"/>
      <c r="H8" s="6"/>
      <c r="I8" s="6"/>
      <c r="J8" s="6"/>
      <c r="K8" s="6"/>
      <c r="L8" s="6"/>
      <c r="M8" s="6"/>
    </row>
    <row r="9" spans="1:13" ht="15.6" x14ac:dyDescent="0.3">
      <c r="A9" s="18">
        <v>5</v>
      </c>
      <c r="B9" s="16">
        <v>4740</v>
      </c>
      <c r="C9" s="16">
        <v>2275.1999999999998</v>
      </c>
      <c r="D9" s="6"/>
      <c r="E9" s="6"/>
      <c r="F9" s="6"/>
      <c r="G9" s="6"/>
      <c r="H9" s="6"/>
      <c r="I9" s="6"/>
      <c r="J9" s="6"/>
      <c r="K9" s="6"/>
      <c r="L9" s="6"/>
      <c r="M9" s="6"/>
    </row>
    <row r="10" spans="1:13" ht="15.6" x14ac:dyDescent="0.3">
      <c r="A10" s="18">
        <v>6</v>
      </c>
      <c r="B10" s="16">
        <v>6412</v>
      </c>
      <c r="C10" s="16">
        <v>3077.7599999999998</v>
      </c>
      <c r="D10" s="6"/>
      <c r="E10" s="6"/>
      <c r="F10" s="6"/>
      <c r="G10" s="6"/>
      <c r="H10" s="6"/>
      <c r="I10" s="6"/>
      <c r="J10" s="6"/>
      <c r="K10" s="6"/>
      <c r="L10" s="6"/>
      <c r="M10" s="6"/>
    </row>
    <row r="11" spans="1:13" ht="15.6" x14ac:dyDescent="0.3">
      <c r="A11" s="18">
        <v>7</v>
      </c>
      <c r="B11" s="16">
        <v>5946</v>
      </c>
      <c r="C11" s="16">
        <v>2854.08</v>
      </c>
      <c r="D11" s="6"/>
      <c r="E11" s="6"/>
      <c r="F11" s="6"/>
      <c r="G11" s="6"/>
      <c r="H11" s="6"/>
      <c r="I11" s="6"/>
      <c r="J11" s="6"/>
      <c r="K11" s="6"/>
      <c r="L11" s="6"/>
      <c r="M11" s="6"/>
    </row>
    <row r="12" spans="1:13" x14ac:dyDescent="0.3">
      <c r="A12" s="8" t="s">
        <v>8</v>
      </c>
      <c r="B12" s="7">
        <f>SUM(B5:B11)</f>
        <v>41055</v>
      </c>
      <c r="C12" s="7">
        <f>SUM(C5:C11)</f>
        <v>19706.399999999994</v>
      </c>
      <c r="D12" s="6"/>
      <c r="E12" s="6"/>
      <c r="F12" s="6"/>
      <c r="G12" s="6"/>
      <c r="H12" s="6"/>
      <c r="I12" s="6"/>
      <c r="J12" s="6"/>
      <c r="K12" s="6"/>
      <c r="L12" s="6"/>
      <c r="M12" s="6"/>
    </row>
  </sheetData>
  <mergeCells count="10">
    <mergeCell ref="M2:M4"/>
    <mergeCell ref="A1:M1"/>
    <mergeCell ref="A2:A4"/>
    <mergeCell ref="B2:B4"/>
    <mergeCell ref="C2:C4"/>
    <mergeCell ref="D2:L2"/>
    <mergeCell ref="D3:F3"/>
    <mergeCell ref="G3:I3"/>
    <mergeCell ref="J3:K3"/>
    <mergeCell ref="L3:L4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0"/>
  <sheetViews>
    <sheetView tabSelected="1" workbookViewId="0">
      <selection activeCell="P25" sqref="P25"/>
    </sheetView>
  </sheetViews>
  <sheetFormatPr defaultRowHeight="14.4" x14ac:dyDescent="0.3"/>
  <cols>
    <col min="1" max="1" width="26.21875" customWidth="1"/>
    <col min="2" max="2" width="14.109375" customWidth="1"/>
    <col min="3" max="3" width="17.33203125" customWidth="1"/>
    <col min="4" max="4" width="8.88671875" customWidth="1"/>
    <col min="7" max="7" width="8" customWidth="1"/>
  </cols>
  <sheetData>
    <row r="1" spans="1:13" x14ac:dyDescent="0.3">
      <c r="A1" s="26" t="s">
        <v>30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</row>
    <row r="2" spans="1:13" x14ac:dyDescent="0.3">
      <c r="A2" s="4" t="s">
        <v>29</v>
      </c>
      <c r="B2" s="4" t="s">
        <v>1</v>
      </c>
      <c r="C2" s="4" t="s">
        <v>2</v>
      </c>
      <c r="D2" s="10" t="s">
        <v>3</v>
      </c>
      <c r="E2" s="4"/>
      <c r="F2" s="4"/>
      <c r="G2" s="4"/>
      <c r="H2" s="4"/>
      <c r="I2" s="4"/>
      <c r="J2" s="4"/>
      <c r="K2" s="4"/>
      <c r="L2" s="4"/>
      <c r="M2" s="22" t="s">
        <v>14</v>
      </c>
    </row>
    <row r="3" spans="1:13" x14ac:dyDescent="0.3">
      <c r="A3" s="4"/>
      <c r="B3" s="4"/>
      <c r="C3" s="4"/>
      <c r="D3" s="10" t="s">
        <v>7</v>
      </c>
      <c r="E3" s="4"/>
      <c r="F3" s="4"/>
      <c r="G3" s="4" t="s">
        <v>6</v>
      </c>
      <c r="H3" s="4"/>
      <c r="I3" s="4"/>
      <c r="J3" s="3" t="s">
        <v>9</v>
      </c>
      <c r="K3" s="3"/>
      <c r="L3" s="13" t="s">
        <v>10</v>
      </c>
      <c r="M3" s="22"/>
    </row>
    <row r="4" spans="1:13" x14ac:dyDescent="0.3">
      <c r="A4" s="4"/>
      <c r="B4" s="4"/>
      <c r="C4" s="4"/>
      <c r="D4" s="23" t="s">
        <v>5</v>
      </c>
      <c r="E4" s="5" t="s">
        <v>4</v>
      </c>
      <c r="F4" s="5" t="s">
        <v>9</v>
      </c>
      <c r="G4" s="5" t="s">
        <v>5</v>
      </c>
      <c r="H4" s="5" t="s">
        <v>4</v>
      </c>
      <c r="I4" s="11" t="s">
        <v>8</v>
      </c>
      <c r="J4" s="11" t="s">
        <v>5</v>
      </c>
      <c r="K4" s="11" t="s">
        <v>4</v>
      </c>
      <c r="L4" s="13"/>
      <c r="M4" s="22"/>
    </row>
    <row r="5" spans="1:13" ht="15.6" x14ac:dyDescent="0.3">
      <c r="A5" s="14" t="s">
        <v>15</v>
      </c>
      <c r="B5" s="17">
        <v>136510</v>
      </c>
      <c r="C5" s="17">
        <v>65524.799999999996</v>
      </c>
      <c r="D5" s="6"/>
      <c r="E5" s="6"/>
      <c r="F5" s="6"/>
      <c r="G5" s="6"/>
      <c r="H5" s="6"/>
      <c r="I5" s="6"/>
      <c r="J5" s="6"/>
      <c r="K5" s="6"/>
      <c r="L5" s="6"/>
      <c r="M5" s="6"/>
    </row>
    <row r="6" spans="1:13" ht="15.6" x14ac:dyDescent="0.3">
      <c r="A6" s="14" t="s">
        <v>12</v>
      </c>
      <c r="B6" s="17">
        <v>54553</v>
      </c>
      <c r="C6" s="17">
        <v>26185.439999999999</v>
      </c>
      <c r="D6" s="6"/>
      <c r="E6" s="6"/>
      <c r="F6" s="6"/>
      <c r="G6" s="6"/>
      <c r="H6" s="6"/>
      <c r="I6" s="6"/>
      <c r="J6" s="6"/>
      <c r="K6" s="6"/>
      <c r="L6" s="6"/>
      <c r="M6" s="6"/>
    </row>
    <row r="7" spans="1:13" ht="15.6" x14ac:dyDescent="0.3">
      <c r="A7" s="14" t="s">
        <v>16</v>
      </c>
      <c r="B7" s="17">
        <v>88888</v>
      </c>
      <c r="C7" s="17">
        <v>42666.240000000005</v>
      </c>
      <c r="D7" s="6"/>
      <c r="E7" s="6"/>
      <c r="F7" s="6"/>
      <c r="G7" s="6"/>
      <c r="H7" s="6"/>
      <c r="I7" s="6"/>
      <c r="J7" s="6"/>
      <c r="K7" s="6"/>
      <c r="L7" s="6"/>
      <c r="M7" s="6"/>
    </row>
    <row r="8" spans="1:13" ht="15.6" x14ac:dyDescent="0.3">
      <c r="A8" s="14" t="s">
        <v>17</v>
      </c>
      <c r="B8" s="17">
        <v>54681</v>
      </c>
      <c r="C8" s="17">
        <v>26246.879999999997</v>
      </c>
      <c r="D8" s="6"/>
      <c r="E8" s="6"/>
      <c r="F8" s="6"/>
      <c r="G8" s="6"/>
      <c r="H8" s="6"/>
      <c r="I8" s="6"/>
      <c r="J8" s="6"/>
      <c r="K8" s="6"/>
      <c r="L8" s="6"/>
      <c r="M8" s="6"/>
    </row>
    <row r="9" spans="1:13" ht="15.6" x14ac:dyDescent="0.3">
      <c r="A9" s="14" t="s">
        <v>18</v>
      </c>
      <c r="B9" s="17">
        <v>76040</v>
      </c>
      <c r="C9" s="17">
        <v>36499.199999999997</v>
      </c>
      <c r="D9" s="6"/>
      <c r="E9" s="6"/>
      <c r="F9" s="6"/>
      <c r="G9" s="6"/>
      <c r="H9" s="6"/>
      <c r="I9" s="6"/>
      <c r="J9" s="6"/>
      <c r="K9" s="6"/>
      <c r="L9" s="6"/>
      <c r="M9" s="6"/>
    </row>
    <row r="10" spans="1:13" ht="15.6" x14ac:dyDescent="0.3">
      <c r="A10" s="14" t="s">
        <v>19</v>
      </c>
      <c r="B10" s="17">
        <v>55141</v>
      </c>
      <c r="C10" s="17">
        <v>26467.68</v>
      </c>
      <c r="D10" s="6"/>
      <c r="E10" s="6"/>
      <c r="F10" s="6"/>
      <c r="G10" s="6"/>
      <c r="H10" s="6"/>
      <c r="I10" s="6"/>
      <c r="J10" s="6"/>
      <c r="K10" s="6"/>
      <c r="L10" s="6"/>
      <c r="M10" s="6"/>
    </row>
    <row r="11" spans="1:13" ht="15.6" x14ac:dyDescent="0.3">
      <c r="A11" s="14" t="s">
        <v>20</v>
      </c>
      <c r="B11" s="17">
        <v>115301</v>
      </c>
      <c r="C11" s="17">
        <v>55344.480000000003</v>
      </c>
      <c r="D11" s="6"/>
      <c r="E11" s="6"/>
      <c r="F11" s="6"/>
      <c r="G11" s="6"/>
      <c r="H11" s="6"/>
      <c r="I11" s="6"/>
      <c r="J11" s="6"/>
      <c r="K11" s="6"/>
      <c r="L11" s="6"/>
      <c r="M11" s="6"/>
    </row>
    <row r="12" spans="1:13" ht="15.6" x14ac:dyDescent="0.3">
      <c r="A12" s="14" t="s">
        <v>21</v>
      </c>
      <c r="B12" s="17">
        <v>62565</v>
      </c>
      <c r="C12" s="17">
        <v>30031.199999999997</v>
      </c>
      <c r="D12" s="6"/>
      <c r="E12" s="6"/>
      <c r="F12" s="6"/>
      <c r="G12" s="6"/>
      <c r="H12" s="6"/>
      <c r="I12" s="6"/>
      <c r="J12" s="6"/>
      <c r="K12" s="6"/>
      <c r="L12" s="6"/>
      <c r="M12" s="6"/>
    </row>
    <row r="13" spans="1:13" ht="15.6" x14ac:dyDescent="0.3">
      <c r="A13" s="14" t="s">
        <v>22</v>
      </c>
      <c r="B13" s="17">
        <v>35696</v>
      </c>
      <c r="C13" s="17">
        <v>17134.079999999998</v>
      </c>
      <c r="D13" s="6"/>
      <c r="E13" s="6"/>
      <c r="F13" s="6"/>
      <c r="G13" s="6"/>
      <c r="H13" s="6"/>
      <c r="I13" s="6"/>
      <c r="J13" s="6"/>
      <c r="K13" s="6"/>
      <c r="L13" s="6"/>
      <c r="M13" s="6"/>
    </row>
    <row r="14" spans="1:13" ht="15.6" x14ac:dyDescent="0.3">
      <c r="A14" s="14" t="s">
        <v>23</v>
      </c>
      <c r="B14" s="17">
        <v>39698</v>
      </c>
      <c r="C14" s="17">
        <v>19055.04</v>
      </c>
      <c r="D14" s="6"/>
      <c r="E14" s="6"/>
      <c r="F14" s="6"/>
      <c r="G14" s="6"/>
      <c r="H14" s="6"/>
      <c r="I14" s="6"/>
      <c r="J14" s="6"/>
      <c r="K14" s="6"/>
      <c r="L14" s="6"/>
      <c r="M14" s="6"/>
    </row>
    <row r="15" spans="1:13" ht="15.6" x14ac:dyDescent="0.3">
      <c r="A15" s="14" t="s">
        <v>24</v>
      </c>
      <c r="B15" s="17">
        <v>38172</v>
      </c>
      <c r="C15" s="17">
        <v>18322.559999999998</v>
      </c>
      <c r="D15" s="6"/>
      <c r="E15" s="6"/>
      <c r="F15" s="6"/>
      <c r="G15" s="6"/>
      <c r="H15" s="6"/>
      <c r="I15" s="6"/>
      <c r="J15" s="6"/>
      <c r="K15" s="6"/>
      <c r="L15" s="6"/>
      <c r="M15" s="6"/>
    </row>
    <row r="16" spans="1:13" ht="15.6" x14ac:dyDescent="0.3">
      <c r="A16" s="14" t="s">
        <v>25</v>
      </c>
      <c r="B16" s="17">
        <v>124473</v>
      </c>
      <c r="C16" s="17">
        <v>59747.040000000008</v>
      </c>
      <c r="D16" s="6"/>
      <c r="E16" s="6"/>
      <c r="F16" s="6"/>
      <c r="G16" s="6"/>
      <c r="H16" s="6"/>
      <c r="I16" s="6"/>
      <c r="J16" s="6"/>
      <c r="K16" s="6"/>
      <c r="L16" s="6"/>
      <c r="M16" s="6"/>
    </row>
    <row r="17" spans="1:13" ht="15.6" x14ac:dyDescent="0.3">
      <c r="A17" s="14" t="s">
        <v>26</v>
      </c>
      <c r="B17" s="17">
        <v>32724</v>
      </c>
      <c r="C17" s="17">
        <v>15707.52</v>
      </c>
      <c r="D17" s="6"/>
      <c r="E17" s="6"/>
      <c r="F17" s="6"/>
      <c r="G17" s="6"/>
      <c r="H17" s="6"/>
      <c r="I17" s="6"/>
      <c r="J17" s="6"/>
      <c r="K17" s="6"/>
      <c r="L17" s="6"/>
      <c r="M17" s="6"/>
    </row>
    <row r="18" spans="1:13" ht="15.6" x14ac:dyDescent="0.3">
      <c r="A18" s="14" t="s">
        <v>27</v>
      </c>
      <c r="B18" s="17">
        <v>72250</v>
      </c>
      <c r="C18" s="17">
        <v>34679.999999999993</v>
      </c>
      <c r="D18" s="6"/>
      <c r="E18" s="6"/>
      <c r="F18" s="6"/>
      <c r="G18" s="6"/>
      <c r="H18" s="6"/>
      <c r="I18" s="6"/>
      <c r="J18" s="6"/>
      <c r="K18" s="6"/>
      <c r="L18" s="6"/>
      <c r="M18" s="6"/>
    </row>
    <row r="19" spans="1:13" ht="15.6" x14ac:dyDescent="0.3">
      <c r="A19" s="14" t="s">
        <v>28</v>
      </c>
      <c r="B19" s="17">
        <v>41055</v>
      </c>
      <c r="C19" s="17">
        <v>19706.399999999994</v>
      </c>
      <c r="D19" s="6"/>
      <c r="E19" s="6"/>
      <c r="F19" s="6"/>
      <c r="G19" s="6"/>
      <c r="H19" s="6"/>
      <c r="I19" s="6"/>
      <c r="J19" s="6"/>
      <c r="K19" s="6"/>
      <c r="L19" s="6"/>
      <c r="M19" s="6"/>
    </row>
    <row r="20" spans="1:13" ht="15.6" x14ac:dyDescent="0.3">
      <c r="A20" s="24" t="s">
        <v>9</v>
      </c>
      <c r="B20" s="7">
        <f>SUM(B5:B19)</f>
        <v>1027747</v>
      </c>
      <c r="C20" s="7">
        <f>SUM(C5:C19)</f>
        <v>493318.56000000006</v>
      </c>
      <c r="D20" s="6"/>
      <c r="E20" s="6"/>
      <c r="F20" s="6"/>
      <c r="G20" s="6"/>
      <c r="H20" s="6"/>
      <c r="I20" s="6"/>
      <c r="J20" s="6"/>
      <c r="K20" s="6"/>
      <c r="L20" s="6"/>
      <c r="M20" s="6"/>
    </row>
  </sheetData>
  <mergeCells count="10">
    <mergeCell ref="M2:M4"/>
    <mergeCell ref="A1:M1"/>
    <mergeCell ref="A2:A4"/>
    <mergeCell ref="B2:B4"/>
    <mergeCell ref="C2:C4"/>
    <mergeCell ref="D2:L2"/>
    <mergeCell ref="D3:F3"/>
    <mergeCell ref="G3:I3"/>
    <mergeCell ref="J3:K3"/>
    <mergeCell ref="L3:L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Mechinagar Municipality</vt:lpstr>
      <vt:lpstr>Buddhashanti Gaunpalika</vt:lpstr>
      <vt:lpstr>Arjundhara Municipality</vt:lpstr>
      <vt:lpstr>Kankai Municipality</vt:lpstr>
      <vt:lpstr>Shivasatakshi Municipality</vt:lpstr>
      <vt:lpstr>Kamal Gaunpalika</vt:lpstr>
      <vt:lpstr>Damak Municipality</vt:lpstr>
      <vt:lpstr>Gauradaha Municipality</vt:lpstr>
      <vt:lpstr>Gauriganj Gaunpalika</vt:lpstr>
      <vt:lpstr>Jhapa Gaunpalika</vt:lpstr>
      <vt:lpstr>Barhadashi Gaunpalika</vt:lpstr>
      <vt:lpstr>Birtamod Municipality</vt:lpstr>
      <vt:lpstr>Haldibari Gaunpalika</vt:lpstr>
      <vt:lpstr>Bhadrapur Municipality</vt:lpstr>
      <vt:lpstr>Kachanakawal Gaunpalika</vt:lpstr>
      <vt:lpstr>Total 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2026-09-15T09:59:30Z</dcterms:modified>
</cp:coreProperties>
</file>